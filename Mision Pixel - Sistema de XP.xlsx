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Ranking" sheetId="2" state="visible" r:id="rId2"/>
    <sheet name="Tabla XP" sheetId="3" state="visible" r:id="rId3"/>
    <sheet name="Logros" sheetId="4" state="visible" r:id="rId4"/>
    <sheet name="Jugadores" sheetId="5" state="visible" r:id="rId5"/>
    <sheet name="Movimientos" sheetId="6" state="visible" r:id="rId6"/>
    <sheet name="Mensajes" sheetId="7" state="visible" r:id="rId7"/>
    <sheet name="Formular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9">
    <font>
      <name val="Calibri"/>
      <family val="2"/>
      <color theme="1"/>
      <sz val="11"/>
      <scheme val="minor"/>
    </font>
    <font>
      <name val="Arial"/>
      <b val="1"/>
      <color rgb="00C2185B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9"/>
    </font>
    <font>
      <name val="Arial"/>
      <color rgb="000000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5131F"/>
      </patternFill>
    </fill>
    <fill>
      <patternFill patternType="solid">
        <fgColor rgb="00F2F2F2"/>
      </patternFill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3" fontId="7" fillId="0" borderId="0" pivotButton="0" quotePrefix="0" xfId="0"/>
    <xf numFmtId="0" fontId="5" fillId="0" borderId="0" applyAlignment="1" pivotButton="0" quotePrefix="0" xfId="0">
      <alignment vertical="top" wrapText="1"/>
    </xf>
    <xf numFmtId="3" fontId="5" fillId="0" borderId="0" applyAlignment="1" pivotButton="0" quotePrefix="0" xfId="0">
      <alignment vertical="top" wrapText="1"/>
    </xf>
    <xf numFmtId="0" fontId="5" fillId="4" borderId="0" pivotButton="0" quotePrefix="0" xfId="0"/>
    <xf numFmtId="49" fontId="5" fillId="4" borderId="0" pivotButton="0" quotePrefix="0" xfId="0"/>
    <xf numFmtId="165" fontId="5" fillId="4" borderId="0" pivotButton="0" quotePrefix="0" xfId="0"/>
    <xf numFmtId="3" fontId="7" fillId="3" borderId="0" pivotButton="0" quotePrefix="0" xfId="0"/>
    <xf numFmtId="165" fontId="7" fillId="3" borderId="0" pivotButton="0" quotePrefix="0" xfId="0"/>
    <xf numFmtId="0" fontId="7" fillId="3" borderId="0" pivotButton="0" quotePrefix="0" xfId="0"/>
    <xf numFmtId="0" fontId="5" fillId="0" borderId="0" pivotButton="0" quotePrefix="0" xfId="0"/>
    <xf numFmtId="1" fontId="7" fillId="3" borderId="0" pivotButton="0" quotePrefix="0" xfId="0"/>
    <xf numFmtId="49" fontId="5" fillId="0" borderId="0" pivotButton="0" quotePrefix="0" xfId="0"/>
    <xf numFmtId="165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</font>
      <fill>
        <patternFill patternType="solid">
          <fgColor rgb="00FFE08A"/>
        </patternFill>
      </fill>
    </dxf>
    <dxf>
      <fill>
        <patternFill patternType="solid">
          <f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Pixel Burger</author>
  </authors>
  <commentList>
    <comment ref="O1" authorId="0" shapeId="0">
      <text>
        <t>Desempate: con igual XP gana quien llegó primero (último movimiento más antiguo). Solo compiten mayores de 18 con autorización de datos y que no sean empleados o familiares.</t>
      </text>
    </comment>
    <comment ref="Q1" authorId="0" shapeId="0">
      <text>
        <t>Lo llena quien entrega la recompensa: el último nivel cuya recompensa ya se entregó (0 si ninguna).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MISIÓN PIXEL · SISTEMA DE XP</t>
        </is>
      </c>
    </row>
    <row r="2">
      <c r="A2" s="2" t="inlineStr">
        <is>
          <t>Reto por puntos de Pixel Burger. Registros desde el 20 de octubre, compras con XP desde el 1 de noviembre, cierre el 18 de noviembre a las 23:59 y premiación el 19 de noviembre en el local.</t>
        </is>
      </c>
    </row>
    <row r="3">
      <c r="A3" s="2" t="inlineStr"/>
    </row>
    <row r="4">
      <c r="A4" s="3" t="inlineStr">
        <is>
          <t>CÓMO SE USA ESTE ARCHIVO</t>
        </is>
      </c>
    </row>
    <row r="5">
      <c r="A5" s="2" t="inlineStr">
        <is>
          <t>Texto azul = celdas que se llenan a mano. Celdas grises = fórmulas: no se tocan. Fila amarilla = ejemplo: bórrala antes de empezar.</t>
        </is>
      </c>
    </row>
    <row r="6">
      <c r="A6" s="2" t="inlineStr">
        <is>
          <t>1. Jugadores: una fila por persona registrada (se copia del formulario). El ID es #0001, #0002… en orden y nunca se reutiliza.</t>
        </is>
      </c>
    </row>
    <row r="7">
      <c r="A7" s="2" t="inlineStr">
        <is>
          <t>2. Movimientos: cada vez que alguien gana XP se agrega UNA fila (fecha y hora, ID, acción, cantidad, quién lo registró). La XP se calcula sola.</t>
        </is>
      </c>
    </row>
    <row r="8">
      <c r="A8" s="2" t="inlineStr">
        <is>
          <t>3. Ranking: se actualiza solo. Muestra solo el alias público, nunca el nombre ni el teléfono.</t>
        </is>
      </c>
    </row>
    <row r="9">
      <c r="A9" s="2" t="inlineStr">
        <is>
          <t>4. Tabla XP y Logros: aquí se cambian los puntos y las recompensas. Si cambias un valor, todo se recalcula.</t>
        </is>
      </c>
    </row>
    <row r="10">
      <c r="A10" s="2" t="inlineStr"/>
    </row>
    <row r="11">
      <c r="A11" s="3" t="inlineStr">
        <is>
          <t>EN LA CAJA (cada pedido)</t>
        </is>
      </c>
    </row>
    <row r="12">
      <c r="A12" s="2" t="inlineStr">
        <is>
          <t>1. Preguntar: «¿Tienes número de jugador?». Si no lo recuerda, buscarlo por WhatsApp en la hoja Jugadores.</t>
        </is>
      </c>
    </row>
    <row r="13">
      <c r="A13" s="2" t="inlineStr">
        <is>
          <t>2. Agregar en Movimientos: «Pedido» (cantidad 1) + «Hamburguesa adicional» (cantidad = hamburguesas extra, máximo 4) + «Bonus Montañera» (cantidad = Montañeras).</t>
        </is>
      </c>
    </row>
    <row r="14">
      <c r="A14" s="2" t="inlineStr">
        <is>
          <t>3. Revisar en Jugadores la columna «¿Entregar recompensa?». Si dice Sí, entregarla y actualizar «Nivel entregado».</t>
        </is>
      </c>
    </row>
    <row r="15">
      <c r="A15" s="2" t="inlineStr">
        <is>
          <t>4. Enviar el WhatsApp de XP sumada (plantillas en la hoja Mensajes).</t>
        </is>
      </c>
    </row>
    <row r="16">
      <c r="A16" s="2" t="inlineStr"/>
    </row>
    <row r="17">
      <c r="A17" s="3" t="inlineStr">
        <is>
          <t>REGLAS CLAVE (resumen; las bases completas deben revisarse con un abogado antes de publicarse)</t>
        </is>
      </c>
    </row>
    <row r="18">
      <c r="A18" s="2" t="inlineStr">
        <is>
          <t>• Solo mayores de 18 años, con autorización de tratamiento de datos (Ley 1581 de 2012). Un jugador = un número de WhatsApp.</t>
        </is>
      </c>
    </row>
    <row r="19">
      <c r="A19" s="2" t="inlineStr">
        <is>
          <t>• La XP de compra solo cuenta si el jugador da su número al pagar. No se suma XP retroactiva.</t>
        </is>
      </c>
    </row>
    <row r="20">
      <c r="A20" s="2" t="inlineStr">
        <is>
          <t>• Máximo 1 pedido con XP por día. Los límites de cada acción están en la hoja Tabla XP.</t>
        </is>
      </c>
    </row>
    <row r="21">
      <c r="A21" s="2" t="inlineStr">
        <is>
          <t>• Desempate: gana quien llegó primero a ese puntaje (fecha de su último movimiento). No hay azar.</t>
        </is>
      </c>
    </row>
    <row r="22">
      <c r="A22" s="2" t="inlineStr">
        <is>
          <t>• Empleados, socios y sus familiares no compiten por los premios del ranking.</t>
        </is>
      </c>
    </row>
    <row r="23">
      <c r="A23" s="2" t="inlineStr">
        <is>
          <t>• Pixel Burger puede anular XP obtenida con trampa (se registra como «Ajuste del administrador» con XP negativa).</t>
        </is>
      </c>
    </row>
    <row r="24">
      <c r="A24" s="2" t="inlineStr">
        <is>
          <t>• Control cruzado: cada lunes el socio que no registró los movimientos revisa la hoja Movimientos.</t>
        </is>
      </c>
    </row>
    <row r="25">
      <c r="A25" s="2" t="inlineStr"/>
    </row>
    <row r="26">
      <c r="A26" s="3" t="inlineStr">
        <is>
          <t>PREMIOS DEL RANKING (19 de noviembre)</t>
        </is>
      </c>
    </row>
    <row r="27">
      <c r="A27" s="2" t="inlineStr">
        <is>
          <t>1.er puesto: GTA VI (PS5 o Xbox Series, a elección del ganador) · 2.º y 3.º: 2 hamburguesas a elección · 4.º al 10.º: 1 hamburguesa a elección.</t>
        </is>
      </c>
    </row>
    <row r="28">
      <c r="A28" s="2" t="inlineStr">
        <is>
          <t>Además, cada jugador desbloquea recompensas por nivel (hoja Logros). La XP no se gasta: los niveles se acumulan.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34" customWidth="1" min="4" max="4"/>
    <col width="28" customWidth="1" min="6" max="6"/>
    <col width="12" customWidth="1" min="7" max="7"/>
  </cols>
  <sheetData>
    <row r="1">
      <c r="A1" s="4" t="inlineStr">
        <is>
          <t>RANKING · MISIÓN PIXEL</t>
        </is>
      </c>
    </row>
    <row r="2">
      <c r="A2" s="5" t="inlineStr">
        <is>
          <t>Se actualiza solo. Para publicar en Historias: captura solo esta tabla (alias y XP, sin datos personales).</t>
        </is>
      </c>
    </row>
    <row r="4" ht="32" customHeight="1">
      <c r="A4" s="6" t="inlineStr">
        <is>
          <t>Puesto</t>
        </is>
      </c>
      <c r="B4" s="6" t="inlineStr">
        <is>
          <t>Alias</t>
        </is>
      </c>
      <c r="C4" s="6" t="inlineStr">
        <is>
          <t>XP</t>
        </is>
      </c>
      <c r="D4" s="6" t="inlineStr">
        <is>
          <t>Premio si cerrara hoy</t>
        </is>
      </c>
      <c r="F4" s="7" t="inlineStr">
        <is>
          <t>RESUMEN</t>
        </is>
      </c>
    </row>
    <row r="5">
      <c r="A5" s="8" t="n">
        <v>1</v>
      </c>
      <c r="B5" s="9">
        <f>IFERROR(INDEX(Jugadores!$C$2:$C$501,MATCH(A5,Jugadores!$O$2:$O$501,0)),"")</f>
        <v/>
      </c>
      <c r="C5" s="10">
        <f>IFERROR(INDEX(Jugadores!$L$2:$L$501,MATCH(A5,Jugadores!$O$2:$O$501,0)),"")</f>
        <v/>
      </c>
      <c r="D5" s="8">
        <f>IF(B5="","","GTA VI")</f>
        <v/>
      </c>
      <c r="F5" s="8" t="inlineStr">
        <is>
          <t>Jugadores registrados</t>
        </is>
      </c>
      <c r="G5" s="10">
        <f>COUNTA(Jugadores!$A$2:$A$501)</f>
        <v/>
      </c>
    </row>
    <row r="6">
      <c r="A6" s="8" t="n">
        <v>2</v>
      </c>
      <c r="B6" s="9">
        <f>IFERROR(INDEX(Jugadores!$C$2:$C$501,MATCH(A6,Jugadores!$O$2:$O$501,0)),"")</f>
        <v/>
      </c>
      <c r="C6" s="10">
        <f>IFERROR(INDEX(Jugadores!$L$2:$L$501,MATCH(A6,Jugadores!$O$2:$O$501,0)),"")</f>
        <v/>
      </c>
      <c r="D6" s="8">
        <f>IF(B6="","","2 hamburguesas a elección")</f>
        <v/>
      </c>
      <c r="F6" s="8" t="inlineStr">
        <is>
          <t>Jugadores que compiten</t>
        </is>
      </c>
      <c r="G6" s="10">
        <f>COUNTIF(Jugadores!$N$2:$N$501,"Sí")</f>
        <v/>
      </c>
    </row>
    <row r="7">
      <c r="A7" s="8" t="n">
        <v>3</v>
      </c>
      <c r="B7" s="9">
        <f>IFERROR(INDEX(Jugadores!$C$2:$C$501,MATCH(A7,Jugadores!$O$2:$O$501,0)),"")</f>
        <v/>
      </c>
      <c r="C7" s="10">
        <f>IFERROR(INDEX(Jugadores!$L$2:$L$501,MATCH(A7,Jugadores!$O$2:$O$501,0)),"")</f>
        <v/>
      </c>
      <c r="D7" s="8">
        <f>IF(B7="","","2 hamburguesas a elección")</f>
        <v/>
      </c>
      <c r="F7" s="8" t="inlineStr">
        <is>
          <t>XP total entregada</t>
        </is>
      </c>
      <c r="G7" s="10">
        <f>SUM(Movimientos!$F$2:$F$3001)</f>
        <v/>
      </c>
    </row>
    <row r="8">
      <c r="A8" s="8" t="n">
        <v>4</v>
      </c>
      <c r="B8" s="9">
        <f>IFERROR(INDEX(Jugadores!$C$2:$C$501,MATCH(A8,Jugadores!$O$2:$O$501,0)),"")</f>
        <v/>
      </c>
      <c r="C8" s="10">
        <f>IFERROR(INDEX(Jugadores!$L$2:$L$501,MATCH(A8,Jugadores!$O$2:$O$501,0)),"")</f>
        <v/>
      </c>
      <c r="D8" s="8">
        <f>IF(B8="","","1 hamburguesa a elección")</f>
        <v/>
      </c>
      <c r="F8" s="8" t="inlineStr">
        <is>
          <t>Pedidos con XP</t>
        </is>
      </c>
      <c r="G8" s="10">
        <f>SUMIF(Movimientos!$D$2:$D$3001,"Pedido",Movimientos!$E$2:$E$3001)</f>
        <v/>
      </c>
    </row>
    <row r="9">
      <c r="A9" s="8" t="n">
        <v>5</v>
      </c>
      <c r="B9" s="9">
        <f>IFERROR(INDEX(Jugadores!$C$2:$C$501,MATCH(A9,Jugadores!$O$2:$O$501,0)),"")</f>
        <v/>
      </c>
      <c r="C9" s="10">
        <f>IFERROR(INDEX(Jugadores!$L$2:$L$501,MATCH(A9,Jugadores!$O$2:$O$501,0)),"")</f>
        <v/>
      </c>
      <c r="D9" s="8">
        <f>IF(B9="","","1 hamburguesa a elección")</f>
        <v/>
      </c>
      <c r="F9" s="8" t="inlineStr">
        <is>
          <t>Hamburguesas registradas</t>
        </is>
      </c>
      <c r="G9" s="10">
        <f>SUMIF(Movimientos!$D$2:$D$3001,"Pedido",Movimientos!$E$2:$E$3001)+SUMIF(Movimientos!$D$2:$D$3001,"Hamburguesa adicional en el pedido",Movimientos!$E$2:$E$3001)</f>
        <v/>
      </c>
    </row>
    <row r="10">
      <c r="A10" s="8" t="n">
        <v>6</v>
      </c>
      <c r="B10" s="9">
        <f>IFERROR(INDEX(Jugadores!$C$2:$C$501,MATCH(A10,Jugadores!$O$2:$O$501,0)),"")</f>
        <v/>
      </c>
      <c r="C10" s="10">
        <f>IFERROR(INDEX(Jugadores!$L$2:$L$501,MATCH(A10,Jugadores!$O$2:$O$501,0)),"")</f>
        <v/>
      </c>
      <c r="D10" s="8">
        <f>IF(B10="","","1 hamburguesa a elección")</f>
        <v/>
      </c>
      <c r="F10" s="8" t="inlineStr">
        <is>
          <t>Referidos que compraron</t>
        </is>
      </c>
      <c r="G10" s="10">
        <f>SUMIF(Movimientos!$D$2:$D$3001,"Referido con primer pedido",Movimientos!$E$2:$E$3001)</f>
        <v/>
      </c>
    </row>
    <row r="11">
      <c r="A11" s="8" t="n">
        <v>7</v>
      </c>
      <c r="B11" s="9">
        <f>IFERROR(INDEX(Jugadores!$C$2:$C$501,MATCH(A11,Jugadores!$O$2:$O$501,0)),"")</f>
        <v/>
      </c>
      <c r="C11" s="10">
        <f>IFERROR(INDEX(Jugadores!$L$2:$L$501,MATCH(A11,Jugadores!$O$2:$O$501,0)),"")</f>
        <v/>
      </c>
      <c r="D11" s="8">
        <f>IF(B11="","","1 hamburguesa a elección")</f>
        <v/>
      </c>
      <c r="F11" s="8" t="inlineStr">
        <is>
          <t>Diseños de caja</t>
        </is>
      </c>
      <c r="G11" s="10">
        <f>SUMIF(Movimientos!$D$2:$D$3001,"Diseño de caja #CajaPixel",Movimientos!$E$2:$E$3001)</f>
        <v/>
      </c>
    </row>
    <row r="12">
      <c r="A12" s="8" t="n">
        <v>8</v>
      </c>
      <c r="B12" s="9">
        <f>IFERROR(INDEX(Jugadores!$C$2:$C$501,MATCH(A12,Jugadores!$O$2:$O$501,0)),"")</f>
        <v/>
      </c>
      <c r="C12" s="10">
        <f>IFERROR(INDEX(Jugadores!$L$2:$L$501,MATCH(A12,Jugadores!$O$2:$O$501,0)),"")</f>
        <v/>
      </c>
      <c r="D12" s="8">
        <f>IF(B12="","","1 hamburguesa a elección")</f>
        <v/>
      </c>
      <c r="F12" s="8" t="inlineStr">
        <is>
          <t>Recompensas por entregar</t>
        </is>
      </c>
      <c r="G12" s="10">
        <f>COUNTIF(Jugadores!$R$2:$R$501,"Sí*")</f>
        <v/>
      </c>
    </row>
    <row r="13">
      <c r="A13" s="8" t="n">
        <v>9</v>
      </c>
      <c r="B13" s="9">
        <f>IFERROR(INDEX(Jugadores!$C$2:$C$501,MATCH(A13,Jugadores!$O$2:$O$501,0)),"")</f>
        <v/>
      </c>
      <c r="C13" s="10">
        <f>IFERROR(INDEX(Jugadores!$L$2:$L$501,MATCH(A13,Jugadores!$O$2:$O$501,0)),"")</f>
        <v/>
      </c>
      <c r="D13" s="8">
        <f>IF(B13="","","1 hamburguesa a elección")</f>
        <v/>
      </c>
    </row>
    <row r="14">
      <c r="A14" s="8" t="n">
        <v>10</v>
      </c>
      <c r="B14" s="9">
        <f>IFERROR(INDEX(Jugadores!$C$2:$C$501,MATCH(A14,Jugadores!$O$2:$O$501,0)),"")</f>
        <v/>
      </c>
      <c r="C14" s="10">
        <f>IFERROR(INDEX(Jugadores!$L$2:$L$501,MATCH(A14,Jugadores!$O$2:$O$501,0)),"")</f>
        <v/>
      </c>
      <c r="D14" s="8">
        <f>IF(B14="","","1 hamburguesa a elección")</f>
        <v/>
      </c>
    </row>
    <row r="15">
      <c r="A15" s="8" t="n">
        <v>11</v>
      </c>
      <c r="B15" s="9">
        <f>IFERROR(INDEX(Jugadores!$C$2:$C$501,MATCH(A15,Jugadores!$O$2:$O$501,0)),"")</f>
        <v/>
      </c>
      <c r="C15" s="10">
        <f>IFERROR(INDEX(Jugadores!$L$2:$L$501,MATCH(A15,Jugadores!$O$2:$O$501,0)),"")</f>
        <v/>
      </c>
      <c r="D15" s="8" t="inlineStr"/>
    </row>
    <row r="16">
      <c r="A16" s="8" t="n">
        <v>12</v>
      </c>
      <c r="B16" s="9">
        <f>IFERROR(INDEX(Jugadores!$C$2:$C$501,MATCH(A16,Jugadores!$O$2:$O$501,0)),"")</f>
        <v/>
      </c>
      <c r="C16" s="10">
        <f>IFERROR(INDEX(Jugadores!$L$2:$L$501,MATCH(A16,Jugadores!$O$2:$O$501,0)),"")</f>
        <v/>
      </c>
      <c r="D16" s="8" t="inlineStr"/>
    </row>
    <row r="17">
      <c r="A17" s="8" t="n">
        <v>13</v>
      </c>
      <c r="B17" s="9">
        <f>IFERROR(INDEX(Jugadores!$C$2:$C$501,MATCH(A17,Jugadores!$O$2:$O$501,0)),"")</f>
        <v/>
      </c>
      <c r="C17" s="10">
        <f>IFERROR(INDEX(Jugadores!$L$2:$L$501,MATCH(A17,Jugadores!$O$2:$O$501,0)),"")</f>
        <v/>
      </c>
      <c r="D17" s="8" t="inlineStr"/>
    </row>
    <row r="18">
      <c r="A18" s="8" t="n">
        <v>14</v>
      </c>
      <c r="B18" s="9">
        <f>IFERROR(INDEX(Jugadores!$C$2:$C$501,MATCH(A18,Jugadores!$O$2:$O$501,0)),"")</f>
        <v/>
      </c>
      <c r="C18" s="10">
        <f>IFERROR(INDEX(Jugadores!$L$2:$L$501,MATCH(A18,Jugadores!$O$2:$O$501,0)),"")</f>
        <v/>
      </c>
      <c r="D18" s="8" t="inlineStr"/>
    </row>
    <row r="19">
      <c r="A19" s="8" t="n">
        <v>15</v>
      </c>
      <c r="B19" s="9">
        <f>IFERROR(INDEX(Jugadores!$C$2:$C$501,MATCH(A19,Jugadores!$O$2:$O$501,0)),"")</f>
        <v/>
      </c>
      <c r="C19" s="10">
        <f>IFERROR(INDEX(Jugadores!$L$2:$L$501,MATCH(A19,Jugadores!$O$2:$O$501,0)),"")</f>
        <v/>
      </c>
      <c r="D19" s="8" t="inlineStr"/>
    </row>
    <row r="20">
      <c r="A20" s="8" t="n">
        <v>16</v>
      </c>
      <c r="B20" s="9">
        <f>IFERROR(INDEX(Jugadores!$C$2:$C$501,MATCH(A20,Jugadores!$O$2:$O$501,0)),"")</f>
        <v/>
      </c>
      <c r="C20" s="10">
        <f>IFERROR(INDEX(Jugadores!$L$2:$L$501,MATCH(A20,Jugadores!$O$2:$O$501,0)),"")</f>
        <v/>
      </c>
      <c r="D20" s="8" t="inlineStr"/>
    </row>
    <row r="21">
      <c r="A21" s="8" t="n">
        <v>17</v>
      </c>
      <c r="B21" s="9">
        <f>IFERROR(INDEX(Jugadores!$C$2:$C$501,MATCH(A21,Jugadores!$O$2:$O$501,0)),"")</f>
        <v/>
      </c>
      <c r="C21" s="10">
        <f>IFERROR(INDEX(Jugadores!$L$2:$L$501,MATCH(A21,Jugadores!$O$2:$O$501,0)),"")</f>
        <v/>
      </c>
      <c r="D21" s="8" t="inlineStr"/>
    </row>
    <row r="22">
      <c r="A22" s="8" t="n">
        <v>18</v>
      </c>
      <c r="B22" s="9">
        <f>IFERROR(INDEX(Jugadores!$C$2:$C$501,MATCH(A22,Jugadores!$O$2:$O$501,0)),"")</f>
        <v/>
      </c>
      <c r="C22" s="10">
        <f>IFERROR(INDEX(Jugadores!$L$2:$L$501,MATCH(A22,Jugadores!$O$2:$O$501,0)),"")</f>
        <v/>
      </c>
      <c r="D22" s="8" t="inlineStr"/>
    </row>
    <row r="23">
      <c r="A23" s="8" t="n">
        <v>19</v>
      </c>
      <c r="B23" s="9">
        <f>IFERROR(INDEX(Jugadores!$C$2:$C$501,MATCH(A23,Jugadores!$O$2:$O$501,0)),"")</f>
        <v/>
      </c>
      <c r="C23" s="10">
        <f>IFERROR(INDEX(Jugadores!$L$2:$L$501,MATCH(A23,Jugadores!$O$2:$O$501,0)),"")</f>
        <v/>
      </c>
      <c r="D23" s="8" t="inlineStr"/>
    </row>
    <row r="24">
      <c r="A24" s="8" t="n">
        <v>20</v>
      </c>
      <c r="B24" s="9">
        <f>IFERROR(INDEX(Jugadores!$C$2:$C$501,MATCH(A24,Jugadores!$O$2:$O$501,0)),"")</f>
        <v/>
      </c>
      <c r="C24" s="10">
        <f>IFERROR(INDEX(Jugadores!$L$2:$L$501,MATCH(A24,Jugadores!$O$2:$O$501,0)),"")</f>
        <v/>
      </c>
      <c r="D2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30" customWidth="1" min="3" max="3"/>
    <col width="42" customWidth="1" min="4" max="4"/>
    <col width="46" customWidth="1" min="5" max="5"/>
  </cols>
  <sheetData>
    <row r="1" ht="32" customHeight="1">
      <c r="A1" s="6" t="inlineStr">
        <is>
          <t>Acción</t>
        </is>
      </c>
      <c r="B1" s="6" t="inlineStr">
        <is>
          <t>XP</t>
        </is>
      </c>
      <c r="C1" s="6" t="inlineStr">
        <is>
          <t>Límite</t>
        </is>
      </c>
      <c r="D1" s="6" t="inlineStr">
        <is>
          <t>Cómo se verifica</t>
        </is>
      </c>
      <c r="E1" s="6" t="inlineStr">
        <is>
          <t>Por qué</t>
        </is>
      </c>
    </row>
    <row r="2">
      <c r="A2" s="2" t="inlineStr">
        <is>
          <t>Registro</t>
        </is>
      </c>
      <c r="B2" s="11" t="n">
        <v>100</v>
      </c>
      <c r="C2" s="2" t="inlineStr">
        <is>
          <t>1 vez por jugador</t>
        </is>
      </c>
      <c r="D2" s="2" t="inlineStr">
        <is>
          <t>Formulario completo, mayor de 18, autoriza datos</t>
        </is>
      </c>
      <c r="E2" s="2" t="inlineStr">
        <is>
          <t>Entrada al juego</t>
        </is>
      </c>
    </row>
    <row r="3">
      <c r="A3" s="2" t="inlineStr">
        <is>
          <t>Pedido</t>
        </is>
      </c>
      <c r="B3" s="11" t="n">
        <v>300</v>
      </c>
      <c r="C3" s="2" t="inlineStr">
        <is>
          <t>Máximo 1 pedido con XP al día</t>
        </is>
      </c>
      <c r="D3" s="2" t="inlineStr">
        <is>
          <t>El cajero anota el ID al cobrar</t>
        </is>
      </c>
      <c r="E3" s="2" t="inlineStr">
        <is>
          <t>Premia la frecuencia de compra</t>
        </is>
      </c>
    </row>
    <row r="4">
      <c r="A4" s="2" t="inlineStr">
        <is>
          <t>Hamburguesa adicional en el pedido</t>
        </is>
      </c>
      <c r="B4" s="11" t="n">
        <v>100</v>
      </c>
      <c r="C4" s="2" t="inlineStr">
        <is>
          <t>Máximo 4 por pedido</t>
        </is>
      </c>
      <c r="D4" s="2" t="inlineStr">
        <is>
          <t>Mismo ticket del pedido</t>
        </is>
      </c>
      <c r="E4" s="2" t="inlineStr">
        <is>
          <t>Sube el ticket sin que el ranking se compre con un solo pedido grande</t>
        </is>
      </c>
    </row>
    <row r="5">
      <c r="A5" s="2" t="inlineStr">
        <is>
          <t>Bonus Montañera</t>
        </is>
      </c>
      <c r="B5" s="11" t="n">
        <v>50</v>
      </c>
      <c r="C5" s="2" t="inlineStr">
        <is>
          <t>Por cada Montañera del pedido</t>
        </is>
      </c>
      <c r="D5" s="2" t="inlineStr">
        <is>
          <t>Mismo ticket del pedido</t>
        </is>
      </c>
      <c r="E5" s="2" t="inlineStr">
        <is>
          <t>Es la hamburguesa que más margen deja</t>
        </is>
      </c>
    </row>
    <row r="6">
      <c r="A6" s="2" t="inlineStr">
        <is>
          <t>Foto con Byte publicada</t>
        </is>
      </c>
      <c r="B6" s="11" t="n">
        <v>200</v>
      </c>
      <c r="C6" s="2" t="inlineStr">
        <is>
          <t>Máximo 1 por semana</t>
        </is>
      </c>
      <c r="D6" s="2" t="inlineStr">
        <is>
          <t>Publicación pública que etiqueta a Pixel Burger</t>
        </is>
      </c>
      <c r="E6" s="2" t="inlineStr">
        <is>
          <t>Contenido y alcance en redes</t>
        </is>
      </c>
    </row>
    <row r="7">
      <c r="A7" s="2" t="inlineStr">
        <is>
          <t>Referido con primer pedido</t>
        </is>
      </c>
      <c r="B7" s="11" t="n">
        <v>400</v>
      </c>
      <c r="C7" s="2" t="inlineStr">
        <is>
          <t>Máximo 5 referidos por jugador</t>
        </is>
      </c>
      <c r="D7" s="2" t="inlineStr">
        <is>
          <t>El referido escribió este ID al registrarse y ya hizo su primer pedido</t>
        </is>
      </c>
      <c r="E7" s="2" t="inlineStr">
        <is>
          <t>Clientes nuevos que sí compran</t>
        </is>
      </c>
    </row>
    <row r="8">
      <c r="A8" s="2" t="inlineStr">
        <is>
          <t>Diseño de caja #CajaPixel</t>
        </is>
      </c>
      <c r="B8" s="11" t="n">
        <v>300</v>
      </c>
      <c r="C8" s="2" t="inlineStr">
        <is>
          <t>Máximo 1 por semana</t>
        </is>
      </c>
      <c r="D8" s="2" t="inlineStr">
        <is>
          <t>Foto pública con #CajaPixel o enviada por WhatsApp</t>
        </is>
      </c>
      <c r="E8" s="2" t="inlineStr">
        <is>
          <t>Conecta con «No tenemos imagen»</t>
        </is>
      </c>
    </row>
    <row r="9">
      <c r="A9" s="2" t="inlineStr">
        <is>
          <t>Código del cartel secreto</t>
        </is>
      </c>
      <c r="B9" s="11" t="n">
        <v>150</v>
      </c>
      <c r="C9" s="2" t="inlineStr">
        <is>
          <t>Cada código, 1 vez por jugador</t>
        </is>
      </c>
      <c r="D9" s="2" t="inlineStr">
        <is>
          <t>El jugador envía el código por WhatsApp</t>
        </is>
      </c>
      <c r="E9" s="2" t="inlineStr">
        <is>
          <t>Hace que la gente busque los carteles</t>
        </is>
      </c>
    </row>
    <row r="10">
      <c r="A10" s="2" t="inlineStr">
        <is>
          <t>Le ganó a Byte</t>
        </is>
      </c>
      <c r="B10" s="11" t="n">
        <v>100</v>
      </c>
      <c r="C10" s="2" t="inlineStr">
        <is>
          <t>Máximo 1 al día</t>
        </is>
      </c>
      <c r="D10" s="2" t="inlineStr">
        <is>
          <t>Lo confirma el acompañante de Byte</t>
        </is>
      </c>
      <c r="E10" s="2" t="inlineStr">
        <is>
          <t>Interacción en la calle</t>
        </is>
      </c>
    </row>
    <row r="11">
      <c r="A11" s="2" t="inlineStr">
        <is>
          <t>Ajuste del administrador</t>
        </is>
      </c>
      <c r="B11" s="11" t="n">
        <v>1</v>
      </c>
      <c r="C11" s="2" t="inlineStr">
        <is>
          <t>Solo el administrador</t>
        </is>
      </c>
      <c r="D11" s="2" t="inlineStr">
        <is>
          <t>La nota explica el motivo</t>
        </is>
      </c>
      <c r="E11" s="2" t="inlineStr">
        <is>
          <t>Corregir errores o anular trampas: la XP = la cantidad (puede ser negativa)</t>
        </is>
      </c>
    </row>
    <row r="12">
      <c r="A12" s="2" t="inlineStr">
        <is>
          <t>Recompensa entregada</t>
        </is>
      </c>
      <c r="B12" s="11" t="n">
        <v>0</v>
      </c>
      <c r="C12" s="2" t="inlineStr">
        <is>
          <t>Informativo</t>
        </is>
      </c>
      <c r="D12" s="2" t="inlineStr">
        <is>
          <t>Nota: qué se entregó</t>
        </is>
      </c>
      <c r="E12" s="2" t="inlineStr">
        <is>
          <t>Deja rastro de los premios entregados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52" customWidth="1" min="4" max="4"/>
    <col width="30" customWidth="1" min="5" max="5"/>
    <col width="40" customWidth="1" min="6" max="6"/>
  </cols>
  <sheetData>
    <row r="1" ht="32" customHeight="1">
      <c r="A1" s="6" t="inlineStr">
        <is>
          <t>Nivel</t>
        </is>
      </c>
      <c r="B1" s="6" t="inlineStr">
        <is>
          <t>Nombre</t>
        </is>
      </c>
      <c r="C1" s="6" t="inlineStr">
        <is>
          <t>XP mínima</t>
        </is>
      </c>
      <c r="D1" s="6" t="inlineStr">
        <is>
          <t>Recompensa (1 vez por jugador)</t>
        </is>
      </c>
      <c r="E1" s="6" t="inlineStr">
        <is>
          <t>Costo aprox. para Pixel Burger</t>
        </is>
      </c>
      <c r="F1" s="6" t="inlineStr">
        <is>
          <t>Equivale más o menos a</t>
        </is>
      </c>
    </row>
    <row r="2">
      <c r="A2" s="2" t="n">
        <v>0</v>
      </c>
      <c r="B2" s="2" t="inlineStr">
        <is>
          <t>Sin nivel</t>
        </is>
      </c>
      <c r="C2" s="12" t="n">
        <v>0</v>
      </c>
      <c r="D2" s="11" t="inlineStr">
        <is>
          <t>—</t>
        </is>
      </c>
      <c r="E2" s="2" t="inlineStr">
        <is>
          <t>—</t>
        </is>
      </c>
      <c r="F2" s="2" t="inlineStr">
        <is>
          <t>—</t>
        </is>
      </c>
    </row>
    <row r="3">
      <c r="A3" s="2" t="n">
        <v>1</v>
      </c>
      <c r="B3" s="2" t="inlineStr">
        <is>
          <t>Jugador</t>
        </is>
      </c>
      <c r="C3" s="12" t="n">
        <v>100</v>
      </c>
      <c r="D3" s="11" t="inlineStr">
        <is>
          <t>Power-up: salsa extra gratis en el primer pedido</t>
        </is>
      </c>
      <c r="E3" s="2" t="inlineStr">
        <is>
          <t>≈ $200–400</t>
        </is>
      </c>
      <c r="F3" s="2" t="inlineStr">
        <is>
          <t>Registrarse</t>
        </is>
      </c>
    </row>
    <row r="4">
      <c r="A4" s="2" t="n">
        <v>2</v>
      </c>
      <c r="B4" s="2" t="inlineStr">
        <is>
          <t>Veterano</t>
        </is>
      </c>
      <c r="C4" s="12" t="n">
        <v>1000</v>
      </c>
      <c r="D4" s="11" t="inlineStr">
        <is>
          <t>Mejora gratis: Montañera o Cheese al precio de la Clásica</t>
        </is>
      </c>
      <c r="E4" s="2" t="inlineStr">
        <is>
          <t>≈ $1.300–2.200 (la diferencia de costo)</t>
        </is>
      </c>
      <c r="F4" s="2" t="inlineStr">
        <is>
          <t>Registro + 3 pedidos</t>
        </is>
      </c>
    </row>
    <row r="5">
      <c r="A5" s="2" t="n">
        <v>3</v>
      </c>
      <c r="B5" s="2" t="inlineStr">
        <is>
          <t>Élite</t>
        </is>
      </c>
      <c r="C5" s="12" t="n">
        <v>2000</v>
      </c>
      <c r="D5" s="11" t="inlineStr">
        <is>
          <t>Una Clásica gratis</t>
        </is>
      </c>
      <c r="E5" s="2" t="inlineStr">
        <is>
          <t>≈ $6.900 (ingredientes + empaque)</t>
        </is>
      </c>
      <c r="F5" s="2" t="inlineStr">
        <is>
          <t>~6 pedidos, o 4 pedidos + 1 referido</t>
        </is>
      </c>
    </row>
    <row r="6">
      <c r="A6" s="2" t="n">
        <v>4</v>
      </c>
      <c r="B6" s="2" t="inlineStr">
        <is>
          <t>Leyenda</t>
        </is>
      </c>
      <c r="C6" s="12" t="n">
        <v>4000</v>
      </c>
      <c r="D6" s="11" t="inlineStr">
        <is>
          <t>Dos hamburguesas Clásicas gratis</t>
        </is>
      </c>
      <c r="E6" s="2" t="inlineStr">
        <is>
          <t>≈ $13.800</t>
        </is>
      </c>
      <c r="F6" s="2" t="inlineStr">
        <is>
          <t>~10–12 acciones</t>
        </is>
      </c>
    </row>
    <row r="8">
      <c r="A8" s="5" t="inlineStr">
        <is>
          <t>La XP mínima debe ir de menor a mayor. Los costos son estimados con los costos del plan recomendado (octubre 2026); el costo de cada recompensa es ~2–6% del margen que dejan los pedidos necesarios para alcanzarla.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4" customWidth="1" min="4" max="4"/>
    <col width="18" customWidth="1" min="5" max="5"/>
    <col width="16" customWidth="1" min="6" max="6"/>
    <col width="16" customWidth="1" min="7" max="7"/>
    <col width="10" customWidth="1" min="8" max="8"/>
    <col width="10" customWidth="1" min="9" max="9"/>
    <col width="12" customWidth="1" min="10" max="10"/>
    <col width="11" customWidth="1" min="11" max="11"/>
    <col width="10" customWidth="1" min="12" max="12"/>
    <col width="17" customWidth="1" min="13" max="13"/>
    <col width="10" customWidth="1" min="14" max="14"/>
    <col width="8" customWidth="1" min="15" max="15"/>
    <col width="10" customWidth="1" min="16" max="16"/>
    <col width="10" customWidth="1" min="17" max="17"/>
    <col width="34" customWidth="1" min="18" max="18"/>
    <col hidden="1" width="12" customWidth="1" min="19" max="19"/>
  </cols>
  <sheetData>
    <row r="1" ht="32" customHeight="1">
      <c r="A1" s="6" t="inlineStr">
        <is>
          <t>ID</t>
        </is>
      </c>
      <c r="B1" s="6" t="inlineStr">
        <is>
          <t>Nombre</t>
        </is>
      </c>
      <c r="C1" s="6" t="inlineStr">
        <is>
          <t>Alias público (ranking)</t>
        </is>
      </c>
      <c r="D1" s="6" t="inlineStr">
        <is>
          <t>WhatsApp</t>
        </is>
      </c>
      <c r="E1" s="6" t="inlineStr">
        <is>
          <t>Instagram</t>
        </is>
      </c>
      <c r="F1" s="6" t="inlineStr">
        <is>
          <t>Barrio</t>
        </is>
      </c>
      <c r="G1" s="6" t="inlineStr">
        <is>
          <t>Fecha de registro</t>
        </is>
      </c>
      <c r="H1" s="6" t="inlineStr">
        <is>
          <t>¿Mayor de 18?</t>
        </is>
      </c>
      <c r="I1" s="6" t="inlineStr">
        <is>
          <t>¿Autoriza datos?</t>
        </is>
      </c>
      <c r="J1" s="6" t="inlineStr">
        <is>
          <t>Referido por (ID)</t>
        </is>
      </c>
      <c r="K1" s="6" t="inlineStr">
        <is>
          <t>¿Empleado o familiar?</t>
        </is>
      </c>
      <c r="L1" s="6" t="inlineStr">
        <is>
          <t>XP total</t>
        </is>
      </c>
      <c r="M1" s="6" t="inlineStr">
        <is>
          <t>Último movimiento</t>
        </is>
      </c>
      <c r="N1" s="6" t="inlineStr">
        <is>
          <t>¿Compite?</t>
        </is>
      </c>
      <c r="O1" s="6" t="inlineStr">
        <is>
          <t>Puesto</t>
        </is>
      </c>
      <c r="P1" s="6" t="inlineStr">
        <is>
          <t>Nivel alcanzado</t>
        </is>
      </c>
      <c r="Q1" s="6" t="inlineStr">
        <is>
          <t>Nivel entregado</t>
        </is>
      </c>
      <c r="R1" s="6" t="inlineStr">
        <is>
          <t>¿Entregar recompensa?</t>
        </is>
      </c>
      <c r="S1" s="6" t="inlineStr">
        <is>
          <t>Clave orden (no tocar)</t>
        </is>
      </c>
    </row>
    <row r="2">
      <c r="A2" s="13" t="inlineStr">
        <is>
          <t>#0001</t>
        </is>
      </c>
      <c r="B2" s="13" t="inlineStr">
        <is>
          <t>Ejemplo (borrar)</t>
        </is>
      </c>
      <c r="C2" s="13" t="inlineStr">
        <is>
          <t>PlayerUno</t>
        </is>
      </c>
      <c r="D2" s="14" t="inlineStr">
        <is>
          <t>3001234567</t>
        </is>
      </c>
      <c r="E2" s="13" t="inlineStr">
        <is>
          <t>@ejemplo</t>
        </is>
      </c>
      <c r="F2" s="13" t="inlineStr">
        <is>
          <t>Robledo</t>
        </is>
      </c>
      <c r="G2" s="15" t="n">
        <v>46315.77083333334</v>
      </c>
      <c r="H2" s="13" t="inlineStr">
        <is>
          <t>Sí</t>
        </is>
      </c>
      <c r="I2" s="13" t="inlineStr">
        <is>
          <t>Sí</t>
        </is>
      </c>
      <c r="J2" s="13" t="inlineStr"/>
      <c r="K2" s="13" t="inlineStr">
        <is>
          <t>No</t>
        </is>
      </c>
      <c r="L2" s="16">
        <f>IF(A2="","",SUMIF(Movimientos!$B$2:$B$3001,A2,Movimientos!$F$2:$F$3001))</f>
        <v/>
      </c>
      <c r="M2" s="17">
        <f>IF(A2="","",IF(COUNTIF(Movimientos!$B$2:$B$3001,A2)=0,"",_xlfn.MAXIFS(Movimientos!$A$2:$A$3001,Movimientos!$B$2:$B$3001,A2)))</f>
        <v/>
      </c>
      <c r="N2" s="18">
        <f>IF(A2="","",IF(AND(H2="Sí",I2="Sí",K2&lt;&gt;"Sí"),"Sí","No"))</f>
        <v/>
      </c>
      <c r="O2" s="18">
        <f>IF(S2="","",1+COUNTIFS($N$2:$N$501,"Sí",$S$2:$S$501,"&gt;"&amp;S2))</f>
        <v/>
      </c>
      <c r="P2" s="18">
        <f>IF(A2="","",INDEX(Logros!$A$2:$A$6,MATCH(N(L2),Logros!$C$2:$C$6,1)))</f>
        <v/>
      </c>
      <c r="Q2" s="19" t="n">
        <v>1</v>
      </c>
      <c r="R2" s="18">
        <f>IF(OR(A2="",P2=""),"",IF(P2&gt;N(Q2),"Sí: entregar nivel "&amp;(N(Q2)+1)&amp;IF(P2&gt;N(Q2)+1," al "&amp;P2,"")&amp;" (ver Logros)",""))</f>
        <v/>
      </c>
      <c r="S2" s="20">
        <f>IF(OR(A2="",N2&lt;&gt;"Sí",N(L2)&lt;=0),"",(N(L2)*100000-MAX(0,ROUND((N(M2)-DATE(2026,10,1))*1440,0)))*1000-ROW())</f>
        <v/>
      </c>
    </row>
    <row r="3">
      <c r="A3" s="19" t="n"/>
      <c r="B3" s="19" t="n"/>
      <c r="C3" s="19" t="n"/>
      <c r="D3" s="21" t="n"/>
      <c r="E3" s="19" t="n"/>
      <c r="F3" s="19" t="n"/>
      <c r="G3" s="22" t="n"/>
      <c r="H3" s="19" t="n"/>
      <c r="I3" s="19" t="n"/>
      <c r="J3" s="19" t="n"/>
      <c r="K3" s="19" t="n"/>
      <c r="L3" s="16">
        <f>IF(A3="","",SUMIF(Movimientos!$B$2:$B$3001,A3,Movimientos!$F$2:$F$3001))</f>
        <v/>
      </c>
      <c r="M3" s="17">
        <f>IF(A3="","",IF(COUNTIF(Movimientos!$B$2:$B$3001,A3)=0,"",_xlfn.MAXIFS(Movimientos!$A$2:$A$3001,Movimientos!$B$2:$B$3001,A3)))</f>
        <v/>
      </c>
      <c r="N3" s="18">
        <f>IF(A3="","",IF(AND(H3="Sí",I3="Sí",K3&lt;&gt;"Sí"),"Sí","No"))</f>
        <v/>
      </c>
      <c r="O3" s="18">
        <f>IF(S3="","",1+COUNTIFS($N$2:$N$501,"Sí",$S$2:$S$501,"&gt;"&amp;S3))</f>
        <v/>
      </c>
      <c r="P3" s="18">
        <f>IF(A3="","",INDEX(Logros!$A$2:$A$6,MATCH(N(L3),Logros!$C$2:$C$6,1)))</f>
        <v/>
      </c>
      <c r="Q3" s="19" t="n"/>
      <c r="R3" s="18">
        <f>IF(OR(A3="",P3=""),"",IF(P3&gt;N(Q3),"Sí: entregar nivel "&amp;(N(Q3)+1)&amp;IF(P3&gt;N(Q3)+1," al "&amp;P3,"")&amp;" (ver Logros)",""))</f>
        <v/>
      </c>
      <c r="S3" s="20">
        <f>IF(OR(A3="",N3&lt;&gt;"Sí",N(L3)&lt;=0),"",(N(L3)*100000-MAX(0,ROUND((N(M3)-DATE(2026,10,1))*1440,0)))*1000-ROW())</f>
        <v/>
      </c>
    </row>
    <row r="4">
      <c r="A4" s="19" t="n"/>
      <c r="B4" s="19" t="n"/>
      <c r="C4" s="19" t="n"/>
      <c r="D4" s="21" t="n"/>
      <c r="E4" s="19" t="n"/>
      <c r="F4" s="19" t="n"/>
      <c r="G4" s="22" t="n"/>
      <c r="H4" s="19" t="n"/>
      <c r="I4" s="19" t="n"/>
      <c r="J4" s="19" t="n"/>
      <c r="K4" s="19" t="n"/>
      <c r="L4" s="16">
        <f>IF(A4="","",SUMIF(Movimientos!$B$2:$B$3001,A4,Movimientos!$F$2:$F$3001))</f>
        <v/>
      </c>
      <c r="M4" s="17">
        <f>IF(A4="","",IF(COUNTIF(Movimientos!$B$2:$B$3001,A4)=0,"",_xlfn.MAXIFS(Movimientos!$A$2:$A$3001,Movimientos!$B$2:$B$3001,A4)))</f>
        <v/>
      </c>
      <c r="N4" s="18">
        <f>IF(A4="","",IF(AND(H4="Sí",I4="Sí",K4&lt;&gt;"Sí"),"Sí","No"))</f>
        <v/>
      </c>
      <c r="O4" s="18">
        <f>IF(S4="","",1+COUNTIFS($N$2:$N$501,"Sí",$S$2:$S$501,"&gt;"&amp;S4))</f>
        <v/>
      </c>
      <c r="P4" s="18">
        <f>IF(A4="","",INDEX(Logros!$A$2:$A$6,MATCH(N(L4),Logros!$C$2:$C$6,1)))</f>
        <v/>
      </c>
      <c r="Q4" s="19" t="n"/>
      <c r="R4" s="18">
        <f>IF(OR(A4="",P4=""),"",IF(P4&gt;N(Q4),"Sí: entregar nivel "&amp;(N(Q4)+1)&amp;IF(P4&gt;N(Q4)+1," al "&amp;P4,"")&amp;" (ver Logros)",""))</f>
        <v/>
      </c>
      <c r="S4" s="20">
        <f>IF(OR(A4="",N4&lt;&gt;"Sí",N(L4)&lt;=0),"",(N(L4)*100000-MAX(0,ROUND((N(M4)-DATE(2026,10,1))*1440,0)))*1000-ROW())</f>
        <v/>
      </c>
    </row>
    <row r="5">
      <c r="A5" s="19" t="n"/>
      <c r="B5" s="19" t="n"/>
      <c r="C5" s="19" t="n"/>
      <c r="D5" s="21" t="n"/>
      <c r="E5" s="19" t="n"/>
      <c r="F5" s="19" t="n"/>
      <c r="G5" s="22" t="n"/>
      <c r="H5" s="19" t="n"/>
      <c r="I5" s="19" t="n"/>
      <c r="J5" s="19" t="n"/>
      <c r="K5" s="19" t="n"/>
      <c r="L5" s="16">
        <f>IF(A5="","",SUMIF(Movimientos!$B$2:$B$3001,A5,Movimientos!$F$2:$F$3001))</f>
        <v/>
      </c>
      <c r="M5" s="17">
        <f>IF(A5="","",IF(COUNTIF(Movimientos!$B$2:$B$3001,A5)=0,"",_xlfn.MAXIFS(Movimientos!$A$2:$A$3001,Movimientos!$B$2:$B$3001,A5)))</f>
        <v/>
      </c>
      <c r="N5" s="18">
        <f>IF(A5="","",IF(AND(H5="Sí",I5="Sí",K5&lt;&gt;"Sí"),"Sí","No"))</f>
        <v/>
      </c>
      <c r="O5" s="18">
        <f>IF(S5="","",1+COUNTIFS($N$2:$N$501,"Sí",$S$2:$S$501,"&gt;"&amp;S5))</f>
        <v/>
      </c>
      <c r="P5" s="18">
        <f>IF(A5="","",INDEX(Logros!$A$2:$A$6,MATCH(N(L5),Logros!$C$2:$C$6,1)))</f>
        <v/>
      </c>
      <c r="Q5" s="19" t="n"/>
      <c r="R5" s="18">
        <f>IF(OR(A5="",P5=""),"",IF(P5&gt;N(Q5),"Sí: entregar nivel "&amp;(N(Q5)+1)&amp;IF(P5&gt;N(Q5)+1," al "&amp;P5,"")&amp;" (ver Logros)",""))</f>
        <v/>
      </c>
      <c r="S5" s="20">
        <f>IF(OR(A5="",N5&lt;&gt;"Sí",N(L5)&lt;=0),"",(N(L5)*100000-MAX(0,ROUND((N(M5)-DATE(2026,10,1))*1440,0)))*1000-ROW())</f>
        <v/>
      </c>
    </row>
    <row r="6">
      <c r="A6" s="19" t="n"/>
      <c r="B6" s="19" t="n"/>
      <c r="C6" s="19" t="n"/>
      <c r="D6" s="21" t="n"/>
      <c r="E6" s="19" t="n"/>
      <c r="F6" s="19" t="n"/>
      <c r="G6" s="22" t="n"/>
      <c r="H6" s="19" t="n"/>
      <c r="I6" s="19" t="n"/>
      <c r="J6" s="19" t="n"/>
      <c r="K6" s="19" t="n"/>
      <c r="L6" s="16">
        <f>IF(A6="","",SUMIF(Movimientos!$B$2:$B$3001,A6,Movimientos!$F$2:$F$3001))</f>
        <v/>
      </c>
      <c r="M6" s="17">
        <f>IF(A6="","",IF(COUNTIF(Movimientos!$B$2:$B$3001,A6)=0,"",_xlfn.MAXIFS(Movimientos!$A$2:$A$3001,Movimientos!$B$2:$B$3001,A6)))</f>
        <v/>
      </c>
      <c r="N6" s="18">
        <f>IF(A6="","",IF(AND(H6="Sí",I6="Sí",K6&lt;&gt;"Sí"),"Sí","No"))</f>
        <v/>
      </c>
      <c r="O6" s="18">
        <f>IF(S6="","",1+COUNTIFS($N$2:$N$501,"Sí",$S$2:$S$501,"&gt;"&amp;S6))</f>
        <v/>
      </c>
      <c r="P6" s="18">
        <f>IF(A6="","",INDEX(Logros!$A$2:$A$6,MATCH(N(L6),Logros!$C$2:$C$6,1)))</f>
        <v/>
      </c>
      <c r="Q6" s="19" t="n"/>
      <c r="R6" s="18">
        <f>IF(OR(A6="",P6=""),"",IF(P6&gt;N(Q6),"Sí: entregar nivel "&amp;(N(Q6)+1)&amp;IF(P6&gt;N(Q6)+1," al "&amp;P6,"")&amp;" (ver Logros)",""))</f>
        <v/>
      </c>
      <c r="S6" s="20">
        <f>IF(OR(A6="",N6&lt;&gt;"Sí",N(L6)&lt;=0),"",(N(L6)*100000-MAX(0,ROUND((N(M6)-DATE(2026,10,1))*1440,0)))*1000-ROW())</f>
        <v/>
      </c>
    </row>
    <row r="7">
      <c r="A7" s="19" t="n"/>
      <c r="B7" s="19" t="n"/>
      <c r="C7" s="19" t="n"/>
      <c r="D7" s="21" t="n"/>
      <c r="E7" s="19" t="n"/>
      <c r="F7" s="19" t="n"/>
      <c r="G7" s="22" t="n"/>
      <c r="H7" s="19" t="n"/>
      <c r="I7" s="19" t="n"/>
      <c r="J7" s="19" t="n"/>
      <c r="K7" s="19" t="n"/>
      <c r="L7" s="16">
        <f>IF(A7="","",SUMIF(Movimientos!$B$2:$B$3001,A7,Movimientos!$F$2:$F$3001))</f>
        <v/>
      </c>
      <c r="M7" s="17">
        <f>IF(A7="","",IF(COUNTIF(Movimientos!$B$2:$B$3001,A7)=0,"",_xlfn.MAXIFS(Movimientos!$A$2:$A$3001,Movimientos!$B$2:$B$3001,A7)))</f>
        <v/>
      </c>
      <c r="N7" s="18">
        <f>IF(A7="","",IF(AND(H7="Sí",I7="Sí",K7&lt;&gt;"Sí"),"Sí","No"))</f>
        <v/>
      </c>
      <c r="O7" s="18">
        <f>IF(S7="","",1+COUNTIFS($N$2:$N$501,"Sí",$S$2:$S$501,"&gt;"&amp;S7))</f>
        <v/>
      </c>
      <c r="P7" s="18">
        <f>IF(A7="","",INDEX(Logros!$A$2:$A$6,MATCH(N(L7),Logros!$C$2:$C$6,1)))</f>
        <v/>
      </c>
      <c r="Q7" s="19" t="n"/>
      <c r="R7" s="18">
        <f>IF(OR(A7="",P7=""),"",IF(P7&gt;N(Q7),"Sí: entregar nivel "&amp;(N(Q7)+1)&amp;IF(P7&gt;N(Q7)+1," al "&amp;P7,"")&amp;" (ver Logros)",""))</f>
        <v/>
      </c>
      <c r="S7" s="20">
        <f>IF(OR(A7="",N7&lt;&gt;"Sí",N(L7)&lt;=0),"",(N(L7)*100000-MAX(0,ROUND((N(M7)-DATE(2026,10,1))*1440,0)))*1000-ROW())</f>
        <v/>
      </c>
    </row>
    <row r="8">
      <c r="A8" s="19" t="n"/>
      <c r="B8" s="19" t="n"/>
      <c r="C8" s="19" t="n"/>
      <c r="D8" s="21" t="n"/>
      <c r="E8" s="19" t="n"/>
      <c r="F8" s="19" t="n"/>
      <c r="G8" s="22" t="n"/>
      <c r="H8" s="19" t="n"/>
      <c r="I8" s="19" t="n"/>
      <c r="J8" s="19" t="n"/>
      <c r="K8" s="19" t="n"/>
      <c r="L8" s="16">
        <f>IF(A8="","",SUMIF(Movimientos!$B$2:$B$3001,A8,Movimientos!$F$2:$F$3001))</f>
        <v/>
      </c>
      <c r="M8" s="17">
        <f>IF(A8="","",IF(COUNTIF(Movimientos!$B$2:$B$3001,A8)=0,"",_xlfn.MAXIFS(Movimientos!$A$2:$A$3001,Movimientos!$B$2:$B$3001,A8)))</f>
        <v/>
      </c>
      <c r="N8" s="18">
        <f>IF(A8="","",IF(AND(H8="Sí",I8="Sí",K8&lt;&gt;"Sí"),"Sí","No"))</f>
        <v/>
      </c>
      <c r="O8" s="18">
        <f>IF(S8="","",1+COUNTIFS($N$2:$N$501,"Sí",$S$2:$S$501,"&gt;"&amp;S8))</f>
        <v/>
      </c>
      <c r="P8" s="18">
        <f>IF(A8="","",INDEX(Logros!$A$2:$A$6,MATCH(N(L8),Logros!$C$2:$C$6,1)))</f>
        <v/>
      </c>
      <c r="Q8" s="19" t="n"/>
      <c r="R8" s="18">
        <f>IF(OR(A8="",P8=""),"",IF(P8&gt;N(Q8),"Sí: entregar nivel "&amp;(N(Q8)+1)&amp;IF(P8&gt;N(Q8)+1," al "&amp;P8,"")&amp;" (ver Logros)",""))</f>
        <v/>
      </c>
      <c r="S8" s="20">
        <f>IF(OR(A8="",N8&lt;&gt;"Sí",N(L8)&lt;=0),"",(N(L8)*100000-MAX(0,ROUND((N(M8)-DATE(2026,10,1))*1440,0)))*1000-ROW())</f>
        <v/>
      </c>
    </row>
    <row r="9">
      <c r="A9" s="19" t="n"/>
      <c r="B9" s="19" t="n"/>
      <c r="C9" s="19" t="n"/>
      <c r="D9" s="21" t="n"/>
      <c r="E9" s="19" t="n"/>
      <c r="F9" s="19" t="n"/>
      <c r="G9" s="22" t="n"/>
      <c r="H9" s="19" t="n"/>
      <c r="I9" s="19" t="n"/>
      <c r="J9" s="19" t="n"/>
      <c r="K9" s="19" t="n"/>
      <c r="L9" s="16">
        <f>IF(A9="","",SUMIF(Movimientos!$B$2:$B$3001,A9,Movimientos!$F$2:$F$3001))</f>
        <v/>
      </c>
      <c r="M9" s="17">
        <f>IF(A9="","",IF(COUNTIF(Movimientos!$B$2:$B$3001,A9)=0,"",_xlfn.MAXIFS(Movimientos!$A$2:$A$3001,Movimientos!$B$2:$B$3001,A9)))</f>
        <v/>
      </c>
      <c r="N9" s="18">
        <f>IF(A9="","",IF(AND(H9="Sí",I9="Sí",K9&lt;&gt;"Sí"),"Sí","No"))</f>
        <v/>
      </c>
      <c r="O9" s="18">
        <f>IF(S9="","",1+COUNTIFS($N$2:$N$501,"Sí",$S$2:$S$501,"&gt;"&amp;S9))</f>
        <v/>
      </c>
      <c r="P9" s="18">
        <f>IF(A9="","",INDEX(Logros!$A$2:$A$6,MATCH(N(L9),Logros!$C$2:$C$6,1)))</f>
        <v/>
      </c>
      <c r="Q9" s="19" t="n"/>
      <c r="R9" s="18">
        <f>IF(OR(A9="",P9=""),"",IF(P9&gt;N(Q9),"Sí: entregar nivel "&amp;(N(Q9)+1)&amp;IF(P9&gt;N(Q9)+1," al "&amp;P9,"")&amp;" (ver Logros)",""))</f>
        <v/>
      </c>
      <c r="S9" s="20">
        <f>IF(OR(A9="",N9&lt;&gt;"Sí",N(L9)&lt;=0),"",(N(L9)*100000-MAX(0,ROUND((N(M9)-DATE(2026,10,1))*1440,0)))*1000-ROW())</f>
        <v/>
      </c>
    </row>
    <row r="10">
      <c r="A10" s="19" t="n"/>
      <c r="B10" s="19" t="n"/>
      <c r="C10" s="19" t="n"/>
      <c r="D10" s="21" t="n"/>
      <c r="E10" s="19" t="n"/>
      <c r="F10" s="19" t="n"/>
      <c r="G10" s="22" t="n"/>
      <c r="H10" s="19" t="n"/>
      <c r="I10" s="19" t="n"/>
      <c r="J10" s="19" t="n"/>
      <c r="K10" s="19" t="n"/>
      <c r="L10" s="16">
        <f>IF(A10="","",SUMIF(Movimientos!$B$2:$B$3001,A10,Movimientos!$F$2:$F$3001))</f>
        <v/>
      </c>
      <c r="M10" s="17">
        <f>IF(A10="","",IF(COUNTIF(Movimientos!$B$2:$B$3001,A10)=0,"",_xlfn.MAXIFS(Movimientos!$A$2:$A$3001,Movimientos!$B$2:$B$3001,A10)))</f>
        <v/>
      </c>
      <c r="N10" s="18">
        <f>IF(A10="","",IF(AND(H10="Sí",I10="Sí",K10&lt;&gt;"Sí"),"Sí","No"))</f>
        <v/>
      </c>
      <c r="O10" s="18">
        <f>IF(S10="","",1+COUNTIFS($N$2:$N$501,"Sí",$S$2:$S$501,"&gt;"&amp;S10))</f>
        <v/>
      </c>
      <c r="P10" s="18">
        <f>IF(A10="","",INDEX(Logros!$A$2:$A$6,MATCH(N(L10),Logros!$C$2:$C$6,1)))</f>
        <v/>
      </c>
      <c r="Q10" s="19" t="n"/>
      <c r="R10" s="18">
        <f>IF(OR(A10="",P10=""),"",IF(P10&gt;N(Q10),"Sí: entregar nivel "&amp;(N(Q10)+1)&amp;IF(P10&gt;N(Q10)+1," al "&amp;P10,"")&amp;" (ver Logros)",""))</f>
        <v/>
      </c>
      <c r="S10" s="20">
        <f>IF(OR(A10="",N10&lt;&gt;"Sí",N(L10)&lt;=0),"",(N(L10)*100000-MAX(0,ROUND((N(M10)-DATE(2026,10,1))*1440,0)))*1000-ROW())</f>
        <v/>
      </c>
    </row>
    <row r="11">
      <c r="A11" s="19" t="n"/>
      <c r="B11" s="19" t="n"/>
      <c r="C11" s="19" t="n"/>
      <c r="D11" s="21" t="n"/>
      <c r="E11" s="19" t="n"/>
      <c r="F11" s="19" t="n"/>
      <c r="G11" s="22" t="n"/>
      <c r="H11" s="19" t="n"/>
      <c r="I11" s="19" t="n"/>
      <c r="J11" s="19" t="n"/>
      <c r="K11" s="19" t="n"/>
      <c r="L11" s="16">
        <f>IF(A11="","",SUMIF(Movimientos!$B$2:$B$3001,A11,Movimientos!$F$2:$F$3001))</f>
        <v/>
      </c>
      <c r="M11" s="17">
        <f>IF(A11="","",IF(COUNTIF(Movimientos!$B$2:$B$3001,A11)=0,"",_xlfn.MAXIFS(Movimientos!$A$2:$A$3001,Movimientos!$B$2:$B$3001,A11)))</f>
        <v/>
      </c>
      <c r="N11" s="18">
        <f>IF(A11="","",IF(AND(H11="Sí",I11="Sí",K11&lt;&gt;"Sí"),"Sí","No"))</f>
        <v/>
      </c>
      <c r="O11" s="18">
        <f>IF(S11="","",1+COUNTIFS($N$2:$N$501,"Sí",$S$2:$S$501,"&gt;"&amp;S11))</f>
        <v/>
      </c>
      <c r="P11" s="18">
        <f>IF(A11="","",INDEX(Logros!$A$2:$A$6,MATCH(N(L11),Logros!$C$2:$C$6,1)))</f>
        <v/>
      </c>
      <c r="Q11" s="19" t="n"/>
      <c r="R11" s="18">
        <f>IF(OR(A11="",P11=""),"",IF(P11&gt;N(Q11),"Sí: entregar nivel "&amp;(N(Q11)+1)&amp;IF(P11&gt;N(Q11)+1," al "&amp;P11,"")&amp;" (ver Logros)",""))</f>
        <v/>
      </c>
      <c r="S11" s="20">
        <f>IF(OR(A11="",N11&lt;&gt;"Sí",N(L11)&lt;=0),"",(N(L11)*100000-MAX(0,ROUND((N(M11)-DATE(2026,10,1))*1440,0)))*1000-ROW())</f>
        <v/>
      </c>
    </row>
    <row r="12">
      <c r="A12" s="19" t="n"/>
      <c r="B12" s="19" t="n"/>
      <c r="C12" s="19" t="n"/>
      <c r="D12" s="21" t="n"/>
      <c r="E12" s="19" t="n"/>
      <c r="F12" s="19" t="n"/>
      <c r="G12" s="22" t="n"/>
      <c r="H12" s="19" t="n"/>
      <c r="I12" s="19" t="n"/>
      <c r="J12" s="19" t="n"/>
      <c r="K12" s="19" t="n"/>
      <c r="L12" s="16">
        <f>IF(A12="","",SUMIF(Movimientos!$B$2:$B$3001,A12,Movimientos!$F$2:$F$3001))</f>
        <v/>
      </c>
      <c r="M12" s="17">
        <f>IF(A12="","",IF(COUNTIF(Movimientos!$B$2:$B$3001,A12)=0,"",_xlfn.MAXIFS(Movimientos!$A$2:$A$3001,Movimientos!$B$2:$B$3001,A12)))</f>
        <v/>
      </c>
      <c r="N12" s="18">
        <f>IF(A12="","",IF(AND(H12="Sí",I12="Sí",K12&lt;&gt;"Sí"),"Sí","No"))</f>
        <v/>
      </c>
      <c r="O12" s="18">
        <f>IF(S12="","",1+COUNTIFS($N$2:$N$501,"Sí",$S$2:$S$501,"&gt;"&amp;S12))</f>
        <v/>
      </c>
      <c r="P12" s="18">
        <f>IF(A12="","",INDEX(Logros!$A$2:$A$6,MATCH(N(L12),Logros!$C$2:$C$6,1)))</f>
        <v/>
      </c>
      <c r="Q12" s="19" t="n"/>
      <c r="R12" s="18">
        <f>IF(OR(A12="",P12=""),"",IF(P12&gt;N(Q12),"Sí: entregar nivel "&amp;(N(Q12)+1)&amp;IF(P12&gt;N(Q12)+1," al "&amp;P12,"")&amp;" (ver Logros)",""))</f>
        <v/>
      </c>
      <c r="S12" s="20">
        <f>IF(OR(A12="",N12&lt;&gt;"Sí",N(L12)&lt;=0),"",(N(L12)*100000-MAX(0,ROUND((N(M12)-DATE(2026,10,1))*1440,0)))*1000-ROW())</f>
        <v/>
      </c>
    </row>
    <row r="13">
      <c r="A13" s="19" t="n"/>
      <c r="B13" s="19" t="n"/>
      <c r="C13" s="19" t="n"/>
      <c r="D13" s="21" t="n"/>
      <c r="E13" s="19" t="n"/>
      <c r="F13" s="19" t="n"/>
      <c r="G13" s="22" t="n"/>
      <c r="H13" s="19" t="n"/>
      <c r="I13" s="19" t="n"/>
      <c r="J13" s="19" t="n"/>
      <c r="K13" s="19" t="n"/>
      <c r="L13" s="16">
        <f>IF(A13="","",SUMIF(Movimientos!$B$2:$B$3001,A13,Movimientos!$F$2:$F$3001))</f>
        <v/>
      </c>
      <c r="M13" s="17">
        <f>IF(A13="","",IF(COUNTIF(Movimientos!$B$2:$B$3001,A13)=0,"",_xlfn.MAXIFS(Movimientos!$A$2:$A$3001,Movimientos!$B$2:$B$3001,A13)))</f>
        <v/>
      </c>
      <c r="N13" s="18">
        <f>IF(A13="","",IF(AND(H13="Sí",I13="Sí",K13&lt;&gt;"Sí"),"Sí","No"))</f>
        <v/>
      </c>
      <c r="O13" s="18">
        <f>IF(S13="","",1+COUNTIFS($N$2:$N$501,"Sí",$S$2:$S$501,"&gt;"&amp;S13))</f>
        <v/>
      </c>
      <c r="P13" s="18">
        <f>IF(A13="","",INDEX(Logros!$A$2:$A$6,MATCH(N(L13),Logros!$C$2:$C$6,1)))</f>
        <v/>
      </c>
      <c r="Q13" s="19" t="n"/>
      <c r="R13" s="18">
        <f>IF(OR(A13="",P13=""),"",IF(P13&gt;N(Q13),"Sí: entregar nivel "&amp;(N(Q13)+1)&amp;IF(P13&gt;N(Q13)+1," al "&amp;P13,"")&amp;" (ver Logros)",""))</f>
        <v/>
      </c>
      <c r="S13" s="20">
        <f>IF(OR(A13="",N13&lt;&gt;"Sí",N(L13)&lt;=0),"",(N(L13)*100000-MAX(0,ROUND((N(M13)-DATE(2026,10,1))*1440,0)))*1000-ROW())</f>
        <v/>
      </c>
    </row>
    <row r="14">
      <c r="A14" s="19" t="n"/>
      <c r="B14" s="19" t="n"/>
      <c r="C14" s="19" t="n"/>
      <c r="D14" s="21" t="n"/>
      <c r="E14" s="19" t="n"/>
      <c r="F14" s="19" t="n"/>
      <c r="G14" s="22" t="n"/>
      <c r="H14" s="19" t="n"/>
      <c r="I14" s="19" t="n"/>
      <c r="J14" s="19" t="n"/>
      <c r="K14" s="19" t="n"/>
      <c r="L14" s="16">
        <f>IF(A14="","",SUMIF(Movimientos!$B$2:$B$3001,A14,Movimientos!$F$2:$F$3001))</f>
        <v/>
      </c>
      <c r="M14" s="17">
        <f>IF(A14="","",IF(COUNTIF(Movimientos!$B$2:$B$3001,A14)=0,"",_xlfn.MAXIFS(Movimientos!$A$2:$A$3001,Movimientos!$B$2:$B$3001,A14)))</f>
        <v/>
      </c>
      <c r="N14" s="18">
        <f>IF(A14="","",IF(AND(H14="Sí",I14="Sí",K14&lt;&gt;"Sí"),"Sí","No"))</f>
        <v/>
      </c>
      <c r="O14" s="18">
        <f>IF(S14="","",1+COUNTIFS($N$2:$N$501,"Sí",$S$2:$S$501,"&gt;"&amp;S14))</f>
        <v/>
      </c>
      <c r="P14" s="18">
        <f>IF(A14="","",INDEX(Logros!$A$2:$A$6,MATCH(N(L14),Logros!$C$2:$C$6,1)))</f>
        <v/>
      </c>
      <c r="Q14" s="19" t="n"/>
      <c r="R14" s="18">
        <f>IF(OR(A14="",P14=""),"",IF(P14&gt;N(Q14),"Sí: entregar nivel "&amp;(N(Q14)+1)&amp;IF(P14&gt;N(Q14)+1," al "&amp;P14,"")&amp;" (ver Logros)",""))</f>
        <v/>
      </c>
      <c r="S14" s="20">
        <f>IF(OR(A14="",N14&lt;&gt;"Sí",N(L14)&lt;=0),"",(N(L14)*100000-MAX(0,ROUND((N(M14)-DATE(2026,10,1))*1440,0)))*1000-ROW())</f>
        <v/>
      </c>
    </row>
    <row r="15">
      <c r="A15" s="19" t="n"/>
      <c r="B15" s="19" t="n"/>
      <c r="C15" s="19" t="n"/>
      <c r="D15" s="21" t="n"/>
      <c r="E15" s="19" t="n"/>
      <c r="F15" s="19" t="n"/>
      <c r="G15" s="22" t="n"/>
      <c r="H15" s="19" t="n"/>
      <c r="I15" s="19" t="n"/>
      <c r="J15" s="19" t="n"/>
      <c r="K15" s="19" t="n"/>
      <c r="L15" s="16">
        <f>IF(A15="","",SUMIF(Movimientos!$B$2:$B$3001,A15,Movimientos!$F$2:$F$3001))</f>
        <v/>
      </c>
      <c r="M15" s="17">
        <f>IF(A15="","",IF(COUNTIF(Movimientos!$B$2:$B$3001,A15)=0,"",_xlfn.MAXIFS(Movimientos!$A$2:$A$3001,Movimientos!$B$2:$B$3001,A15)))</f>
        <v/>
      </c>
      <c r="N15" s="18">
        <f>IF(A15="","",IF(AND(H15="Sí",I15="Sí",K15&lt;&gt;"Sí"),"Sí","No"))</f>
        <v/>
      </c>
      <c r="O15" s="18">
        <f>IF(S15="","",1+COUNTIFS($N$2:$N$501,"Sí",$S$2:$S$501,"&gt;"&amp;S15))</f>
        <v/>
      </c>
      <c r="P15" s="18">
        <f>IF(A15="","",INDEX(Logros!$A$2:$A$6,MATCH(N(L15),Logros!$C$2:$C$6,1)))</f>
        <v/>
      </c>
      <c r="Q15" s="19" t="n"/>
      <c r="R15" s="18">
        <f>IF(OR(A15="",P15=""),"",IF(P15&gt;N(Q15),"Sí: entregar nivel "&amp;(N(Q15)+1)&amp;IF(P15&gt;N(Q15)+1," al "&amp;P15,"")&amp;" (ver Logros)",""))</f>
        <v/>
      </c>
      <c r="S15" s="20">
        <f>IF(OR(A15="",N15&lt;&gt;"Sí",N(L15)&lt;=0),"",(N(L15)*100000-MAX(0,ROUND((N(M15)-DATE(2026,10,1))*1440,0)))*1000-ROW())</f>
        <v/>
      </c>
    </row>
    <row r="16">
      <c r="A16" s="19" t="n"/>
      <c r="B16" s="19" t="n"/>
      <c r="C16" s="19" t="n"/>
      <c r="D16" s="21" t="n"/>
      <c r="E16" s="19" t="n"/>
      <c r="F16" s="19" t="n"/>
      <c r="G16" s="22" t="n"/>
      <c r="H16" s="19" t="n"/>
      <c r="I16" s="19" t="n"/>
      <c r="J16" s="19" t="n"/>
      <c r="K16" s="19" t="n"/>
      <c r="L16" s="16">
        <f>IF(A16="","",SUMIF(Movimientos!$B$2:$B$3001,A16,Movimientos!$F$2:$F$3001))</f>
        <v/>
      </c>
      <c r="M16" s="17">
        <f>IF(A16="","",IF(COUNTIF(Movimientos!$B$2:$B$3001,A16)=0,"",_xlfn.MAXIFS(Movimientos!$A$2:$A$3001,Movimientos!$B$2:$B$3001,A16)))</f>
        <v/>
      </c>
      <c r="N16" s="18">
        <f>IF(A16="","",IF(AND(H16="Sí",I16="Sí",K16&lt;&gt;"Sí"),"Sí","No"))</f>
        <v/>
      </c>
      <c r="O16" s="18">
        <f>IF(S16="","",1+COUNTIFS($N$2:$N$501,"Sí",$S$2:$S$501,"&gt;"&amp;S16))</f>
        <v/>
      </c>
      <c r="P16" s="18">
        <f>IF(A16="","",INDEX(Logros!$A$2:$A$6,MATCH(N(L16),Logros!$C$2:$C$6,1)))</f>
        <v/>
      </c>
      <c r="Q16" s="19" t="n"/>
      <c r="R16" s="18">
        <f>IF(OR(A16="",P16=""),"",IF(P16&gt;N(Q16),"Sí: entregar nivel "&amp;(N(Q16)+1)&amp;IF(P16&gt;N(Q16)+1," al "&amp;P16,"")&amp;" (ver Logros)",""))</f>
        <v/>
      </c>
      <c r="S16" s="20">
        <f>IF(OR(A16="",N16&lt;&gt;"Sí",N(L16)&lt;=0),"",(N(L16)*100000-MAX(0,ROUND((N(M16)-DATE(2026,10,1))*1440,0)))*1000-ROW())</f>
        <v/>
      </c>
    </row>
    <row r="17">
      <c r="A17" s="19" t="n"/>
      <c r="B17" s="19" t="n"/>
      <c r="C17" s="19" t="n"/>
      <c r="D17" s="21" t="n"/>
      <c r="E17" s="19" t="n"/>
      <c r="F17" s="19" t="n"/>
      <c r="G17" s="22" t="n"/>
      <c r="H17" s="19" t="n"/>
      <c r="I17" s="19" t="n"/>
      <c r="J17" s="19" t="n"/>
      <c r="K17" s="19" t="n"/>
      <c r="L17" s="16">
        <f>IF(A17="","",SUMIF(Movimientos!$B$2:$B$3001,A17,Movimientos!$F$2:$F$3001))</f>
        <v/>
      </c>
      <c r="M17" s="17">
        <f>IF(A17="","",IF(COUNTIF(Movimientos!$B$2:$B$3001,A17)=0,"",_xlfn.MAXIFS(Movimientos!$A$2:$A$3001,Movimientos!$B$2:$B$3001,A17)))</f>
        <v/>
      </c>
      <c r="N17" s="18">
        <f>IF(A17="","",IF(AND(H17="Sí",I17="Sí",K17&lt;&gt;"Sí"),"Sí","No"))</f>
        <v/>
      </c>
      <c r="O17" s="18">
        <f>IF(S17="","",1+COUNTIFS($N$2:$N$501,"Sí",$S$2:$S$501,"&gt;"&amp;S17))</f>
        <v/>
      </c>
      <c r="P17" s="18">
        <f>IF(A17="","",INDEX(Logros!$A$2:$A$6,MATCH(N(L17),Logros!$C$2:$C$6,1)))</f>
        <v/>
      </c>
      <c r="Q17" s="19" t="n"/>
      <c r="R17" s="18">
        <f>IF(OR(A17="",P17=""),"",IF(P17&gt;N(Q17),"Sí: entregar nivel "&amp;(N(Q17)+1)&amp;IF(P17&gt;N(Q17)+1," al "&amp;P17,"")&amp;" (ver Logros)",""))</f>
        <v/>
      </c>
      <c r="S17" s="20">
        <f>IF(OR(A17="",N17&lt;&gt;"Sí",N(L17)&lt;=0),"",(N(L17)*100000-MAX(0,ROUND((N(M17)-DATE(2026,10,1))*1440,0)))*1000-ROW())</f>
        <v/>
      </c>
    </row>
    <row r="18">
      <c r="A18" s="19" t="n"/>
      <c r="B18" s="19" t="n"/>
      <c r="C18" s="19" t="n"/>
      <c r="D18" s="21" t="n"/>
      <c r="E18" s="19" t="n"/>
      <c r="F18" s="19" t="n"/>
      <c r="G18" s="22" t="n"/>
      <c r="H18" s="19" t="n"/>
      <c r="I18" s="19" t="n"/>
      <c r="J18" s="19" t="n"/>
      <c r="K18" s="19" t="n"/>
      <c r="L18" s="16">
        <f>IF(A18="","",SUMIF(Movimientos!$B$2:$B$3001,A18,Movimientos!$F$2:$F$3001))</f>
        <v/>
      </c>
      <c r="M18" s="17">
        <f>IF(A18="","",IF(COUNTIF(Movimientos!$B$2:$B$3001,A18)=0,"",_xlfn.MAXIFS(Movimientos!$A$2:$A$3001,Movimientos!$B$2:$B$3001,A18)))</f>
        <v/>
      </c>
      <c r="N18" s="18">
        <f>IF(A18="","",IF(AND(H18="Sí",I18="Sí",K18&lt;&gt;"Sí"),"Sí","No"))</f>
        <v/>
      </c>
      <c r="O18" s="18">
        <f>IF(S18="","",1+COUNTIFS($N$2:$N$501,"Sí",$S$2:$S$501,"&gt;"&amp;S18))</f>
        <v/>
      </c>
      <c r="P18" s="18">
        <f>IF(A18="","",INDEX(Logros!$A$2:$A$6,MATCH(N(L18),Logros!$C$2:$C$6,1)))</f>
        <v/>
      </c>
      <c r="Q18" s="19" t="n"/>
      <c r="R18" s="18">
        <f>IF(OR(A18="",P18=""),"",IF(P18&gt;N(Q18),"Sí: entregar nivel "&amp;(N(Q18)+1)&amp;IF(P18&gt;N(Q18)+1," al "&amp;P18,"")&amp;" (ver Logros)",""))</f>
        <v/>
      </c>
      <c r="S18" s="20">
        <f>IF(OR(A18="",N18&lt;&gt;"Sí",N(L18)&lt;=0),"",(N(L18)*100000-MAX(0,ROUND((N(M18)-DATE(2026,10,1))*1440,0)))*1000-ROW())</f>
        <v/>
      </c>
    </row>
    <row r="19">
      <c r="A19" s="19" t="n"/>
      <c r="B19" s="19" t="n"/>
      <c r="C19" s="19" t="n"/>
      <c r="D19" s="21" t="n"/>
      <c r="E19" s="19" t="n"/>
      <c r="F19" s="19" t="n"/>
      <c r="G19" s="22" t="n"/>
      <c r="H19" s="19" t="n"/>
      <c r="I19" s="19" t="n"/>
      <c r="J19" s="19" t="n"/>
      <c r="K19" s="19" t="n"/>
      <c r="L19" s="16">
        <f>IF(A19="","",SUMIF(Movimientos!$B$2:$B$3001,A19,Movimientos!$F$2:$F$3001))</f>
        <v/>
      </c>
      <c r="M19" s="17">
        <f>IF(A19="","",IF(COUNTIF(Movimientos!$B$2:$B$3001,A19)=0,"",_xlfn.MAXIFS(Movimientos!$A$2:$A$3001,Movimientos!$B$2:$B$3001,A19)))</f>
        <v/>
      </c>
      <c r="N19" s="18">
        <f>IF(A19="","",IF(AND(H19="Sí",I19="Sí",K19&lt;&gt;"Sí"),"Sí","No"))</f>
        <v/>
      </c>
      <c r="O19" s="18">
        <f>IF(S19="","",1+COUNTIFS($N$2:$N$501,"Sí",$S$2:$S$501,"&gt;"&amp;S19))</f>
        <v/>
      </c>
      <c r="P19" s="18">
        <f>IF(A19="","",INDEX(Logros!$A$2:$A$6,MATCH(N(L19),Logros!$C$2:$C$6,1)))</f>
        <v/>
      </c>
      <c r="Q19" s="19" t="n"/>
      <c r="R19" s="18">
        <f>IF(OR(A19="",P19=""),"",IF(P19&gt;N(Q19),"Sí: entregar nivel "&amp;(N(Q19)+1)&amp;IF(P19&gt;N(Q19)+1," al "&amp;P19,"")&amp;" (ver Logros)",""))</f>
        <v/>
      </c>
      <c r="S19" s="20">
        <f>IF(OR(A19="",N19&lt;&gt;"Sí",N(L19)&lt;=0),"",(N(L19)*100000-MAX(0,ROUND((N(M19)-DATE(2026,10,1))*1440,0)))*1000-ROW())</f>
        <v/>
      </c>
    </row>
    <row r="20">
      <c r="A20" s="19" t="n"/>
      <c r="B20" s="19" t="n"/>
      <c r="C20" s="19" t="n"/>
      <c r="D20" s="21" t="n"/>
      <c r="E20" s="19" t="n"/>
      <c r="F20" s="19" t="n"/>
      <c r="G20" s="22" t="n"/>
      <c r="H20" s="19" t="n"/>
      <c r="I20" s="19" t="n"/>
      <c r="J20" s="19" t="n"/>
      <c r="K20" s="19" t="n"/>
      <c r="L20" s="16">
        <f>IF(A20="","",SUMIF(Movimientos!$B$2:$B$3001,A20,Movimientos!$F$2:$F$3001))</f>
        <v/>
      </c>
      <c r="M20" s="17">
        <f>IF(A20="","",IF(COUNTIF(Movimientos!$B$2:$B$3001,A20)=0,"",_xlfn.MAXIFS(Movimientos!$A$2:$A$3001,Movimientos!$B$2:$B$3001,A20)))</f>
        <v/>
      </c>
      <c r="N20" s="18">
        <f>IF(A20="","",IF(AND(H20="Sí",I20="Sí",K20&lt;&gt;"Sí"),"Sí","No"))</f>
        <v/>
      </c>
      <c r="O20" s="18">
        <f>IF(S20="","",1+COUNTIFS($N$2:$N$501,"Sí",$S$2:$S$501,"&gt;"&amp;S20))</f>
        <v/>
      </c>
      <c r="P20" s="18">
        <f>IF(A20="","",INDEX(Logros!$A$2:$A$6,MATCH(N(L20),Logros!$C$2:$C$6,1)))</f>
        <v/>
      </c>
      <c r="Q20" s="19" t="n"/>
      <c r="R20" s="18">
        <f>IF(OR(A20="",P20=""),"",IF(P20&gt;N(Q20),"Sí: entregar nivel "&amp;(N(Q20)+1)&amp;IF(P20&gt;N(Q20)+1," al "&amp;P20,"")&amp;" (ver Logros)",""))</f>
        <v/>
      </c>
      <c r="S20" s="20">
        <f>IF(OR(A20="",N20&lt;&gt;"Sí",N(L20)&lt;=0),"",(N(L20)*100000-MAX(0,ROUND((N(M20)-DATE(2026,10,1))*1440,0)))*1000-ROW())</f>
        <v/>
      </c>
    </row>
    <row r="21">
      <c r="A21" s="19" t="n"/>
      <c r="B21" s="19" t="n"/>
      <c r="C21" s="19" t="n"/>
      <c r="D21" s="21" t="n"/>
      <c r="E21" s="19" t="n"/>
      <c r="F21" s="19" t="n"/>
      <c r="G21" s="22" t="n"/>
      <c r="H21" s="19" t="n"/>
      <c r="I21" s="19" t="n"/>
      <c r="J21" s="19" t="n"/>
      <c r="K21" s="19" t="n"/>
      <c r="L21" s="16">
        <f>IF(A21="","",SUMIF(Movimientos!$B$2:$B$3001,A21,Movimientos!$F$2:$F$3001))</f>
        <v/>
      </c>
      <c r="M21" s="17">
        <f>IF(A21="","",IF(COUNTIF(Movimientos!$B$2:$B$3001,A21)=0,"",_xlfn.MAXIFS(Movimientos!$A$2:$A$3001,Movimientos!$B$2:$B$3001,A21)))</f>
        <v/>
      </c>
      <c r="N21" s="18">
        <f>IF(A21="","",IF(AND(H21="Sí",I21="Sí",K21&lt;&gt;"Sí"),"Sí","No"))</f>
        <v/>
      </c>
      <c r="O21" s="18">
        <f>IF(S21="","",1+COUNTIFS($N$2:$N$501,"Sí",$S$2:$S$501,"&gt;"&amp;S21))</f>
        <v/>
      </c>
      <c r="P21" s="18">
        <f>IF(A21="","",INDEX(Logros!$A$2:$A$6,MATCH(N(L21),Logros!$C$2:$C$6,1)))</f>
        <v/>
      </c>
      <c r="Q21" s="19" t="n"/>
      <c r="R21" s="18">
        <f>IF(OR(A21="",P21=""),"",IF(P21&gt;N(Q21),"Sí: entregar nivel "&amp;(N(Q21)+1)&amp;IF(P21&gt;N(Q21)+1," al "&amp;P21,"")&amp;" (ver Logros)",""))</f>
        <v/>
      </c>
      <c r="S21" s="20">
        <f>IF(OR(A21="",N21&lt;&gt;"Sí",N(L21)&lt;=0),"",(N(L21)*100000-MAX(0,ROUND((N(M21)-DATE(2026,10,1))*1440,0)))*1000-ROW())</f>
        <v/>
      </c>
    </row>
    <row r="22">
      <c r="A22" s="19" t="n"/>
      <c r="B22" s="19" t="n"/>
      <c r="C22" s="19" t="n"/>
      <c r="D22" s="21" t="n"/>
      <c r="E22" s="19" t="n"/>
      <c r="F22" s="19" t="n"/>
      <c r="G22" s="22" t="n"/>
      <c r="H22" s="19" t="n"/>
      <c r="I22" s="19" t="n"/>
      <c r="J22" s="19" t="n"/>
      <c r="K22" s="19" t="n"/>
      <c r="L22" s="16">
        <f>IF(A22="","",SUMIF(Movimientos!$B$2:$B$3001,A22,Movimientos!$F$2:$F$3001))</f>
        <v/>
      </c>
      <c r="M22" s="17">
        <f>IF(A22="","",IF(COUNTIF(Movimientos!$B$2:$B$3001,A22)=0,"",_xlfn.MAXIFS(Movimientos!$A$2:$A$3001,Movimientos!$B$2:$B$3001,A22)))</f>
        <v/>
      </c>
      <c r="N22" s="18">
        <f>IF(A22="","",IF(AND(H22="Sí",I22="Sí",K22&lt;&gt;"Sí"),"Sí","No"))</f>
        <v/>
      </c>
      <c r="O22" s="18">
        <f>IF(S22="","",1+COUNTIFS($N$2:$N$501,"Sí",$S$2:$S$501,"&gt;"&amp;S22))</f>
        <v/>
      </c>
      <c r="P22" s="18">
        <f>IF(A22="","",INDEX(Logros!$A$2:$A$6,MATCH(N(L22),Logros!$C$2:$C$6,1)))</f>
        <v/>
      </c>
      <c r="Q22" s="19" t="n"/>
      <c r="R22" s="18">
        <f>IF(OR(A22="",P22=""),"",IF(P22&gt;N(Q22),"Sí: entregar nivel "&amp;(N(Q22)+1)&amp;IF(P22&gt;N(Q22)+1," al "&amp;P22,"")&amp;" (ver Logros)",""))</f>
        <v/>
      </c>
      <c r="S22" s="20">
        <f>IF(OR(A22="",N22&lt;&gt;"Sí",N(L22)&lt;=0),"",(N(L22)*100000-MAX(0,ROUND((N(M22)-DATE(2026,10,1))*1440,0)))*1000-ROW())</f>
        <v/>
      </c>
    </row>
    <row r="23">
      <c r="A23" s="19" t="n"/>
      <c r="B23" s="19" t="n"/>
      <c r="C23" s="19" t="n"/>
      <c r="D23" s="21" t="n"/>
      <c r="E23" s="19" t="n"/>
      <c r="F23" s="19" t="n"/>
      <c r="G23" s="22" t="n"/>
      <c r="H23" s="19" t="n"/>
      <c r="I23" s="19" t="n"/>
      <c r="J23" s="19" t="n"/>
      <c r="K23" s="19" t="n"/>
      <c r="L23" s="16">
        <f>IF(A23="","",SUMIF(Movimientos!$B$2:$B$3001,A23,Movimientos!$F$2:$F$3001))</f>
        <v/>
      </c>
      <c r="M23" s="17">
        <f>IF(A23="","",IF(COUNTIF(Movimientos!$B$2:$B$3001,A23)=0,"",_xlfn.MAXIFS(Movimientos!$A$2:$A$3001,Movimientos!$B$2:$B$3001,A23)))</f>
        <v/>
      </c>
      <c r="N23" s="18">
        <f>IF(A23="","",IF(AND(H23="Sí",I23="Sí",K23&lt;&gt;"Sí"),"Sí","No"))</f>
        <v/>
      </c>
      <c r="O23" s="18">
        <f>IF(S23="","",1+COUNTIFS($N$2:$N$501,"Sí",$S$2:$S$501,"&gt;"&amp;S23))</f>
        <v/>
      </c>
      <c r="P23" s="18">
        <f>IF(A23="","",INDEX(Logros!$A$2:$A$6,MATCH(N(L23),Logros!$C$2:$C$6,1)))</f>
        <v/>
      </c>
      <c r="Q23" s="19" t="n"/>
      <c r="R23" s="18">
        <f>IF(OR(A23="",P23=""),"",IF(P23&gt;N(Q23),"Sí: entregar nivel "&amp;(N(Q23)+1)&amp;IF(P23&gt;N(Q23)+1," al "&amp;P23,"")&amp;" (ver Logros)",""))</f>
        <v/>
      </c>
      <c r="S23" s="20">
        <f>IF(OR(A23="",N23&lt;&gt;"Sí",N(L23)&lt;=0),"",(N(L23)*100000-MAX(0,ROUND((N(M23)-DATE(2026,10,1))*1440,0)))*1000-ROW())</f>
        <v/>
      </c>
    </row>
    <row r="24">
      <c r="A24" s="19" t="n"/>
      <c r="B24" s="19" t="n"/>
      <c r="C24" s="19" t="n"/>
      <c r="D24" s="21" t="n"/>
      <c r="E24" s="19" t="n"/>
      <c r="F24" s="19" t="n"/>
      <c r="G24" s="22" t="n"/>
      <c r="H24" s="19" t="n"/>
      <c r="I24" s="19" t="n"/>
      <c r="J24" s="19" t="n"/>
      <c r="K24" s="19" t="n"/>
      <c r="L24" s="16">
        <f>IF(A24="","",SUMIF(Movimientos!$B$2:$B$3001,A24,Movimientos!$F$2:$F$3001))</f>
        <v/>
      </c>
      <c r="M24" s="17">
        <f>IF(A24="","",IF(COUNTIF(Movimientos!$B$2:$B$3001,A24)=0,"",_xlfn.MAXIFS(Movimientos!$A$2:$A$3001,Movimientos!$B$2:$B$3001,A24)))</f>
        <v/>
      </c>
      <c r="N24" s="18">
        <f>IF(A24="","",IF(AND(H24="Sí",I24="Sí",K24&lt;&gt;"Sí"),"Sí","No"))</f>
        <v/>
      </c>
      <c r="O24" s="18">
        <f>IF(S24="","",1+COUNTIFS($N$2:$N$501,"Sí",$S$2:$S$501,"&gt;"&amp;S24))</f>
        <v/>
      </c>
      <c r="P24" s="18">
        <f>IF(A24="","",INDEX(Logros!$A$2:$A$6,MATCH(N(L24),Logros!$C$2:$C$6,1)))</f>
        <v/>
      </c>
      <c r="Q24" s="19" t="n"/>
      <c r="R24" s="18">
        <f>IF(OR(A24="",P24=""),"",IF(P24&gt;N(Q24),"Sí: entregar nivel "&amp;(N(Q24)+1)&amp;IF(P24&gt;N(Q24)+1," al "&amp;P24,"")&amp;" (ver Logros)",""))</f>
        <v/>
      </c>
      <c r="S24" s="20">
        <f>IF(OR(A24="",N24&lt;&gt;"Sí",N(L24)&lt;=0),"",(N(L24)*100000-MAX(0,ROUND((N(M24)-DATE(2026,10,1))*1440,0)))*1000-ROW())</f>
        <v/>
      </c>
    </row>
    <row r="25">
      <c r="A25" s="19" t="n"/>
      <c r="B25" s="19" t="n"/>
      <c r="C25" s="19" t="n"/>
      <c r="D25" s="21" t="n"/>
      <c r="E25" s="19" t="n"/>
      <c r="F25" s="19" t="n"/>
      <c r="G25" s="22" t="n"/>
      <c r="H25" s="19" t="n"/>
      <c r="I25" s="19" t="n"/>
      <c r="J25" s="19" t="n"/>
      <c r="K25" s="19" t="n"/>
      <c r="L25" s="16">
        <f>IF(A25="","",SUMIF(Movimientos!$B$2:$B$3001,A25,Movimientos!$F$2:$F$3001))</f>
        <v/>
      </c>
      <c r="M25" s="17">
        <f>IF(A25="","",IF(COUNTIF(Movimientos!$B$2:$B$3001,A25)=0,"",_xlfn.MAXIFS(Movimientos!$A$2:$A$3001,Movimientos!$B$2:$B$3001,A25)))</f>
        <v/>
      </c>
      <c r="N25" s="18">
        <f>IF(A25="","",IF(AND(H25="Sí",I25="Sí",K25&lt;&gt;"Sí"),"Sí","No"))</f>
        <v/>
      </c>
      <c r="O25" s="18">
        <f>IF(S25="","",1+COUNTIFS($N$2:$N$501,"Sí",$S$2:$S$501,"&gt;"&amp;S25))</f>
        <v/>
      </c>
      <c r="P25" s="18">
        <f>IF(A25="","",INDEX(Logros!$A$2:$A$6,MATCH(N(L25),Logros!$C$2:$C$6,1)))</f>
        <v/>
      </c>
      <c r="Q25" s="19" t="n"/>
      <c r="R25" s="18">
        <f>IF(OR(A25="",P25=""),"",IF(P25&gt;N(Q25),"Sí: entregar nivel "&amp;(N(Q25)+1)&amp;IF(P25&gt;N(Q25)+1," al "&amp;P25,"")&amp;" (ver Logros)",""))</f>
        <v/>
      </c>
      <c r="S25" s="20">
        <f>IF(OR(A25="",N25&lt;&gt;"Sí",N(L25)&lt;=0),"",(N(L25)*100000-MAX(0,ROUND((N(M25)-DATE(2026,10,1))*1440,0)))*1000-ROW())</f>
        <v/>
      </c>
    </row>
    <row r="26">
      <c r="A26" s="19" t="n"/>
      <c r="B26" s="19" t="n"/>
      <c r="C26" s="19" t="n"/>
      <c r="D26" s="21" t="n"/>
      <c r="E26" s="19" t="n"/>
      <c r="F26" s="19" t="n"/>
      <c r="G26" s="22" t="n"/>
      <c r="H26" s="19" t="n"/>
      <c r="I26" s="19" t="n"/>
      <c r="J26" s="19" t="n"/>
      <c r="K26" s="19" t="n"/>
      <c r="L26" s="16">
        <f>IF(A26="","",SUMIF(Movimientos!$B$2:$B$3001,A26,Movimientos!$F$2:$F$3001))</f>
        <v/>
      </c>
      <c r="M26" s="17">
        <f>IF(A26="","",IF(COUNTIF(Movimientos!$B$2:$B$3001,A26)=0,"",_xlfn.MAXIFS(Movimientos!$A$2:$A$3001,Movimientos!$B$2:$B$3001,A26)))</f>
        <v/>
      </c>
      <c r="N26" s="18">
        <f>IF(A26="","",IF(AND(H26="Sí",I26="Sí",K26&lt;&gt;"Sí"),"Sí","No"))</f>
        <v/>
      </c>
      <c r="O26" s="18">
        <f>IF(S26="","",1+COUNTIFS($N$2:$N$501,"Sí",$S$2:$S$501,"&gt;"&amp;S26))</f>
        <v/>
      </c>
      <c r="P26" s="18">
        <f>IF(A26="","",INDEX(Logros!$A$2:$A$6,MATCH(N(L26),Logros!$C$2:$C$6,1)))</f>
        <v/>
      </c>
      <c r="Q26" s="19" t="n"/>
      <c r="R26" s="18">
        <f>IF(OR(A26="",P26=""),"",IF(P26&gt;N(Q26),"Sí: entregar nivel "&amp;(N(Q26)+1)&amp;IF(P26&gt;N(Q26)+1," al "&amp;P26,"")&amp;" (ver Logros)",""))</f>
        <v/>
      </c>
      <c r="S26" s="20">
        <f>IF(OR(A26="",N26&lt;&gt;"Sí",N(L26)&lt;=0),"",(N(L26)*100000-MAX(0,ROUND((N(M26)-DATE(2026,10,1))*1440,0)))*1000-ROW())</f>
        <v/>
      </c>
    </row>
    <row r="27">
      <c r="A27" s="19" t="n"/>
      <c r="B27" s="19" t="n"/>
      <c r="C27" s="19" t="n"/>
      <c r="D27" s="21" t="n"/>
      <c r="E27" s="19" t="n"/>
      <c r="F27" s="19" t="n"/>
      <c r="G27" s="22" t="n"/>
      <c r="H27" s="19" t="n"/>
      <c r="I27" s="19" t="n"/>
      <c r="J27" s="19" t="n"/>
      <c r="K27" s="19" t="n"/>
      <c r="L27" s="16">
        <f>IF(A27="","",SUMIF(Movimientos!$B$2:$B$3001,A27,Movimientos!$F$2:$F$3001))</f>
        <v/>
      </c>
      <c r="M27" s="17">
        <f>IF(A27="","",IF(COUNTIF(Movimientos!$B$2:$B$3001,A27)=0,"",_xlfn.MAXIFS(Movimientos!$A$2:$A$3001,Movimientos!$B$2:$B$3001,A27)))</f>
        <v/>
      </c>
      <c r="N27" s="18">
        <f>IF(A27="","",IF(AND(H27="Sí",I27="Sí",K27&lt;&gt;"Sí"),"Sí","No"))</f>
        <v/>
      </c>
      <c r="O27" s="18">
        <f>IF(S27="","",1+COUNTIFS($N$2:$N$501,"Sí",$S$2:$S$501,"&gt;"&amp;S27))</f>
        <v/>
      </c>
      <c r="P27" s="18">
        <f>IF(A27="","",INDEX(Logros!$A$2:$A$6,MATCH(N(L27),Logros!$C$2:$C$6,1)))</f>
        <v/>
      </c>
      <c r="Q27" s="19" t="n"/>
      <c r="R27" s="18">
        <f>IF(OR(A27="",P27=""),"",IF(P27&gt;N(Q27),"Sí: entregar nivel "&amp;(N(Q27)+1)&amp;IF(P27&gt;N(Q27)+1," al "&amp;P27,"")&amp;" (ver Logros)",""))</f>
        <v/>
      </c>
      <c r="S27" s="20">
        <f>IF(OR(A27="",N27&lt;&gt;"Sí",N(L27)&lt;=0),"",(N(L27)*100000-MAX(0,ROUND((N(M27)-DATE(2026,10,1))*1440,0)))*1000-ROW())</f>
        <v/>
      </c>
    </row>
    <row r="28">
      <c r="A28" s="19" t="n"/>
      <c r="B28" s="19" t="n"/>
      <c r="C28" s="19" t="n"/>
      <c r="D28" s="21" t="n"/>
      <c r="E28" s="19" t="n"/>
      <c r="F28" s="19" t="n"/>
      <c r="G28" s="22" t="n"/>
      <c r="H28" s="19" t="n"/>
      <c r="I28" s="19" t="n"/>
      <c r="J28" s="19" t="n"/>
      <c r="K28" s="19" t="n"/>
      <c r="L28" s="16">
        <f>IF(A28="","",SUMIF(Movimientos!$B$2:$B$3001,A28,Movimientos!$F$2:$F$3001))</f>
        <v/>
      </c>
      <c r="M28" s="17">
        <f>IF(A28="","",IF(COUNTIF(Movimientos!$B$2:$B$3001,A28)=0,"",_xlfn.MAXIFS(Movimientos!$A$2:$A$3001,Movimientos!$B$2:$B$3001,A28)))</f>
        <v/>
      </c>
      <c r="N28" s="18">
        <f>IF(A28="","",IF(AND(H28="Sí",I28="Sí",K28&lt;&gt;"Sí"),"Sí","No"))</f>
        <v/>
      </c>
      <c r="O28" s="18">
        <f>IF(S28="","",1+COUNTIFS($N$2:$N$501,"Sí",$S$2:$S$501,"&gt;"&amp;S28))</f>
        <v/>
      </c>
      <c r="P28" s="18">
        <f>IF(A28="","",INDEX(Logros!$A$2:$A$6,MATCH(N(L28),Logros!$C$2:$C$6,1)))</f>
        <v/>
      </c>
      <c r="Q28" s="19" t="n"/>
      <c r="R28" s="18">
        <f>IF(OR(A28="",P28=""),"",IF(P28&gt;N(Q28),"Sí: entregar nivel "&amp;(N(Q28)+1)&amp;IF(P28&gt;N(Q28)+1," al "&amp;P28,"")&amp;" (ver Logros)",""))</f>
        <v/>
      </c>
      <c r="S28" s="20">
        <f>IF(OR(A28="",N28&lt;&gt;"Sí",N(L28)&lt;=0),"",(N(L28)*100000-MAX(0,ROUND((N(M28)-DATE(2026,10,1))*1440,0)))*1000-ROW())</f>
        <v/>
      </c>
    </row>
    <row r="29">
      <c r="A29" s="19" t="n"/>
      <c r="B29" s="19" t="n"/>
      <c r="C29" s="19" t="n"/>
      <c r="D29" s="21" t="n"/>
      <c r="E29" s="19" t="n"/>
      <c r="F29" s="19" t="n"/>
      <c r="G29" s="22" t="n"/>
      <c r="H29" s="19" t="n"/>
      <c r="I29" s="19" t="n"/>
      <c r="J29" s="19" t="n"/>
      <c r="K29" s="19" t="n"/>
      <c r="L29" s="16">
        <f>IF(A29="","",SUMIF(Movimientos!$B$2:$B$3001,A29,Movimientos!$F$2:$F$3001))</f>
        <v/>
      </c>
      <c r="M29" s="17">
        <f>IF(A29="","",IF(COUNTIF(Movimientos!$B$2:$B$3001,A29)=0,"",_xlfn.MAXIFS(Movimientos!$A$2:$A$3001,Movimientos!$B$2:$B$3001,A29)))</f>
        <v/>
      </c>
      <c r="N29" s="18">
        <f>IF(A29="","",IF(AND(H29="Sí",I29="Sí",K29&lt;&gt;"Sí"),"Sí","No"))</f>
        <v/>
      </c>
      <c r="O29" s="18">
        <f>IF(S29="","",1+COUNTIFS($N$2:$N$501,"Sí",$S$2:$S$501,"&gt;"&amp;S29))</f>
        <v/>
      </c>
      <c r="P29" s="18">
        <f>IF(A29="","",INDEX(Logros!$A$2:$A$6,MATCH(N(L29),Logros!$C$2:$C$6,1)))</f>
        <v/>
      </c>
      <c r="Q29" s="19" t="n"/>
      <c r="R29" s="18">
        <f>IF(OR(A29="",P29=""),"",IF(P29&gt;N(Q29),"Sí: entregar nivel "&amp;(N(Q29)+1)&amp;IF(P29&gt;N(Q29)+1," al "&amp;P29,"")&amp;" (ver Logros)",""))</f>
        <v/>
      </c>
      <c r="S29" s="20">
        <f>IF(OR(A29="",N29&lt;&gt;"Sí",N(L29)&lt;=0),"",(N(L29)*100000-MAX(0,ROUND((N(M29)-DATE(2026,10,1))*1440,0)))*1000-ROW())</f>
        <v/>
      </c>
    </row>
    <row r="30">
      <c r="A30" s="19" t="n"/>
      <c r="B30" s="19" t="n"/>
      <c r="C30" s="19" t="n"/>
      <c r="D30" s="21" t="n"/>
      <c r="E30" s="19" t="n"/>
      <c r="F30" s="19" t="n"/>
      <c r="G30" s="22" t="n"/>
      <c r="H30" s="19" t="n"/>
      <c r="I30" s="19" t="n"/>
      <c r="J30" s="19" t="n"/>
      <c r="K30" s="19" t="n"/>
      <c r="L30" s="16">
        <f>IF(A30="","",SUMIF(Movimientos!$B$2:$B$3001,A30,Movimientos!$F$2:$F$3001))</f>
        <v/>
      </c>
      <c r="M30" s="17">
        <f>IF(A30="","",IF(COUNTIF(Movimientos!$B$2:$B$3001,A30)=0,"",_xlfn.MAXIFS(Movimientos!$A$2:$A$3001,Movimientos!$B$2:$B$3001,A30)))</f>
        <v/>
      </c>
      <c r="N30" s="18">
        <f>IF(A30="","",IF(AND(H30="Sí",I30="Sí",K30&lt;&gt;"Sí"),"Sí","No"))</f>
        <v/>
      </c>
      <c r="O30" s="18">
        <f>IF(S30="","",1+COUNTIFS($N$2:$N$501,"Sí",$S$2:$S$501,"&gt;"&amp;S30))</f>
        <v/>
      </c>
      <c r="P30" s="18">
        <f>IF(A30="","",INDEX(Logros!$A$2:$A$6,MATCH(N(L30),Logros!$C$2:$C$6,1)))</f>
        <v/>
      </c>
      <c r="Q30" s="19" t="n"/>
      <c r="R30" s="18">
        <f>IF(OR(A30="",P30=""),"",IF(P30&gt;N(Q30),"Sí: entregar nivel "&amp;(N(Q30)+1)&amp;IF(P30&gt;N(Q30)+1," al "&amp;P30,"")&amp;" (ver Logros)",""))</f>
        <v/>
      </c>
      <c r="S30" s="20">
        <f>IF(OR(A30="",N30&lt;&gt;"Sí",N(L30)&lt;=0),"",(N(L30)*100000-MAX(0,ROUND((N(M30)-DATE(2026,10,1))*1440,0)))*1000-ROW())</f>
        <v/>
      </c>
    </row>
    <row r="31">
      <c r="A31" s="19" t="n"/>
      <c r="B31" s="19" t="n"/>
      <c r="C31" s="19" t="n"/>
      <c r="D31" s="21" t="n"/>
      <c r="E31" s="19" t="n"/>
      <c r="F31" s="19" t="n"/>
      <c r="G31" s="22" t="n"/>
      <c r="H31" s="19" t="n"/>
      <c r="I31" s="19" t="n"/>
      <c r="J31" s="19" t="n"/>
      <c r="K31" s="19" t="n"/>
      <c r="L31" s="16">
        <f>IF(A31="","",SUMIF(Movimientos!$B$2:$B$3001,A31,Movimientos!$F$2:$F$3001))</f>
        <v/>
      </c>
      <c r="M31" s="17">
        <f>IF(A31="","",IF(COUNTIF(Movimientos!$B$2:$B$3001,A31)=0,"",_xlfn.MAXIFS(Movimientos!$A$2:$A$3001,Movimientos!$B$2:$B$3001,A31)))</f>
        <v/>
      </c>
      <c r="N31" s="18">
        <f>IF(A31="","",IF(AND(H31="Sí",I31="Sí",K31&lt;&gt;"Sí"),"Sí","No"))</f>
        <v/>
      </c>
      <c r="O31" s="18">
        <f>IF(S31="","",1+COUNTIFS($N$2:$N$501,"Sí",$S$2:$S$501,"&gt;"&amp;S31))</f>
        <v/>
      </c>
      <c r="P31" s="18">
        <f>IF(A31="","",INDEX(Logros!$A$2:$A$6,MATCH(N(L31),Logros!$C$2:$C$6,1)))</f>
        <v/>
      </c>
      <c r="Q31" s="19" t="n"/>
      <c r="R31" s="18">
        <f>IF(OR(A31="",P31=""),"",IF(P31&gt;N(Q31),"Sí: entregar nivel "&amp;(N(Q31)+1)&amp;IF(P31&gt;N(Q31)+1," al "&amp;P31,"")&amp;" (ver Logros)",""))</f>
        <v/>
      </c>
      <c r="S31" s="20">
        <f>IF(OR(A31="",N31&lt;&gt;"Sí",N(L31)&lt;=0),"",(N(L31)*100000-MAX(0,ROUND((N(M31)-DATE(2026,10,1))*1440,0)))*1000-ROW())</f>
        <v/>
      </c>
    </row>
    <row r="32">
      <c r="A32" s="19" t="n"/>
      <c r="B32" s="19" t="n"/>
      <c r="C32" s="19" t="n"/>
      <c r="D32" s="21" t="n"/>
      <c r="E32" s="19" t="n"/>
      <c r="F32" s="19" t="n"/>
      <c r="G32" s="22" t="n"/>
      <c r="H32" s="19" t="n"/>
      <c r="I32" s="19" t="n"/>
      <c r="J32" s="19" t="n"/>
      <c r="K32" s="19" t="n"/>
      <c r="L32" s="16">
        <f>IF(A32="","",SUMIF(Movimientos!$B$2:$B$3001,A32,Movimientos!$F$2:$F$3001))</f>
        <v/>
      </c>
      <c r="M32" s="17">
        <f>IF(A32="","",IF(COUNTIF(Movimientos!$B$2:$B$3001,A32)=0,"",_xlfn.MAXIFS(Movimientos!$A$2:$A$3001,Movimientos!$B$2:$B$3001,A32)))</f>
        <v/>
      </c>
      <c r="N32" s="18">
        <f>IF(A32="","",IF(AND(H32="Sí",I32="Sí",K32&lt;&gt;"Sí"),"Sí","No"))</f>
        <v/>
      </c>
      <c r="O32" s="18">
        <f>IF(S32="","",1+COUNTIFS($N$2:$N$501,"Sí",$S$2:$S$501,"&gt;"&amp;S32))</f>
        <v/>
      </c>
      <c r="P32" s="18">
        <f>IF(A32="","",INDEX(Logros!$A$2:$A$6,MATCH(N(L32),Logros!$C$2:$C$6,1)))</f>
        <v/>
      </c>
      <c r="Q32" s="19" t="n"/>
      <c r="R32" s="18">
        <f>IF(OR(A32="",P32=""),"",IF(P32&gt;N(Q32),"Sí: entregar nivel "&amp;(N(Q32)+1)&amp;IF(P32&gt;N(Q32)+1," al "&amp;P32,"")&amp;" (ver Logros)",""))</f>
        <v/>
      </c>
      <c r="S32" s="20">
        <f>IF(OR(A32="",N32&lt;&gt;"Sí",N(L32)&lt;=0),"",(N(L32)*100000-MAX(0,ROUND((N(M32)-DATE(2026,10,1))*1440,0)))*1000-ROW())</f>
        <v/>
      </c>
    </row>
    <row r="33">
      <c r="A33" s="19" t="n"/>
      <c r="B33" s="19" t="n"/>
      <c r="C33" s="19" t="n"/>
      <c r="D33" s="21" t="n"/>
      <c r="E33" s="19" t="n"/>
      <c r="F33" s="19" t="n"/>
      <c r="G33" s="22" t="n"/>
      <c r="H33" s="19" t="n"/>
      <c r="I33" s="19" t="n"/>
      <c r="J33" s="19" t="n"/>
      <c r="K33" s="19" t="n"/>
      <c r="L33" s="16">
        <f>IF(A33="","",SUMIF(Movimientos!$B$2:$B$3001,A33,Movimientos!$F$2:$F$3001))</f>
        <v/>
      </c>
      <c r="M33" s="17">
        <f>IF(A33="","",IF(COUNTIF(Movimientos!$B$2:$B$3001,A33)=0,"",_xlfn.MAXIFS(Movimientos!$A$2:$A$3001,Movimientos!$B$2:$B$3001,A33)))</f>
        <v/>
      </c>
      <c r="N33" s="18">
        <f>IF(A33="","",IF(AND(H33="Sí",I33="Sí",K33&lt;&gt;"Sí"),"Sí","No"))</f>
        <v/>
      </c>
      <c r="O33" s="18">
        <f>IF(S33="","",1+COUNTIFS($N$2:$N$501,"Sí",$S$2:$S$501,"&gt;"&amp;S33))</f>
        <v/>
      </c>
      <c r="P33" s="18">
        <f>IF(A33="","",INDEX(Logros!$A$2:$A$6,MATCH(N(L33),Logros!$C$2:$C$6,1)))</f>
        <v/>
      </c>
      <c r="Q33" s="19" t="n"/>
      <c r="R33" s="18">
        <f>IF(OR(A33="",P33=""),"",IF(P33&gt;N(Q33),"Sí: entregar nivel "&amp;(N(Q33)+1)&amp;IF(P33&gt;N(Q33)+1," al "&amp;P33,"")&amp;" (ver Logros)",""))</f>
        <v/>
      </c>
      <c r="S33" s="20">
        <f>IF(OR(A33="",N33&lt;&gt;"Sí",N(L33)&lt;=0),"",(N(L33)*100000-MAX(0,ROUND((N(M33)-DATE(2026,10,1))*1440,0)))*1000-ROW())</f>
        <v/>
      </c>
    </row>
    <row r="34">
      <c r="A34" s="19" t="n"/>
      <c r="B34" s="19" t="n"/>
      <c r="C34" s="19" t="n"/>
      <c r="D34" s="21" t="n"/>
      <c r="E34" s="19" t="n"/>
      <c r="F34" s="19" t="n"/>
      <c r="G34" s="22" t="n"/>
      <c r="H34" s="19" t="n"/>
      <c r="I34" s="19" t="n"/>
      <c r="J34" s="19" t="n"/>
      <c r="K34" s="19" t="n"/>
      <c r="L34" s="16">
        <f>IF(A34="","",SUMIF(Movimientos!$B$2:$B$3001,A34,Movimientos!$F$2:$F$3001))</f>
        <v/>
      </c>
      <c r="M34" s="17">
        <f>IF(A34="","",IF(COUNTIF(Movimientos!$B$2:$B$3001,A34)=0,"",_xlfn.MAXIFS(Movimientos!$A$2:$A$3001,Movimientos!$B$2:$B$3001,A34)))</f>
        <v/>
      </c>
      <c r="N34" s="18">
        <f>IF(A34="","",IF(AND(H34="Sí",I34="Sí",K34&lt;&gt;"Sí"),"Sí","No"))</f>
        <v/>
      </c>
      <c r="O34" s="18">
        <f>IF(S34="","",1+COUNTIFS($N$2:$N$501,"Sí",$S$2:$S$501,"&gt;"&amp;S34))</f>
        <v/>
      </c>
      <c r="P34" s="18">
        <f>IF(A34="","",INDEX(Logros!$A$2:$A$6,MATCH(N(L34),Logros!$C$2:$C$6,1)))</f>
        <v/>
      </c>
      <c r="Q34" s="19" t="n"/>
      <c r="R34" s="18">
        <f>IF(OR(A34="",P34=""),"",IF(P34&gt;N(Q34),"Sí: entregar nivel "&amp;(N(Q34)+1)&amp;IF(P34&gt;N(Q34)+1," al "&amp;P34,"")&amp;" (ver Logros)",""))</f>
        <v/>
      </c>
      <c r="S34" s="20">
        <f>IF(OR(A34="",N34&lt;&gt;"Sí",N(L34)&lt;=0),"",(N(L34)*100000-MAX(0,ROUND((N(M34)-DATE(2026,10,1))*1440,0)))*1000-ROW())</f>
        <v/>
      </c>
    </row>
    <row r="35">
      <c r="A35" s="19" t="n"/>
      <c r="B35" s="19" t="n"/>
      <c r="C35" s="19" t="n"/>
      <c r="D35" s="21" t="n"/>
      <c r="E35" s="19" t="n"/>
      <c r="F35" s="19" t="n"/>
      <c r="G35" s="22" t="n"/>
      <c r="H35" s="19" t="n"/>
      <c r="I35" s="19" t="n"/>
      <c r="J35" s="19" t="n"/>
      <c r="K35" s="19" t="n"/>
      <c r="L35" s="16">
        <f>IF(A35="","",SUMIF(Movimientos!$B$2:$B$3001,A35,Movimientos!$F$2:$F$3001))</f>
        <v/>
      </c>
      <c r="M35" s="17">
        <f>IF(A35="","",IF(COUNTIF(Movimientos!$B$2:$B$3001,A35)=0,"",_xlfn.MAXIFS(Movimientos!$A$2:$A$3001,Movimientos!$B$2:$B$3001,A35)))</f>
        <v/>
      </c>
      <c r="N35" s="18">
        <f>IF(A35="","",IF(AND(H35="Sí",I35="Sí",K35&lt;&gt;"Sí"),"Sí","No"))</f>
        <v/>
      </c>
      <c r="O35" s="18">
        <f>IF(S35="","",1+COUNTIFS($N$2:$N$501,"Sí",$S$2:$S$501,"&gt;"&amp;S35))</f>
        <v/>
      </c>
      <c r="P35" s="18">
        <f>IF(A35="","",INDEX(Logros!$A$2:$A$6,MATCH(N(L35),Logros!$C$2:$C$6,1)))</f>
        <v/>
      </c>
      <c r="Q35" s="19" t="n"/>
      <c r="R35" s="18">
        <f>IF(OR(A35="",P35=""),"",IF(P35&gt;N(Q35),"Sí: entregar nivel "&amp;(N(Q35)+1)&amp;IF(P35&gt;N(Q35)+1," al "&amp;P35,"")&amp;" (ver Logros)",""))</f>
        <v/>
      </c>
      <c r="S35" s="20">
        <f>IF(OR(A35="",N35&lt;&gt;"Sí",N(L35)&lt;=0),"",(N(L35)*100000-MAX(0,ROUND((N(M35)-DATE(2026,10,1))*1440,0)))*1000-ROW())</f>
        <v/>
      </c>
    </row>
    <row r="36">
      <c r="A36" s="19" t="n"/>
      <c r="B36" s="19" t="n"/>
      <c r="C36" s="19" t="n"/>
      <c r="D36" s="21" t="n"/>
      <c r="E36" s="19" t="n"/>
      <c r="F36" s="19" t="n"/>
      <c r="G36" s="22" t="n"/>
      <c r="H36" s="19" t="n"/>
      <c r="I36" s="19" t="n"/>
      <c r="J36" s="19" t="n"/>
      <c r="K36" s="19" t="n"/>
      <c r="L36" s="16">
        <f>IF(A36="","",SUMIF(Movimientos!$B$2:$B$3001,A36,Movimientos!$F$2:$F$3001))</f>
        <v/>
      </c>
      <c r="M36" s="17">
        <f>IF(A36="","",IF(COUNTIF(Movimientos!$B$2:$B$3001,A36)=0,"",_xlfn.MAXIFS(Movimientos!$A$2:$A$3001,Movimientos!$B$2:$B$3001,A36)))</f>
        <v/>
      </c>
      <c r="N36" s="18">
        <f>IF(A36="","",IF(AND(H36="Sí",I36="Sí",K36&lt;&gt;"Sí"),"Sí","No"))</f>
        <v/>
      </c>
      <c r="O36" s="18">
        <f>IF(S36="","",1+COUNTIFS($N$2:$N$501,"Sí",$S$2:$S$501,"&gt;"&amp;S36))</f>
        <v/>
      </c>
      <c r="P36" s="18">
        <f>IF(A36="","",INDEX(Logros!$A$2:$A$6,MATCH(N(L36),Logros!$C$2:$C$6,1)))</f>
        <v/>
      </c>
      <c r="Q36" s="19" t="n"/>
      <c r="R36" s="18">
        <f>IF(OR(A36="",P36=""),"",IF(P36&gt;N(Q36),"Sí: entregar nivel "&amp;(N(Q36)+1)&amp;IF(P36&gt;N(Q36)+1," al "&amp;P36,"")&amp;" (ver Logros)",""))</f>
        <v/>
      </c>
      <c r="S36" s="20">
        <f>IF(OR(A36="",N36&lt;&gt;"Sí",N(L36)&lt;=0),"",(N(L36)*100000-MAX(0,ROUND((N(M36)-DATE(2026,10,1))*1440,0)))*1000-ROW())</f>
        <v/>
      </c>
    </row>
    <row r="37">
      <c r="A37" s="19" t="n"/>
      <c r="B37" s="19" t="n"/>
      <c r="C37" s="19" t="n"/>
      <c r="D37" s="21" t="n"/>
      <c r="E37" s="19" t="n"/>
      <c r="F37" s="19" t="n"/>
      <c r="G37" s="22" t="n"/>
      <c r="H37" s="19" t="n"/>
      <c r="I37" s="19" t="n"/>
      <c r="J37" s="19" t="n"/>
      <c r="K37" s="19" t="n"/>
      <c r="L37" s="16">
        <f>IF(A37="","",SUMIF(Movimientos!$B$2:$B$3001,A37,Movimientos!$F$2:$F$3001))</f>
        <v/>
      </c>
      <c r="M37" s="17">
        <f>IF(A37="","",IF(COUNTIF(Movimientos!$B$2:$B$3001,A37)=0,"",_xlfn.MAXIFS(Movimientos!$A$2:$A$3001,Movimientos!$B$2:$B$3001,A37)))</f>
        <v/>
      </c>
      <c r="N37" s="18">
        <f>IF(A37="","",IF(AND(H37="Sí",I37="Sí",K37&lt;&gt;"Sí"),"Sí","No"))</f>
        <v/>
      </c>
      <c r="O37" s="18">
        <f>IF(S37="","",1+COUNTIFS($N$2:$N$501,"Sí",$S$2:$S$501,"&gt;"&amp;S37))</f>
        <v/>
      </c>
      <c r="P37" s="18">
        <f>IF(A37="","",INDEX(Logros!$A$2:$A$6,MATCH(N(L37),Logros!$C$2:$C$6,1)))</f>
        <v/>
      </c>
      <c r="Q37" s="19" t="n"/>
      <c r="R37" s="18">
        <f>IF(OR(A37="",P37=""),"",IF(P37&gt;N(Q37),"Sí: entregar nivel "&amp;(N(Q37)+1)&amp;IF(P37&gt;N(Q37)+1," al "&amp;P37,"")&amp;" (ver Logros)",""))</f>
        <v/>
      </c>
      <c r="S37" s="20">
        <f>IF(OR(A37="",N37&lt;&gt;"Sí",N(L37)&lt;=0),"",(N(L37)*100000-MAX(0,ROUND((N(M37)-DATE(2026,10,1))*1440,0)))*1000-ROW())</f>
        <v/>
      </c>
    </row>
    <row r="38">
      <c r="A38" s="19" t="n"/>
      <c r="B38" s="19" t="n"/>
      <c r="C38" s="19" t="n"/>
      <c r="D38" s="21" t="n"/>
      <c r="E38" s="19" t="n"/>
      <c r="F38" s="19" t="n"/>
      <c r="G38" s="22" t="n"/>
      <c r="H38" s="19" t="n"/>
      <c r="I38" s="19" t="n"/>
      <c r="J38" s="19" t="n"/>
      <c r="K38" s="19" t="n"/>
      <c r="L38" s="16">
        <f>IF(A38="","",SUMIF(Movimientos!$B$2:$B$3001,A38,Movimientos!$F$2:$F$3001))</f>
        <v/>
      </c>
      <c r="M38" s="17">
        <f>IF(A38="","",IF(COUNTIF(Movimientos!$B$2:$B$3001,A38)=0,"",_xlfn.MAXIFS(Movimientos!$A$2:$A$3001,Movimientos!$B$2:$B$3001,A38)))</f>
        <v/>
      </c>
      <c r="N38" s="18">
        <f>IF(A38="","",IF(AND(H38="Sí",I38="Sí",K38&lt;&gt;"Sí"),"Sí","No"))</f>
        <v/>
      </c>
      <c r="O38" s="18">
        <f>IF(S38="","",1+COUNTIFS($N$2:$N$501,"Sí",$S$2:$S$501,"&gt;"&amp;S38))</f>
        <v/>
      </c>
      <c r="P38" s="18">
        <f>IF(A38="","",INDEX(Logros!$A$2:$A$6,MATCH(N(L38),Logros!$C$2:$C$6,1)))</f>
        <v/>
      </c>
      <c r="Q38" s="19" t="n"/>
      <c r="R38" s="18">
        <f>IF(OR(A38="",P38=""),"",IF(P38&gt;N(Q38),"Sí: entregar nivel "&amp;(N(Q38)+1)&amp;IF(P38&gt;N(Q38)+1," al "&amp;P38,"")&amp;" (ver Logros)",""))</f>
        <v/>
      </c>
      <c r="S38" s="20">
        <f>IF(OR(A38="",N38&lt;&gt;"Sí",N(L38)&lt;=0),"",(N(L38)*100000-MAX(0,ROUND((N(M38)-DATE(2026,10,1))*1440,0)))*1000-ROW())</f>
        <v/>
      </c>
    </row>
    <row r="39">
      <c r="A39" s="19" t="n"/>
      <c r="B39" s="19" t="n"/>
      <c r="C39" s="19" t="n"/>
      <c r="D39" s="21" t="n"/>
      <c r="E39" s="19" t="n"/>
      <c r="F39" s="19" t="n"/>
      <c r="G39" s="22" t="n"/>
      <c r="H39" s="19" t="n"/>
      <c r="I39" s="19" t="n"/>
      <c r="J39" s="19" t="n"/>
      <c r="K39" s="19" t="n"/>
      <c r="L39" s="16">
        <f>IF(A39="","",SUMIF(Movimientos!$B$2:$B$3001,A39,Movimientos!$F$2:$F$3001))</f>
        <v/>
      </c>
      <c r="M39" s="17">
        <f>IF(A39="","",IF(COUNTIF(Movimientos!$B$2:$B$3001,A39)=0,"",_xlfn.MAXIFS(Movimientos!$A$2:$A$3001,Movimientos!$B$2:$B$3001,A39)))</f>
        <v/>
      </c>
      <c r="N39" s="18">
        <f>IF(A39="","",IF(AND(H39="Sí",I39="Sí",K39&lt;&gt;"Sí"),"Sí","No"))</f>
        <v/>
      </c>
      <c r="O39" s="18">
        <f>IF(S39="","",1+COUNTIFS($N$2:$N$501,"Sí",$S$2:$S$501,"&gt;"&amp;S39))</f>
        <v/>
      </c>
      <c r="P39" s="18">
        <f>IF(A39="","",INDEX(Logros!$A$2:$A$6,MATCH(N(L39),Logros!$C$2:$C$6,1)))</f>
        <v/>
      </c>
      <c r="Q39" s="19" t="n"/>
      <c r="R39" s="18">
        <f>IF(OR(A39="",P39=""),"",IF(P39&gt;N(Q39),"Sí: entregar nivel "&amp;(N(Q39)+1)&amp;IF(P39&gt;N(Q39)+1," al "&amp;P39,"")&amp;" (ver Logros)",""))</f>
        <v/>
      </c>
      <c r="S39" s="20">
        <f>IF(OR(A39="",N39&lt;&gt;"Sí",N(L39)&lt;=0),"",(N(L39)*100000-MAX(0,ROUND((N(M39)-DATE(2026,10,1))*1440,0)))*1000-ROW())</f>
        <v/>
      </c>
    </row>
    <row r="40">
      <c r="A40" s="19" t="n"/>
      <c r="B40" s="19" t="n"/>
      <c r="C40" s="19" t="n"/>
      <c r="D40" s="21" t="n"/>
      <c r="E40" s="19" t="n"/>
      <c r="F40" s="19" t="n"/>
      <c r="G40" s="22" t="n"/>
      <c r="H40" s="19" t="n"/>
      <c r="I40" s="19" t="n"/>
      <c r="J40" s="19" t="n"/>
      <c r="K40" s="19" t="n"/>
      <c r="L40" s="16">
        <f>IF(A40="","",SUMIF(Movimientos!$B$2:$B$3001,A40,Movimientos!$F$2:$F$3001))</f>
        <v/>
      </c>
      <c r="M40" s="17">
        <f>IF(A40="","",IF(COUNTIF(Movimientos!$B$2:$B$3001,A40)=0,"",_xlfn.MAXIFS(Movimientos!$A$2:$A$3001,Movimientos!$B$2:$B$3001,A40)))</f>
        <v/>
      </c>
      <c r="N40" s="18">
        <f>IF(A40="","",IF(AND(H40="Sí",I40="Sí",K40&lt;&gt;"Sí"),"Sí","No"))</f>
        <v/>
      </c>
      <c r="O40" s="18">
        <f>IF(S40="","",1+COUNTIFS($N$2:$N$501,"Sí",$S$2:$S$501,"&gt;"&amp;S40))</f>
        <v/>
      </c>
      <c r="P40" s="18">
        <f>IF(A40="","",INDEX(Logros!$A$2:$A$6,MATCH(N(L40),Logros!$C$2:$C$6,1)))</f>
        <v/>
      </c>
      <c r="Q40" s="19" t="n"/>
      <c r="R40" s="18">
        <f>IF(OR(A40="",P40=""),"",IF(P40&gt;N(Q40),"Sí: entregar nivel "&amp;(N(Q40)+1)&amp;IF(P40&gt;N(Q40)+1," al "&amp;P40,"")&amp;" (ver Logros)",""))</f>
        <v/>
      </c>
      <c r="S40" s="20">
        <f>IF(OR(A40="",N40&lt;&gt;"Sí",N(L40)&lt;=0),"",(N(L40)*100000-MAX(0,ROUND((N(M40)-DATE(2026,10,1))*1440,0)))*1000-ROW())</f>
        <v/>
      </c>
    </row>
    <row r="41">
      <c r="A41" s="19" t="n"/>
      <c r="B41" s="19" t="n"/>
      <c r="C41" s="19" t="n"/>
      <c r="D41" s="21" t="n"/>
      <c r="E41" s="19" t="n"/>
      <c r="F41" s="19" t="n"/>
      <c r="G41" s="22" t="n"/>
      <c r="H41" s="19" t="n"/>
      <c r="I41" s="19" t="n"/>
      <c r="J41" s="19" t="n"/>
      <c r="K41" s="19" t="n"/>
      <c r="L41" s="16">
        <f>IF(A41="","",SUMIF(Movimientos!$B$2:$B$3001,A41,Movimientos!$F$2:$F$3001))</f>
        <v/>
      </c>
      <c r="M41" s="17">
        <f>IF(A41="","",IF(COUNTIF(Movimientos!$B$2:$B$3001,A41)=0,"",_xlfn.MAXIFS(Movimientos!$A$2:$A$3001,Movimientos!$B$2:$B$3001,A41)))</f>
        <v/>
      </c>
      <c r="N41" s="18">
        <f>IF(A41="","",IF(AND(H41="Sí",I41="Sí",K41&lt;&gt;"Sí"),"Sí","No"))</f>
        <v/>
      </c>
      <c r="O41" s="18">
        <f>IF(S41="","",1+COUNTIFS($N$2:$N$501,"Sí",$S$2:$S$501,"&gt;"&amp;S41))</f>
        <v/>
      </c>
      <c r="P41" s="18">
        <f>IF(A41="","",INDEX(Logros!$A$2:$A$6,MATCH(N(L41),Logros!$C$2:$C$6,1)))</f>
        <v/>
      </c>
      <c r="Q41" s="19" t="n"/>
      <c r="R41" s="18">
        <f>IF(OR(A41="",P41=""),"",IF(P41&gt;N(Q41),"Sí: entregar nivel "&amp;(N(Q41)+1)&amp;IF(P41&gt;N(Q41)+1," al "&amp;P41,"")&amp;" (ver Logros)",""))</f>
        <v/>
      </c>
      <c r="S41" s="20">
        <f>IF(OR(A41="",N41&lt;&gt;"Sí",N(L41)&lt;=0),"",(N(L41)*100000-MAX(0,ROUND((N(M41)-DATE(2026,10,1))*1440,0)))*1000-ROW())</f>
        <v/>
      </c>
    </row>
    <row r="42">
      <c r="A42" s="19" t="n"/>
      <c r="B42" s="19" t="n"/>
      <c r="C42" s="19" t="n"/>
      <c r="D42" s="21" t="n"/>
      <c r="E42" s="19" t="n"/>
      <c r="F42" s="19" t="n"/>
      <c r="G42" s="22" t="n"/>
      <c r="H42" s="19" t="n"/>
      <c r="I42" s="19" t="n"/>
      <c r="J42" s="19" t="n"/>
      <c r="K42" s="19" t="n"/>
      <c r="L42" s="16">
        <f>IF(A42="","",SUMIF(Movimientos!$B$2:$B$3001,A42,Movimientos!$F$2:$F$3001))</f>
        <v/>
      </c>
      <c r="M42" s="17">
        <f>IF(A42="","",IF(COUNTIF(Movimientos!$B$2:$B$3001,A42)=0,"",_xlfn.MAXIFS(Movimientos!$A$2:$A$3001,Movimientos!$B$2:$B$3001,A42)))</f>
        <v/>
      </c>
      <c r="N42" s="18">
        <f>IF(A42="","",IF(AND(H42="Sí",I42="Sí",K42&lt;&gt;"Sí"),"Sí","No"))</f>
        <v/>
      </c>
      <c r="O42" s="18">
        <f>IF(S42="","",1+COUNTIFS($N$2:$N$501,"Sí",$S$2:$S$501,"&gt;"&amp;S42))</f>
        <v/>
      </c>
      <c r="P42" s="18">
        <f>IF(A42="","",INDEX(Logros!$A$2:$A$6,MATCH(N(L42),Logros!$C$2:$C$6,1)))</f>
        <v/>
      </c>
      <c r="Q42" s="19" t="n"/>
      <c r="R42" s="18">
        <f>IF(OR(A42="",P42=""),"",IF(P42&gt;N(Q42),"Sí: entregar nivel "&amp;(N(Q42)+1)&amp;IF(P42&gt;N(Q42)+1," al "&amp;P42,"")&amp;" (ver Logros)",""))</f>
        <v/>
      </c>
      <c r="S42" s="20">
        <f>IF(OR(A42="",N42&lt;&gt;"Sí",N(L42)&lt;=0),"",(N(L42)*100000-MAX(0,ROUND((N(M42)-DATE(2026,10,1))*1440,0)))*1000-ROW())</f>
        <v/>
      </c>
    </row>
    <row r="43">
      <c r="A43" s="19" t="n"/>
      <c r="B43" s="19" t="n"/>
      <c r="C43" s="19" t="n"/>
      <c r="D43" s="21" t="n"/>
      <c r="E43" s="19" t="n"/>
      <c r="F43" s="19" t="n"/>
      <c r="G43" s="22" t="n"/>
      <c r="H43" s="19" t="n"/>
      <c r="I43" s="19" t="n"/>
      <c r="J43" s="19" t="n"/>
      <c r="K43" s="19" t="n"/>
      <c r="L43" s="16">
        <f>IF(A43="","",SUMIF(Movimientos!$B$2:$B$3001,A43,Movimientos!$F$2:$F$3001))</f>
        <v/>
      </c>
      <c r="M43" s="17">
        <f>IF(A43="","",IF(COUNTIF(Movimientos!$B$2:$B$3001,A43)=0,"",_xlfn.MAXIFS(Movimientos!$A$2:$A$3001,Movimientos!$B$2:$B$3001,A43)))</f>
        <v/>
      </c>
      <c r="N43" s="18">
        <f>IF(A43="","",IF(AND(H43="Sí",I43="Sí",K43&lt;&gt;"Sí"),"Sí","No"))</f>
        <v/>
      </c>
      <c r="O43" s="18">
        <f>IF(S43="","",1+COUNTIFS($N$2:$N$501,"Sí",$S$2:$S$501,"&gt;"&amp;S43))</f>
        <v/>
      </c>
      <c r="P43" s="18">
        <f>IF(A43="","",INDEX(Logros!$A$2:$A$6,MATCH(N(L43),Logros!$C$2:$C$6,1)))</f>
        <v/>
      </c>
      <c r="Q43" s="19" t="n"/>
      <c r="R43" s="18">
        <f>IF(OR(A43="",P43=""),"",IF(P43&gt;N(Q43),"Sí: entregar nivel "&amp;(N(Q43)+1)&amp;IF(P43&gt;N(Q43)+1," al "&amp;P43,"")&amp;" (ver Logros)",""))</f>
        <v/>
      </c>
      <c r="S43" s="20">
        <f>IF(OR(A43="",N43&lt;&gt;"Sí",N(L43)&lt;=0),"",(N(L43)*100000-MAX(0,ROUND((N(M43)-DATE(2026,10,1))*1440,0)))*1000-ROW())</f>
        <v/>
      </c>
    </row>
    <row r="44">
      <c r="A44" s="19" t="n"/>
      <c r="B44" s="19" t="n"/>
      <c r="C44" s="19" t="n"/>
      <c r="D44" s="21" t="n"/>
      <c r="E44" s="19" t="n"/>
      <c r="F44" s="19" t="n"/>
      <c r="G44" s="22" t="n"/>
      <c r="H44" s="19" t="n"/>
      <c r="I44" s="19" t="n"/>
      <c r="J44" s="19" t="n"/>
      <c r="K44" s="19" t="n"/>
      <c r="L44" s="16">
        <f>IF(A44="","",SUMIF(Movimientos!$B$2:$B$3001,A44,Movimientos!$F$2:$F$3001))</f>
        <v/>
      </c>
      <c r="M44" s="17">
        <f>IF(A44="","",IF(COUNTIF(Movimientos!$B$2:$B$3001,A44)=0,"",_xlfn.MAXIFS(Movimientos!$A$2:$A$3001,Movimientos!$B$2:$B$3001,A44)))</f>
        <v/>
      </c>
      <c r="N44" s="18">
        <f>IF(A44="","",IF(AND(H44="Sí",I44="Sí",K44&lt;&gt;"Sí"),"Sí","No"))</f>
        <v/>
      </c>
      <c r="O44" s="18">
        <f>IF(S44="","",1+COUNTIFS($N$2:$N$501,"Sí",$S$2:$S$501,"&gt;"&amp;S44))</f>
        <v/>
      </c>
      <c r="P44" s="18">
        <f>IF(A44="","",INDEX(Logros!$A$2:$A$6,MATCH(N(L44),Logros!$C$2:$C$6,1)))</f>
        <v/>
      </c>
      <c r="Q44" s="19" t="n"/>
      <c r="R44" s="18">
        <f>IF(OR(A44="",P44=""),"",IF(P44&gt;N(Q44),"Sí: entregar nivel "&amp;(N(Q44)+1)&amp;IF(P44&gt;N(Q44)+1," al "&amp;P44,"")&amp;" (ver Logros)",""))</f>
        <v/>
      </c>
      <c r="S44" s="20">
        <f>IF(OR(A44="",N44&lt;&gt;"Sí",N(L44)&lt;=0),"",(N(L44)*100000-MAX(0,ROUND((N(M44)-DATE(2026,10,1))*1440,0)))*1000-ROW())</f>
        <v/>
      </c>
    </row>
    <row r="45">
      <c r="A45" s="19" t="n"/>
      <c r="B45" s="19" t="n"/>
      <c r="C45" s="19" t="n"/>
      <c r="D45" s="21" t="n"/>
      <c r="E45" s="19" t="n"/>
      <c r="F45" s="19" t="n"/>
      <c r="G45" s="22" t="n"/>
      <c r="H45" s="19" t="n"/>
      <c r="I45" s="19" t="n"/>
      <c r="J45" s="19" t="n"/>
      <c r="K45" s="19" t="n"/>
      <c r="L45" s="16">
        <f>IF(A45="","",SUMIF(Movimientos!$B$2:$B$3001,A45,Movimientos!$F$2:$F$3001))</f>
        <v/>
      </c>
      <c r="M45" s="17">
        <f>IF(A45="","",IF(COUNTIF(Movimientos!$B$2:$B$3001,A45)=0,"",_xlfn.MAXIFS(Movimientos!$A$2:$A$3001,Movimientos!$B$2:$B$3001,A45)))</f>
        <v/>
      </c>
      <c r="N45" s="18">
        <f>IF(A45="","",IF(AND(H45="Sí",I45="Sí",K45&lt;&gt;"Sí"),"Sí","No"))</f>
        <v/>
      </c>
      <c r="O45" s="18">
        <f>IF(S45="","",1+COUNTIFS($N$2:$N$501,"Sí",$S$2:$S$501,"&gt;"&amp;S45))</f>
        <v/>
      </c>
      <c r="P45" s="18">
        <f>IF(A45="","",INDEX(Logros!$A$2:$A$6,MATCH(N(L45),Logros!$C$2:$C$6,1)))</f>
        <v/>
      </c>
      <c r="Q45" s="19" t="n"/>
      <c r="R45" s="18">
        <f>IF(OR(A45="",P45=""),"",IF(P45&gt;N(Q45),"Sí: entregar nivel "&amp;(N(Q45)+1)&amp;IF(P45&gt;N(Q45)+1," al "&amp;P45,"")&amp;" (ver Logros)",""))</f>
        <v/>
      </c>
      <c r="S45" s="20">
        <f>IF(OR(A45="",N45&lt;&gt;"Sí",N(L45)&lt;=0),"",(N(L45)*100000-MAX(0,ROUND((N(M45)-DATE(2026,10,1))*1440,0)))*1000-ROW())</f>
        <v/>
      </c>
    </row>
    <row r="46">
      <c r="A46" s="19" t="n"/>
      <c r="B46" s="19" t="n"/>
      <c r="C46" s="19" t="n"/>
      <c r="D46" s="21" t="n"/>
      <c r="E46" s="19" t="n"/>
      <c r="F46" s="19" t="n"/>
      <c r="G46" s="22" t="n"/>
      <c r="H46" s="19" t="n"/>
      <c r="I46" s="19" t="n"/>
      <c r="J46" s="19" t="n"/>
      <c r="K46" s="19" t="n"/>
      <c r="L46" s="16">
        <f>IF(A46="","",SUMIF(Movimientos!$B$2:$B$3001,A46,Movimientos!$F$2:$F$3001))</f>
        <v/>
      </c>
      <c r="M46" s="17">
        <f>IF(A46="","",IF(COUNTIF(Movimientos!$B$2:$B$3001,A46)=0,"",_xlfn.MAXIFS(Movimientos!$A$2:$A$3001,Movimientos!$B$2:$B$3001,A46)))</f>
        <v/>
      </c>
      <c r="N46" s="18">
        <f>IF(A46="","",IF(AND(H46="Sí",I46="Sí",K46&lt;&gt;"Sí"),"Sí","No"))</f>
        <v/>
      </c>
      <c r="O46" s="18">
        <f>IF(S46="","",1+COUNTIFS($N$2:$N$501,"Sí",$S$2:$S$501,"&gt;"&amp;S46))</f>
        <v/>
      </c>
      <c r="P46" s="18">
        <f>IF(A46="","",INDEX(Logros!$A$2:$A$6,MATCH(N(L46),Logros!$C$2:$C$6,1)))</f>
        <v/>
      </c>
      <c r="Q46" s="19" t="n"/>
      <c r="R46" s="18">
        <f>IF(OR(A46="",P46=""),"",IF(P46&gt;N(Q46),"Sí: entregar nivel "&amp;(N(Q46)+1)&amp;IF(P46&gt;N(Q46)+1," al "&amp;P46,"")&amp;" (ver Logros)",""))</f>
        <v/>
      </c>
      <c r="S46" s="20">
        <f>IF(OR(A46="",N46&lt;&gt;"Sí",N(L46)&lt;=0),"",(N(L46)*100000-MAX(0,ROUND((N(M46)-DATE(2026,10,1))*1440,0)))*1000-ROW())</f>
        <v/>
      </c>
    </row>
    <row r="47">
      <c r="A47" s="19" t="n"/>
      <c r="B47" s="19" t="n"/>
      <c r="C47" s="19" t="n"/>
      <c r="D47" s="21" t="n"/>
      <c r="E47" s="19" t="n"/>
      <c r="F47" s="19" t="n"/>
      <c r="G47" s="22" t="n"/>
      <c r="H47" s="19" t="n"/>
      <c r="I47" s="19" t="n"/>
      <c r="J47" s="19" t="n"/>
      <c r="K47" s="19" t="n"/>
      <c r="L47" s="16">
        <f>IF(A47="","",SUMIF(Movimientos!$B$2:$B$3001,A47,Movimientos!$F$2:$F$3001))</f>
        <v/>
      </c>
      <c r="M47" s="17">
        <f>IF(A47="","",IF(COUNTIF(Movimientos!$B$2:$B$3001,A47)=0,"",_xlfn.MAXIFS(Movimientos!$A$2:$A$3001,Movimientos!$B$2:$B$3001,A47)))</f>
        <v/>
      </c>
      <c r="N47" s="18">
        <f>IF(A47="","",IF(AND(H47="Sí",I47="Sí",K47&lt;&gt;"Sí"),"Sí","No"))</f>
        <v/>
      </c>
      <c r="O47" s="18">
        <f>IF(S47="","",1+COUNTIFS($N$2:$N$501,"Sí",$S$2:$S$501,"&gt;"&amp;S47))</f>
        <v/>
      </c>
      <c r="P47" s="18">
        <f>IF(A47="","",INDEX(Logros!$A$2:$A$6,MATCH(N(L47),Logros!$C$2:$C$6,1)))</f>
        <v/>
      </c>
      <c r="Q47" s="19" t="n"/>
      <c r="R47" s="18">
        <f>IF(OR(A47="",P47=""),"",IF(P47&gt;N(Q47),"Sí: entregar nivel "&amp;(N(Q47)+1)&amp;IF(P47&gt;N(Q47)+1," al "&amp;P47,"")&amp;" (ver Logros)",""))</f>
        <v/>
      </c>
      <c r="S47" s="20">
        <f>IF(OR(A47="",N47&lt;&gt;"Sí",N(L47)&lt;=0),"",(N(L47)*100000-MAX(0,ROUND((N(M47)-DATE(2026,10,1))*1440,0)))*1000-ROW())</f>
        <v/>
      </c>
    </row>
    <row r="48">
      <c r="A48" s="19" t="n"/>
      <c r="B48" s="19" t="n"/>
      <c r="C48" s="19" t="n"/>
      <c r="D48" s="21" t="n"/>
      <c r="E48" s="19" t="n"/>
      <c r="F48" s="19" t="n"/>
      <c r="G48" s="22" t="n"/>
      <c r="H48" s="19" t="n"/>
      <c r="I48" s="19" t="n"/>
      <c r="J48" s="19" t="n"/>
      <c r="K48" s="19" t="n"/>
      <c r="L48" s="16">
        <f>IF(A48="","",SUMIF(Movimientos!$B$2:$B$3001,A48,Movimientos!$F$2:$F$3001))</f>
        <v/>
      </c>
      <c r="M48" s="17">
        <f>IF(A48="","",IF(COUNTIF(Movimientos!$B$2:$B$3001,A48)=0,"",_xlfn.MAXIFS(Movimientos!$A$2:$A$3001,Movimientos!$B$2:$B$3001,A48)))</f>
        <v/>
      </c>
      <c r="N48" s="18">
        <f>IF(A48="","",IF(AND(H48="Sí",I48="Sí",K48&lt;&gt;"Sí"),"Sí","No"))</f>
        <v/>
      </c>
      <c r="O48" s="18">
        <f>IF(S48="","",1+COUNTIFS($N$2:$N$501,"Sí",$S$2:$S$501,"&gt;"&amp;S48))</f>
        <v/>
      </c>
      <c r="P48" s="18">
        <f>IF(A48="","",INDEX(Logros!$A$2:$A$6,MATCH(N(L48),Logros!$C$2:$C$6,1)))</f>
        <v/>
      </c>
      <c r="Q48" s="19" t="n"/>
      <c r="R48" s="18">
        <f>IF(OR(A48="",P48=""),"",IF(P48&gt;N(Q48),"Sí: entregar nivel "&amp;(N(Q48)+1)&amp;IF(P48&gt;N(Q48)+1," al "&amp;P48,"")&amp;" (ver Logros)",""))</f>
        <v/>
      </c>
      <c r="S48" s="20">
        <f>IF(OR(A48="",N48&lt;&gt;"Sí",N(L48)&lt;=0),"",(N(L48)*100000-MAX(0,ROUND((N(M48)-DATE(2026,10,1))*1440,0)))*1000-ROW())</f>
        <v/>
      </c>
    </row>
    <row r="49">
      <c r="A49" s="19" t="n"/>
      <c r="B49" s="19" t="n"/>
      <c r="C49" s="19" t="n"/>
      <c r="D49" s="21" t="n"/>
      <c r="E49" s="19" t="n"/>
      <c r="F49" s="19" t="n"/>
      <c r="G49" s="22" t="n"/>
      <c r="H49" s="19" t="n"/>
      <c r="I49" s="19" t="n"/>
      <c r="J49" s="19" t="n"/>
      <c r="K49" s="19" t="n"/>
      <c r="L49" s="16">
        <f>IF(A49="","",SUMIF(Movimientos!$B$2:$B$3001,A49,Movimientos!$F$2:$F$3001))</f>
        <v/>
      </c>
      <c r="M49" s="17">
        <f>IF(A49="","",IF(COUNTIF(Movimientos!$B$2:$B$3001,A49)=0,"",_xlfn.MAXIFS(Movimientos!$A$2:$A$3001,Movimientos!$B$2:$B$3001,A49)))</f>
        <v/>
      </c>
      <c r="N49" s="18">
        <f>IF(A49="","",IF(AND(H49="Sí",I49="Sí",K49&lt;&gt;"Sí"),"Sí","No"))</f>
        <v/>
      </c>
      <c r="O49" s="18">
        <f>IF(S49="","",1+COUNTIFS($N$2:$N$501,"Sí",$S$2:$S$501,"&gt;"&amp;S49))</f>
        <v/>
      </c>
      <c r="P49" s="18">
        <f>IF(A49="","",INDEX(Logros!$A$2:$A$6,MATCH(N(L49),Logros!$C$2:$C$6,1)))</f>
        <v/>
      </c>
      <c r="Q49" s="19" t="n"/>
      <c r="R49" s="18">
        <f>IF(OR(A49="",P49=""),"",IF(P49&gt;N(Q49),"Sí: entregar nivel "&amp;(N(Q49)+1)&amp;IF(P49&gt;N(Q49)+1," al "&amp;P49,"")&amp;" (ver Logros)",""))</f>
        <v/>
      </c>
      <c r="S49" s="20">
        <f>IF(OR(A49="",N49&lt;&gt;"Sí",N(L49)&lt;=0),"",(N(L49)*100000-MAX(0,ROUND((N(M49)-DATE(2026,10,1))*1440,0)))*1000-ROW())</f>
        <v/>
      </c>
    </row>
    <row r="50">
      <c r="A50" s="19" t="n"/>
      <c r="B50" s="19" t="n"/>
      <c r="C50" s="19" t="n"/>
      <c r="D50" s="21" t="n"/>
      <c r="E50" s="19" t="n"/>
      <c r="F50" s="19" t="n"/>
      <c r="G50" s="22" t="n"/>
      <c r="H50" s="19" t="n"/>
      <c r="I50" s="19" t="n"/>
      <c r="J50" s="19" t="n"/>
      <c r="K50" s="19" t="n"/>
      <c r="L50" s="16">
        <f>IF(A50="","",SUMIF(Movimientos!$B$2:$B$3001,A50,Movimientos!$F$2:$F$3001))</f>
        <v/>
      </c>
      <c r="M50" s="17">
        <f>IF(A50="","",IF(COUNTIF(Movimientos!$B$2:$B$3001,A50)=0,"",_xlfn.MAXIFS(Movimientos!$A$2:$A$3001,Movimientos!$B$2:$B$3001,A50)))</f>
        <v/>
      </c>
      <c r="N50" s="18">
        <f>IF(A50="","",IF(AND(H50="Sí",I50="Sí",K50&lt;&gt;"Sí"),"Sí","No"))</f>
        <v/>
      </c>
      <c r="O50" s="18">
        <f>IF(S50="","",1+COUNTIFS($N$2:$N$501,"Sí",$S$2:$S$501,"&gt;"&amp;S50))</f>
        <v/>
      </c>
      <c r="P50" s="18">
        <f>IF(A50="","",INDEX(Logros!$A$2:$A$6,MATCH(N(L50),Logros!$C$2:$C$6,1)))</f>
        <v/>
      </c>
      <c r="Q50" s="19" t="n"/>
      <c r="R50" s="18">
        <f>IF(OR(A50="",P50=""),"",IF(P50&gt;N(Q50),"Sí: entregar nivel "&amp;(N(Q50)+1)&amp;IF(P50&gt;N(Q50)+1," al "&amp;P50,"")&amp;" (ver Logros)",""))</f>
        <v/>
      </c>
      <c r="S50" s="20">
        <f>IF(OR(A50="",N50&lt;&gt;"Sí",N(L50)&lt;=0),"",(N(L50)*100000-MAX(0,ROUND((N(M50)-DATE(2026,10,1))*1440,0)))*1000-ROW())</f>
        <v/>
      </c>
    </row>
    <row r="51">
      <c r="A51" s="19" t="n"/>
      <c r="B51" s="19" t="n"/>
      <c r="C51" s="19" t="n"/>
      <c r="D51" s="21" t="n"/>
      <c r="E51" s="19" t="n"/>
      <c r="F51" s="19" t="n"/>
      <c r="G51" s="22" t="n"/>
      <c r="H51" s="19" t="n"/>
      <c r="I51" s="19" t="n"/>
      <c r="J51" s="19" t="n"/>
      <c r="K51" s="19" t="n"/>
      <c r="L51" s="16">
        <f>IF(A51="","",SUMIF(Movimientos!$B$2:$B$3001,A51,Movimientos!$F$2:$F$3001))</f>
        <v/>
      </c>
      <c r="M51" s="17">
        <f>IF(A51="","",IF(COUNTIF(Movimientos!$B$2:$B$3001,A51)=0,"",_xlfn.MAXIFS(Movimientos!$A$2:$A$3001,Movimientos!$B$2:$B$3001,A51)))</f>
        <v/>
      </c>
      <c r="N51" s="18">
        <f>IF(A51="","",IF(AND(H51="Sí",I51="Sí",K51&lt;&gt;"Sí"),"Sí","No"))</f>
        <v/>
      </c>
      <c r="O51" s="18">
        <f>IF(S51="","",1+COUNTIFS($N$2:$N$501,"Sí",$S$2:$S$501,"&gt;"&amp;S51))</f>
        <v/>
      </c>
      <c r="P51" s="18">
        <f>IF(A51="","",INDEX(Logros!$A$2:$A$6,MATCH(N(L51),Logros!$C$2:$C$6,1)))</f>
        <v/>
      </c>
      <c r="Q51" s="19" t="n"/>
      <c r="R51" s="18">
        <f>IF(OR(A51="",P51=""),"",IF(P51&gt;N(Q51),"Sí: entregar nivel "&amp;(N(Q51)+1)&amp;IF(P51&gt;N(Q51)+1," al "&amp;P51,"")&amp;" (ver Logros)",""))</f>
        <v/>
      </c>
      <c r="S51" s="20">
        <f>IF(OR(A51="",N51&lt;&gt;"Sí",N(L51)&lt;=0),"",(N(L51)*100000-MAX(0,ROUND((N(M51)-DATE(2026,10,1))*1440,0)))*1000-ROW())</f>
        <v/>
      </c>
    </row>
    <row r="52">
      <c r="A52" s="19" t="n"/>
      <c r="B52" s="19" t="n"/>
      <c r="C52" s="19" t="n"/>
      <c r="D52" s="21" t="n"/>
      <c r="E52" s="19" t="n"/>
      <c r="F52" s="19" t="n"/>
      <c r="G52" s="22" t="n"/>
      <c r="H52" s="19" t="n"/>
      <c r="I52" s="19" t="n"/>
      <c r="J52" s="19" t="n"/>
      <c r="K52" s="19" t="n"/>
      <c r="L52" s="16">
        <f>IF(A52="","",SUMIF(Movimientos!$B$2:$B$3001,A52,Movimientos!$F$2:$F$3001))</f>
        <v/>
      </c>
      <c r="M52" s="17">
        <f>IF(A52="","",IF(COUNTIF(Movimientos!$B$2:$B$3001,A52)=0,"",_xlfn.MAXIFS(Movimientos!$A$2:$A$3001,Movimientos!$B$2:$B$3001,A52)))</f>
        <v/>
      </c>
      <c r="N52" s="18">
        <f>IF(A52="","",IF(AND(H52="Sí",I52="Sí",K52&lt;&gt;"Sí"),"Sí","No"))</f>
        <v/>
      </c>
      <c r="O52" s="18">
        <f>IF(S52="","",1+COUNTIFS($N$2:$N$501,"Sí",$S$2:$S$501,"&gt;"&amp;S52))</f>
        <v/>
      </c>
      <c r="P52" s="18">
        <f>IF(A52="","",INDEX(Logros!$A$2:$A$6,MATCH(N(L52),Logros!$C$2:$C$6,1)))</f>
        <v/>
      </c>
      <c r="Q52" s="19" t="n"/>
      <c r="R52" s="18">
        <f>IF(OR(A52="",P52=""),"",IF(P52&gt;N(Q52),"Sí: entregar nivel "&amp;(N(Q52)+1)&amp;IF(P52&gt;N(Q52)+1," al "&amp;P52,"")&amp;" (ver Logros)",""))</f>
        <v/>
      </c>
      <c r="S52" s="20">
        <f>IF(OR(A52="",N52&lt;&gt;"Sí",N(L52)&lt;=0),"",(N(L52)*100000-MAX(0,ROUND((N(M52)-DATE(2026,10,1))*1440,0)))*1000-ROW())</f>
        <v/>
      </c>
    </row>
    <row r="53">
      <c r="A53" s="19" t="n"/>
      <c r="B53" s="19" t="n"/>
      <c r="C53" s="19" t="n"/>
      <c r="D53" s="21" t="n"/>
      <c r="E53" s="19" t="n"/>
      <c r="F53" s="19" t="n"/>
      <c r="G53" s="22" t="n"/>
      <c r="H53" s="19" t="n"/>
      <c r="I53" s="19" t="n"/>
      <c r="J53" s="19" t="n"/>
      <c r="K53" s="19" t="n"/>
      <c r="L53" s="16">
        <f>IF(A53="","",SUMIF(Movimientos!$B$2:$B$3001,A53,Movimientos!$F$2:$F$3001))</f>
        <v/>
      </c>
      <c r="M53" s="17">
        <f>IF(A53="","",IF(COUNTIF(Movimientos!$B$2:$B$3001,A53)=0,"",_xlfn.MAXIFS(Movimientos!$A$2:$A$3001,Movimientos!$B$2:$B$3001,A53)))</f>
        <v/>
      </c>
      <c r="N53" s="18">
        <f>IF(A53="","",IF(AND(H53="Sí",I53="Sí",K53&lt;&gt;"Sí"),"Sí","No"))</f>
        <v/>
      </c>
      <c r="O53" s="18">
        <f>IF(S53="","",1+COUNTIFS($N$2:$N$501,"Sí",$S$2:$S$501,"&gt;"&amp;S53))</f>
        <v/>
      </c>
      <c r="P53" s="18">
        <f>IF(A53="","",INDEX(Logros!$A$2:$A$6,MATCH(N(L53),Logros!$C$2:$C$6,1)))</f>
        <v/>
      </c>
      <c r="Q53" s="19" t="n"/>
      <c r="R53" s="18">
        <f>IF(OR(A53="",P53=""),"",IF(P53&gt;N(Q53),"Sí: entregar nivel "&amp;(N(Q53)+1)&amp;IF(P53&gt;N(Q53)+1," al "&amp;P53,"")&amp;" (ver Logros)",""))</f>
        <v/>
      </c>
      <c r="S53" s="20">
        <f>IF(OR(A53="",N53&lt;&gt;"Sí",N(L53)&lt;=0),"",(N(L53)*100000-MAX(0,ROUND((N(M53)-DATE(2026,10,1))*1440,0)))*1000-ROW())</f>
        <v/>
      </c>
    </row>
    <row r="54">
      <c r="A54" s="19" t="n"/>
      <c r="B54" s="19" t="n"/>
      <c r="C54" s="19" t="n"/>
      <c r="D54" s="21" t="n"/>
      <c r="E54" s="19" t="n"/>
      <c r="F54" s="19" t="n"/>
      <c r="G54" s="22" t="n"/>
      <c r="H54" s="19" t="n"/>
      <c r="I54" s="19" t="n"/>
      <c r="J54" s="19" t="n"/>
      <c r="K54" s="19" t="n"/>
      <c r="L54" s="16">
        <f>IF(A54="","",SUMIF(Movimientos!$B$2:$B$3001,A54,Movimientos!$F$2:$F$3001))</f>
        <v/>
      </c>
      <c r="M54" s="17">
        <f>IF(A54="","",IF(COUNTIF(Movimientos!$B$2:$B$3001,A54)=0,"",_xlfn.MAXIFS(Movimientos!$A$2:$A$3001,Movimientos!$B$2:$B$3001,A54)))</f>
        <v/>
      </c>
      <c r="N54" s="18">
        <f>IF(A54="","",IF(AND(H54="Sí",I54="Sí",K54&lt;&gt;"Sí"),"Sí","No"))</f>
        <v/>
      </c>
      <c r="O54" s="18">
        <f>IF(S54="","",1+COUNTIFS($N$2:$N$501,"Sí",$S$2:$S$501,"&gt;"&amp;S54))</f>
        <v/>
      </c>
      <c r="P54" s="18">
        <f>IF(A54="","",INDEX(Logros!$A$2:$A$6,MATCH(N(L54),Logros!$C$2:$C$6,1)))</f>
        <v/>
      </c>
      <c r="Q54" s="19" t="n"/>
      <c r="R54" s="18">
        <f>IF(OR(A54="",P54=""),"",IF(P54&gt;N(Q54),"Sí: entregar nivel "&amp;(N(Q54)+1)&amp;IF(P54&gt;N(Q54)+1," al "&amp;P54,"")&amp;" (ver Logros)",""))</f>
        <v/>
      </c>
      <c r="S54" s="20">
        <f>IF(OR(A54="",N54&lt;&gt;"Sí",N(L54)&lt;=0),"",(N(L54)*100000-MAX(0,ROUND((N(M54)-DATE(2026,10,1))*1440,0)))*1000-ROW())</f>
        <v/>
      </c>
    </row>
    <row r="55">
      <c r="A55" s="19" t="n"/>
      <c r="B55" s="19" t="n"/>
      <c r="C55" s="19" t="n"/>
      <c r="D55" s="21" t="n"/>
      <c r="E55" s="19" t="n"/>
      <c r="F55" s="19" t="n"/>
      <c r="G55" s="22" t="n"/>
      <c r="H55" s="19" t="n"/>
      <c r="I55" s="19" t="n"/>
      <c r="J55" s="19" t="n"/>
      <c r="K55" s="19" t="n"/>
      <c r="L55" s="16">
        <f>IF(A55="","",SUMIF(Movimientos!$B$2:$B$3001,A55,Movimientos!$F$2:$F$3001))</f>
        <v/>
      </c>
      <c r="M55" s="17">
        <f>IF(A55="","",IF(COUNTIF(Movimientos!$B$2:$B$3001,A55)=0,"",_xlfn.MAXIFS(Movimientos!$A$2:$A$3001,Movimientos!$B$2:$B$3001,A55)))</f>
        <v/>
      </c>
      <c r="N55" s="18">
        <f>IF(A55="","",IF(AND(H55="Sí",I55="Sí",K55&lt;&gt;"Sí"),"Sí","No"))</f>
        <v/>
      </c>
      <c r="O55" s="18">
        <f>IF(S55="","",1+COUNTIFS($N$2:$N$501,"Sí",$S$2:$S$501,"&gt;"&amp;S55))</f>
        <v/>
      </c>
      <c r="P55" s="18">
        <f>IF(A55="","",INDEX(Logros!$A$2:$A$6,MATCH(N(L55),Logros!$C$2:$C$6,1)))</f>
        <v/>
      </c>
      <c r="Q55" s="19" t="n"/>
      <c r="R55" s="18">
        <f>IF(OR(A55="",P55=""),"",IF(P55&gt;N(Q55),"Sí: entregar nivel "&amp;(N(Q55)+1)&amp;IF(P55&gt;N(Q55)+1," al "&amp;P55,"")&amp;" (ver Logros)",""))</f>
        <v/>
      </c>
      <c r="S55" s="20">
        <f>IF(OR(A55="",N55&lt;&gt;"Sí",N(L55)&lt;=0),"",(N(L55)*100000-MAX(0,ROUND((N(M55)-DATE(2026,10,1))*1440,0)))*1000-ROW())</f>
        <v/>
      </c>
    </row>
    <row r="56">
      <c r="A56" s="19" t="n"/>
      <c r="B56" s="19" t="n"/>
      <c r="C56" s="19" t="n"/>
      <c r="D56" s="21" t="n"/>
      <c r="E56" s="19" t="n"/>
      <c r="F56" s="19" t="n"/>
      <c r="G56" s="22" t="n"/>
      <c r="H56" s="19" t="n"/>
      <c r="I56" s="19" t="n"/>
      <c r="J56" s="19" t="n"/>
      <c r="K56" s="19" t="n"/>
      <c r="L56" s="16">
        <f>IF(A56="","",SUMIF(Movimientos!$B$2:$B$3001,A56,Movimientos!$F$2:$F$3001))</f>
        <v/>
      </c>
      <c r="M56" s="17">
        <f>IF(A56="","",IF(COUNTIF(Movimientos!$B$2:$B$3001,A56)=0,"",_xlfn.MAXIFS(Movimientos!$A$2:$A$3001,Movimientos!$B$2:$B$3001,A56)))</f>
        <v/>
      </c>
      <c r="N56" s="18">
        <f>IF(A56="","",IF(AND(H56="Sí",I56="Sí",K56&lt;&gt;"Sí"),"Sí","No"))</f>
        <v/>
      </c>
      <c r="O56" s="18">
        <f>IF(S56="","",1+COUNTIFS($N$2:$N$501,"Sí",$S$2:$S$501,"&gt;"&amp;S56))</f>
        <v/>
      </c>
      <c r="P56" s="18">
        <f>IF(A56="","",INDEX(Logros!$A$2:$A$6,MATCH(N(L56),Logros!$C$2:$C$6,1)))</f>
        <v/>
      </c>
      <c r="Q56" s="19" t="n"/>
      <c r="R56" s="18">
        <f>IF(OR(A56="",P56=""),"",IF(P56&gt;N(Q56),"Sí: entregar nivel "&amp;(N(Q56)+1)&amp;IF(P56&gt;N(Q56)+1," al "&amp;P56,"")&amp;" (ver Logros)",""))</f>
        <v/>
      </c>
      <c r="S56" s="20">
        <f>IF(OR(A56="",N56&lt;&gt;"Sí",N(L56)&lt;=0),"",(N(L56)*100000-MAX(0,ROUND((N(M56)-DATE(2026,10,1))*1440,0)))*1000-ROW())</f>
        <v/>
      </c>
    </row>
    <row r="57">
      <c r="A57" s="19" t="n"/>
      <c r="B57" s="19" t="n"/>
      <c r="C57" s="19" t="n"/>
      <c r="D57" s="21" t="n"/>
      <c r="E57" s="19" t="n"/>
      <c r="F57" s="19" t="n"/>
      <c r="G57" s="22" t="n"/>
      <c r="H57" s="19" t="n"/>
      <c r="I57" s="19" t="n"/>
      <c r="J57" s="19" t="n"/>
      <c r="K57" s="19" t="n"/>
      <c r="L57" s="16">
        <f>IF(A57="","",SUMIF(Movimientos!$B$2:$B$3001,A57,Movimientos!$F$2:$F$3001))</f>
        <v/>
      </c>
      <c r="M57" s="17">
        <f>IF(A57="","",IF(COUNTIF(Movimientos!$B$2:$B$3001,A57)=0,"",_xlfn.MAXIFS(Movimientos!$A$2:$A$3001,Movimientos!$B$2:$B$3001,A57)))</f>
        <v/>
      </c>
      <c r="N57" s="18">
        <f>IF(A57="","",IF(AND(H57="Sí",I57="Sí",K57&lt;&gt;"Sí"),"Sí","No"))</f>
        <v/>
      </c>
      <c r="O57" s="18">
        <f>IF(S57="","",1+COUNTIFS($N$2:$N$501,"Sí",$S$2:$S$501,"&gt;"&amp;S57))</f>
        <v/>
      </c>
      <c r="P57" s="18">
        <f>IF(A57="","",INDEX(Logros!$A$2:$A$6,MATCH(N(L57),Logros!$C$2:$C$6,1)))</f>
        <v/>
      </c>
      <c r="Q57" s="19" t="n"/>
      <c r="R57" s="18">
        <f>IF(OR(A57="",P57=""),"",IF(P57&gt;N(Q57),"Sí: entregar nivel "&amp;(N(Q57)+1)&amp;IF(P57&gt;N(Q57)+1," al "&amp;P57,"")&amp;" (ver Logros)",""))</f>
        <v/>
      </c>
      <c r="S57" s="20">
        <f>IF(OR(A57="",N57&lt;&gt;"Sí",N(L57)&lt;=0),"",(N(L57)*100000-MAX(0,ROUND((N(M57)-DATE(2026,10,1))*1440,0)))*1000-ROW())</f>
        <v/>
      </c>
    </row>
    <row r="58">
      <c r="A58" s="19" t="n"/>
      <c r="B58" s="19" t="n"/>
      <c r="C58" s="19" t="n"/>
      <c r="D58" s="21" t="n"/>
      <c r="E58" s="19" t="n"/>
      <c r="F58" s="19" t="n"/>
      <c r="G58" s="22" t="n"/>
      <c r="H58" s="19" t="n"/>
      <c r="I58" s="19" t="n"/>
      <c r="J58" s="19" t="n"/>
      <c r="K58" s="19" t="n"/>
      <c r="L58" s="16">
        <f>IF(A58="","",SUMIF(Movimientos!$B$2:$B$3001,A58,Movimientos!$F$2:$F$3001))</f>
        <v/>
      </c>
      <c r="M58" s="17">
        <f>IF(A58="","",IF(COUNTIF(Movimientos!$B$2:$B$3001,A58)=0,"",_xlfn.MAXIFS(Movimientos!$A$2:$A$3001,Movimientos!$B$2:$B$3001,A58)))</f>
        <v/>
      </c>
      <c r="N58" s="18">
        <f>IF(A58="","",IF(AND(H58="Sí",I58="Sí",K58&lt;&gt;"Sí"),"Sí","No"))</f>
        <v/>
      </c>
      <c r="O58" s="18">
        <f>IF(S58="","",1+COUNTIFS($N$2:$N$501,"Sí",$S$2:$S$501,"&gt;"&amp;S58))</f>
        <v/>
      </c>
      <c r="P58" s="18">
        <f>IF(A58="","",INDEX(Logros!$A$2:$A$6,MATCH(N(L58),Logros!$C$2:$C$6,1)))</f>
        <v/>
      </c>
      <c r="Q58" s="19" t="n"/>
      <c r="R58" s="18">
        <f>IF(OR(A58="",P58=""),"",IF(P58&gt;N(Q58),"Sí: entregar nivel "&amp;(N(Q58)+1)&amp;IF(P58&gt;N(Q58)+1," al "&amp;P58,"")&amp;" (ver Logros)",""))</f>
        <v/>
      </c>
      <c r="S58" s="20">
        <f>IF(OR(A58="",N58&lt;&gt;"Sí",N(L58)&lt;=0),"",(N(L58)*100000-MAX(0,ROUND((N(M58)-DATE(2026,10,1))*1440,0)))*1000-ROW())</f>
        <v/>
      </c>
    </row>
    <row r="59">
      <c r="A59" s="19" t="n"/>
      <c r="B59" s="19" t="n"/>
      <c r="C59" s="19" t="n"/>
      <c r="D59" s="21" t="n"/>
      <c r="E59" s="19" t="n"/>
      <c r="F59" s="19" t="n"/>
      <c r="G59" s="22" t="n"/>
      <c r="H59" s="19" t="n"/>
      <c r="I59" s="19" t="n"/>
      <c r="J59" s="19" t="n"/>
      <c r="K59" s="19" t="n"/>
      <c r="L59" s="16">
        <f>IF(A59="","",SUMIF(Movimientos!$B$2:$B$3001,A59,Movimientos!$F$2:$F$3001))</f>
        <v/>
      </c>
      <c r="M59" s="17">
        <f>IF(A59="","",IF(COUNTIF(Movimientos!$B$2:$B$3001,A59)=0,"",_xlfn.MAXIFS(Movimientos!$A$2:$A$3001,Movimientos!$B$2:$B$3001,A59)))</f>
        <v/>
      </c>
      <c r="N59" s="18">
        <f>IF(A59="","",IF(AND(H59="Sí",I59="Sí",K59&lt;&gt;"Sí"),"Sí","No"))</f>
        <v/>
      </c>
      <c r="O59" s="18">
        <f>IF(S59="","",1+COUNTIFS($N$2:$N$501,"Sí",$S$2:$S$501,"&gt;"&amp;S59))</f>
        <v/>
      </c>
      <c r="P59" s="18">
        <f>IF(A59="","",INDEX(Logros!$A$2:$A$6,MATCH(N(L59),Logros!$C$2:$C$6,1)))</f>
        <v/>
      </c>
      <c r="Q59" s="19" t="n"/>
      <c r="R59" s="18">
        <f>IF(OR(A59="",P59=""),"",IF(P59&gt;N(Q59),"Sí: entregar nivel "&amp;(N(Q59)+1)&amp;IF(P59&gt;N(Q59)+1," al "&amp;P59,"")&amp;" (ver Logros)",""))</f>
        <v/>
      </c>
      <c r="S59" s="20">
        <f>IF(OR(A59="",N59&lt;&gt;"Sí",N(L59)&lt;=0),"",(N(L59)*100000-MAX(0,ROUND((N(M59)-DATE(2026,10,1))*1440,0)))*1000-ROW())</f>
        <v/>
      </c>
    </row>
    <row r="60">
      <c r="A60" s="19" t="n"/>
      <c r="B60" s="19" t="n"/>
      <c r="C60" s="19" t="n"/>
      <c r="D60" s="21" t="n"/>
      <c r="E60" s="19" t="n"/>
      <c r="F60" s="19" t="n"/>
      <c r="G60" s="22" t="n"/>
      <c r="H60" s="19" t="n"/>
      <c r="I60" s="19" t="n"/>
      <c r="J60" s="19" t="n"/>
      <c r="K60" s="19" t="n"/>
      <c r="L60" s="16">
        <f>IF(A60="","",SUMIF(Movimientos!$B$2:$B$3001,A60,Movimientos!$F$2:$F$3001))</f>
        <v/>
      </c>
      <c r="M60" s="17">
        <f>IF(A60="","",IF(COUNTIF(Movimientos!$B$2:$B$3001,A60)=0,"",_xlfn.MAXIFS(Movimientos!$A$2:$A$3001,Movimientos!$B$2:$B$3001,A60)))</f>
        <v/>
      </c>
      <c r="N60" s="18">
        <f>IF(A60="","",IF(AND(H60="Sí",I60="Sí",K60&lt;&gt;"Sí"),"Sí","No"))</f>
        <v/>
      </c>
      <c r="O60" s="18">
        <f>IF(S60="","",1+COUNTIFS($N$2:$N$501,"Sí",$S$2:$S$501,"&gt;"&amp;S60))</f>
        <v/>
      </c>
      <c r="P60" s="18">
        <f>IF(A60="","",INDEX(Logros!$A$2:$A$6,MATCH(N(L60),Logros!$C$2:$C$6,1)))</f>
        <v/>
      </c>
      <c r="Q60" s="19" t="n"/>
      <c r="R60" s="18">
        <f>IF(OR(A60="",P60=""),"",IF(P60&gt;N(Q60),"Sí: entregar nivel "&amp;(N(Q60)+1)&amp;IF(P60&gt;N(Q60)+1," al "&amp;P60,"")&amp;" (ver Logros)",""))</f>
        <v/>
      </c>
      <c r="S60" s="20">
        <f>IF(OR(A60="",N60&lt;&gt;"Sí",N(L60)&lt;=0),"",(N(L60)*100000-MAX(0,ROUND((N(M60)-DATE(2026,10,1))*1440,0)))*1000-ROW())</f>
        <v/>
      </c>
    </row>
    <row r="61">
      <c r="A61" s="19" t="n"/>
      <c r="B61" s="19" t="n"/>
      <c r="C61" s="19" t="n"/>
      <c r="D61" s="21" t="n"/>
      <c r="E61" s="19" t="n"/>
      <c r="F61" s="19" t="n"/>
      <c r="G61" s="22" t="n"/>
      <c r="H61" s="19" t="n"/>
      <c r="I61" s="19" t="n"/>
      <c r="J61" s="19" t="n"/>
      <c r="K61" s="19" t="n"/>
      <c r="L61" s="16">
        <f>IF(A61="","",SUMIF(Movimientos!$B$2:$B$3001,A61,Movimientos!$F$2:$F$3001))</f>
        <v/>
      </c>
      <c r="M61" s="17">
        <f>IF(A61="","",IF(COUNTIF(Movimientos!$B$2:$B$3001,A61)=0,"",_xlfn.MAXIFS(Movimientos!$A$2:$A$3001,Movimientos!$B$2:$B$3001,A61)))</f>
        <v/>
      </c>
      <c r="N61" s="18">
        <f>IF(A61="","",IF(AND(H61="Sí",I61="Sí",K61&lt;&gt;"Sí"),"Sí","No"))</f>
        <v/>
      </c>
      <c r="O61" s="18">
        <f>IF(S61="","",1+COUNTIFS($N$2:$N$501,"Sí",$S$2:$S$501,"&gt;"&amp;S61))</f>
        <v/>
      </c>
      <c r="P61" s="18">
        <f>IF(A61="","",INDEX(Logros!$A$2:$A$6,MATCH(N(L61),Logros!$C$2:$C$6,1)))</f>
        <v/>
      </c>
      <c r="Q61" s="19" t="n"/>
      <c r="R61" s="18">
        <f>IF(OR(A61="",P61=""),"",IF(P61&gt;N(Q61),"Sí: entregar nivel "&amp;(N(Q61)+1)&amp;IF(P61&gt;N(Q61)+1," al "&amp;P61,"")&amp;" (ver Logros)",""))</f>
        <v/>
      </c>
      <c r="S61" s="20">
        <f>IF(OR(A61="",N61&lt;&gt;"Sí",N(L61)&lt;=0),"",(N(L61)*100000-MAX(0,ROUND((N(M61)-DATE(2026,10,1))*1440,0)))*1000-ROW())</f>
        <v/>
      </c>
    </row>
    <row r="62">
      <c r="A62" s="19" t="n"/>
      <c r="B62" s="19" t="n"/>
      <c r="C62" s="19" t="n"/>
      <c r="D62" s="21" t="n"/>
      <c r="E62" s="19" t="n"/>
      <c r="F62" s="19" t="n"/>
      <c r="G62" s="22" t="n"/>
      <c r="H62" s="19" t="n"/>
      <c r="I62" s="19" t="n"/>
      <c r="J62" s="19" t="n"/>
      <c r="K62" s="19" t="n"/>
      <c r="L62" s="16">
        <f>IF(A62="","",SUMIF(Movimientos!$B$2:$B$3001,A62,Movimientos!$F$2:$F$3001))</f>
        <v/>
      </c>
      <c r="M62" s="17">
        <f>IF(A62="","",IF(COUNTIF(Movimientos!$B$2:$B$3001,A62)=0,"",_xlfn.MAXIFS(Movimientos!$A$2:$A$3001,Movimientos!$B$2:$B$3001,A62)))</f>
        <v/>
      </c>
      <c r="N62" s="18">
        <f>IF(A62="","",IF(AND(H62="Sí",I62="Sí",K62&lt;&gt;"Sí"),"Sí","No"))</f>
        <v/>
      </c>
      <c r="O62" s="18">
        <f>IF(S62="","",1+COUNTIFS($N$2:$N$501,"Sí",$S$2:$S$501,"&gt;"&amp;S62))</f>
        <v/>
      </c>
      <c r="P62" s="18">
        <f>IF(A62="","",INDEX(Logros!$A$2:$A$6,MATCH(N(L62),Logros!$C$2:$C$6,1)))</f>
        <v/>
      </c>
      <c r="Q62" s="19" t="n"/>
      <c r="R62" s="18">
        <f>IF(OR(A62="",P62=""),"",IF(P62&gt;N(Q62),"Sí: entregar nivel "&amp;(N(Q62)+1)&amp;IF(P62&gt;N(Q62)+1," al "&amp;P62,"")&amp;" (ver Logros)",""))</f>
        <v/>
      </c>
      <c r="S62" s="20">
        <f>IF(OR(A62="",N62&lt;&gt;"Sí",N(L62)&lt;=0),"",(N(L62)*100000-MAX(0,ROUND((N(M62)-DATE(2026,10,1))*1440,0)))*1000-ROW())</f>
        <v/>
      </c>
    </row>
    <row r="63">
      <c r="A63" s="19" t="n"/>
      <c r="B63" s="19" t="n"/>
      <c r="C63" s="19" t="n"/>
      <c r="D63" s="21" t="n"/>
      <c r="E63" s="19" t="n"/>
      <c r="F63" s="19" t="n"/>
      <c r="G63" s="22" t="n"/>
      <c r="H63" s="19" t="n"/>
      <c r="I63" s="19" t="n"/>
      <c r="J63" s="19" t="n"/>
      <c r="K63" s="19" t="n"/>
      <c r="L63" s="16">
        <f>IF(A63="","",SUMIF(Movimientos!$B$2:$B$3001,A63,Movimientos!$F$2:$F$3001))</f>
        <v/>
      </c>
      <c r="M63" s="17">
        <f>IF(A63="","",IF(COUNTIF(Movimientos!$B$2:$B$3001,A63)=0,"",_xlfn.MAXIFS(Movimientos!$A$2:$A$3001,Movimientos!$B$2:$B$3001,A63)))</f>
        <v/>
      </c>
      <c r="N63" s="18">
        <f>IF(A63="","",IF(AND(H63="Sí",I63="Sí",K63&lt;&gt;"Sí"),"Sí","No"))</f>
        <v/>
      </c>
      <c r="O63" s="18">
        <f>IF(S63="","",1+COUNTIFS($N$2:$N$501,"Sí",$S$2:$S$501,"&gt;"&amp;S63))</f>
        <v/>
      </c>
      <c r="P63" s="18">
        <f>IF(A63="","",INDEX(Logros!$A$2:$A$6,MATCH(N(L63),Logros!$C$2:$C$6,1)))</f>
        <v/>
      </c>
      <c r="Q63" s="19" t="n"/>
      <c r="R63" s="18">
        <f>IF(OR(A63="",P63=""),"",IF(P63&gt;N(Q63),"Sí: entregar nivel "&amp;(N(Q63)+1)&amp;IF(P63&gt;N(Q63)+1," al "&amp;P63,"")&amp;" (ver Logros)",""))</f>
        <v/>
      </c>
      <c r="S63" s="20">
        <f>IF(OR(A63="",N63&lt;&gt;"Sí",N(L63)&lt;=0),"",(N(L63)*100000-MAX(0,ROUND((N(M63)-DATE(2026,10,1))*1440,0)))*1000-ROW())</f>
        <v/>
      </c>
    </row>
    <row r="64">
      <c r="A64" s="19" t="n"/>
      <c r="B64" s="19" t="n"/>
      <c r="C64" s="19" t="n"/>
      <c r="D64" s="21" t="n"/>
      <c r="E64" s="19" t="n"/>
      <c r="F64" s="19" t="n"/>
      <c r="G64" s="22" t="n"/>
      <c r="H64" s="19" t="n"/>
      <c r="I64" s="19" t="n"/>
      <c r="J64" s="19" t="n"/>
      <c r="K64" s="19" t="n"/>
      <c r="L64" s="16">
        <f>IF(A64="","",SUMIF(Movimientos!$B$2:$B$3001,A64,Movimientos!$F$2:$F$3001))</f>
        <v/>
      </c>
      <c r="M64" s="17">
        <f>IF(A64="","",IF(COUNTIF(Movimientos!$B$2:$B$3001,A64)=0,"",_xlfn.MAXIFS(Movimientos!$A$2:$A$3001,Movimientos!$B$2:$B$3001,A64)))</f>
        <v/>
      </c>
      <c r="N64" s="18">
        <f>IF(A64="","",IF(AND(H64="Sí",I64="Sí",K64&lt;&gt;"Sí"),"Sí","No"))</f>
        <v/>
      </c>
      <c r="O64" s="18">
        <f>IF(S64="","",1+COUNTIFS($N$2:$N$501,"Sí",$S$2:$S$501,"&gt;"&amp;S64))</f>
        <v/>
      </c>
      <c r="P64" s="18">
        <f>IF(A64="","",INDEX(Logros!$A$2:$A$6,MATCH(N(L64),Logros!$C$2:$C$6,1)))</f>
        <v/>
      </c>
      <c r="Q64" s="19" t="n"/>
      <c r="R64" s="18">
        <f>IF(OR(A64="",P64=""),"",IF(P64&gt;N(Q64),"Sí: entregar nivel "&amp;(N(Q64)+1)&amp;IF(P64&gt;N(Q64)+1," al "&amp;P64,"")&amp;" (ver Logros)",""))</f>
        <v/>
      </c>
      <c r="S64" s="20">
        <f>IF(OR(A64="",N64&lt;&gt;"Sí",N(L64)&lt;=0),"",(N(L64)*100000-MAX(0,ROUND((N(M64)-DATE(2026,10,1))*1440,0)))*1000-ROW())</f>
        <v/>
      </c>
    </row>
    <row r="65">
      <c r="A65" s="19" t="n"/>
      <c r="B65" s="19" t="n"/>
      <c r="C65" s="19" t="n"/>
      <c r="D65" s="21" t="n"/>
      <c r="E65" s="19" t="n"/>
      <c r="F65" s="19" t="n"/>
      <c r="G65" s="22" t="n"/>
      <c r="H65" s="19" t="n"/>
      <c r="I65" s="19" t="n"/>
      <c r="J65" s="19" t="n"/>
      <c r="K65" s="19" t="n"/>
      <c r="L65" s="16">
        <f>IF(A65="","",SUMIF(Movimientos!$B$2:$B$3001,A65,Movimientos!$F$2:$F$3001))</f>
        <v/>
      </c>
      <c r="M65" s="17">
        <f>IF(A65="","",IF(COUNTIF(Movimientos!$B$2:$B$3001,A65)=0,"",_xlfn.MAXIFS(Movimientos!$A$2:$A$3001,Movimientos!$B$2:$B$3001,A65)))</f>
        <v/>
      </c>
      <c r="N65" s="18">
        <f>IF(A65="","",IF(AND(H65="Sí",I65="Sí",K65&lt;&gt;"Sí"),"Sí","No"))</f>
        <v/>
      </c>
      <c r="O65" s="18">
        <f>IF(S65="","",1+COUNTIFS($N$2:$N$501,"Sí",$S$2:$S$501,"&gt;"&amp;S65))</f>
        <v/>
      </c>
      <c r="P65" s="18">
        <f>IF(A65="","",INDEX(Logros!$A$2:$A$6,MATCH(N(L65),Logros!$C$2:$C$6,1)))</f>
        <v/>
      </c>
      <c r="Q65" s="19" t="n"/>
      <c r="R65" s="18">
        <f>IF(OR(A65="",P65=""),"",IF(P65&gt;N(Q65),"Sí: entregar nivel "&amp;(N(Q65)+1)&amp;IF(P65&gt;N(Q65)+1," al "&amp;P65,"")&amp;" (ver Logros)",""))</f>
        <v/>
      </c>
      <c r="S65" s="20">
        <f>IF(OR(A65="",N65&lt;&gt;"Sí",N(L65)&lt;=0),"",(N(L65)*100000-MAX(0,ROUND((N(M65)-DATE(2026,10,1))*1440,0)))*1000-ROW())</f>
        <v/>
      </c>
    </row>
    <row r="66">
      <c r="A66" s="19" t="n"/>
      <c r="B66" s="19" t="n"/>
      <c r="C66" s="19" t="n"/>
      <c r="D66" s="21" t="n"/>
      <c r="E66" s="19" t="n"/>
      <c r="F66" s="19" t="n"/>
      <c r="G66" s="22" t="n"/>
      <c r="H66" s="19" t="n"/>
      <c r="I66" s="19" t="n"/>
      <c r="J66" s="19" t="n"/>
      <c r="K66" s="19" t="n"/>
      <c r="L66" s="16">
        <f>IF(A66="","",SUMIF(Movimientos!$B$2:$B$3001,A66,Movimientos!$F$2:$F$3001))</f>
        <v/>
      </c>
      <c r="M66" s="17">
        <f>IF(A66="","",IF(COUNTIF(Movimientos!$B$2:$B$3001,A66)=0,"",_xlfn.MAXIFS(Movimientos!$A$2:$A$3001,Movimientos!$B$2:$B$3001,A66)))</f>
        <v/>
      </c>
      <c r="N66" s="18">
        <f>IF(A66="","",IF(AND(H66="Sí",I66="Sí",K66&lt;&gt;"Sí"),"Sí","No"))</f>
        <v/>
      </c>
      <c r="O66" s="18">
        <f>IF(S66="","",1+COUNTIFS($N$2:$N$501,"Sí",$S$2:$S$501,"&gt;"&amp;S66))</f>
        <v/>
      </c>
      <c r="P66" s="18">
        <f>IF(A66="","",INDEX(Logros!$A$2:$A$6,MATCH(N(L66),Logros!$C$2:$C$6,1)))</f>
        <v/>
      </c>
      <c r="Q66" s="19" t="n"/>
      <c r="R66" s="18">
        <f>IF(OR(A66="",P66=""),"",IF(P66&gt;N(Q66),"Sí: entregar nivel "&amp;(N(Q66)+1)&amp;IF(P66&gt;N(Q66)+1," al "&amp;P66,"")&amp;" (ver Logros)",""))</f>
        <v/>
      </c>
      <c r="S66" s="20">
        <f>IF(OR(A66="",N66&lt;&gt;"Sí",N(L66)&lt;=0),"",(N(L66)*100000-MAX(0,ROUND((N(M66)-DATE(2026,10,1))*1440,0)))*1000-ROW())</f>
        <v/>
      </c>
    </row>
    <row r="67">
      <c r="A67" s="19" t="n"/>
      <c r="B67" s="19" t="n"/>
      <c r="C67" s="19" t="n"/>
      <c r="D67" s="21" t="n"/>
      <c r="E67" s="19" t="n"/>
      <c r="F67" s="19" t="n"/>
      <c r="G67" s="22" t="n"/>
      <c r="H67" s="19" t="n"/>
      <c r="I67" s="19" t="n"/>
      <c r="J67" s="19" t="n"/>
      <c r="K67" s="19" t="n"/>
      <c r="L67" s="16">
        <f>IF(A67="","",SUMIF(Movimientos!$B$2:$B$3001,A67,Movimientos!$F$2:$F$3001))</f>
        <v/>
      </c>
      <c r="M67" s="17">
        <f>IF(A67="","",IF(COUNTIF(Movimientos!$B$2:$B$3001,A67)=0,"",_xlfn.MAXIFS(Movimientos!$A$2:$A$3001,Movimientos!$B$2:$B$3001,A67)))</f>
        <v/>
      </c>
      <c r="N67" s="18">
        <f>IF(A67="","",IF(AND(H67="Sí",I67="Sí",K67&lt;&gt;"Sí"),"Sí","No"))</f>
        <v/>
      </c>
      <c r="O67" s="18">
        <f>IF(S67="","",1+COUNTIFS($N$2:$N$501,"Sí",$S$2:$S$501,"&gt;"&amp;S67))</f>
        <v/>
      </c>
      <c r="P67" s="18">
        <f>IF(A67="","",INDEX(Logros!$A$2:$A$6,MATCH(N(L67),Logros!$C$2:$C$6,1)))</f>
        <v/>
      </c>
      <c r="Q67" s="19" t="n"/>
      <c r="R67" s="18">
        <f>IF(OR(A67="",P67=""),"",IF(P67&gt;N(Q67),"Sí: entregar nivel "&amp;(N(Q67)+1)&amp;IF(P67&gt;N(Q67)+1," al "&amp;P67,"")&amp;" (ver Logros)",""))</f>
        <v/>
      </c>
      <c r="S67" s="20">
        <f>IF(OR(A67="",N67&lt;&gt;"Sí",N(L67)&lt;=0),"",(N(L67)*100000-MAX(0,ROUND((N(M67)-DATE(2026,10,1))*1440,0)))*1000-ROW())</f>
        <v/>
      </c>
    </row>
    <row r="68">
      <c r="A68" s="19" t="n"/>
      <c r="B68" s="19" t="n"/>
      <c r="C68" s="19" t="n"/>
      <c r="D68" s="21" t="n"/>
      <c r="E68" s="19" t="n"/>
      <c r="F68" s="19" t="n"/>
      <c r="G68" s="22" t="n"/>
      <c r="H68" s="19" t="n"/>
      <c r="I68" s="19" t="n"/>
      <c r="J68" s="19" t="n"/>
      <c r="K68" s="19" t="n"/>
      <c r="L68" s="16">
        <f>IF(A68="","",SUMIF(Movimientos!$B$2:$B$3001,A68,Movimientos!$F$2:$F$3001))</f>
        <v/>
      </c>
      <c r="M68" s="17">
        <f>IF(A68="","",IF(COUNTIF(Movimientos!$B$2:$B$3001,A68)=0,"",_xlfn.MAXIFS(Movimientos!$A$2:$A$3001,Movimientos!$B$2:$B$3001,A68)))</f>
        <v/>
      </c>
      <c r="N68" s="18">
        <f>IF(A68="","",IF(AND(H68="Sí",I68="Sí",K68&lt;&gt;"Sí"),"Sí","No"))</f>
        <v/>
      </c>
      <c r="O68" s="18">
        <f>IF(S68="","",1+COUNTIFS($N$2:$N$501,"Sí",$S$2:$S$501,"&gt;"&amp;S68))</f>
        <v/>
      </c>
      <c r="P68" s="18">
        <f>IF(A68="","",INDEX(Logros!$A$2:$A$6,MATCH(N(L68),Logros!$C$2:$C$6,1)))</f>
        <v/>
      </c>
      <c r="Q68" s="19" t="n"/>
      <c r="R68" s="18">
        <f>IF(OR(A68="",P68=""),"",IF(P68&gt;N(Q68),"Sí: entregar nivel "&amp;(N(Q68)+1)&amp;IF(P68&gt;N(Q68)+1," al "&amp;P68,"")&amp;" (ver Logros)",""))</f>
        <v/>
      </c>
      <c r="S68" s="20">
        <f>IF(OR(A68="",N68&lt;&gt;"Sí",N(L68)&lt;=0),"",(N(L68)*100000-MAX(0,ROUND((N(M68)-DATE(2026,10,1))*1440,0)))*1000-ROW())</f>
        <v/>
      </c>
    </row>
    <row r="69">
      <c r="A69" s="19" t="n"/>
      <c r="B69" s="19" t="n"/>
      <c r="C69" s="19" t="n"/>
      <c r="D69" s="21" t="n"/>
      <c r="E69" s="19" t="n"/>
      <c r="F69" s="19" t="n"/>
      <c r="G69" s="22" t="n"/>
      <c r="H69" s="19" t="n"/>
      <c r="I69" s="19" t="n"/>
      <c r="J69" s="19" t="n"/>
      <c r="K69" s="19" t="n"/>
      <c r="L69" s="16">
        <f>IF(A69="","",SUMIF(Movimientos!$B$2:$B$3001,A69,Movimientos!$F$2:$F$3001))</f>
        <v/>
      </c>
      <c r="M69" s="17">
        <f>IF(A69="","",IF(COUNTIF(Movimientos!$B$2:$B$3001,A69)=0,"",_xlfn.MAXIFS(Movimientos!$A$2:$A$3001,Movimientos!$B$2:$B$3001,A69)))</f>
        <v/>
      </c>
      <c r="N69" s="18">
        <f>IF(A69="","",IF(AND(H69="Sí",I69="Sí",K69&lt;&gt;"Sí"),"Sí","No"))</f>
        <v/>
      </c>
      <c r="O69" s="18">
        <f>IF(S69="","",1+COUNTIFS($N$2:$N$501,"Sí",$S$2:$S$501,"&gt;"&amp;S69))</f>
        <v/>
      </c>
      <c r="P69" s="18">
        <f>IF(A69="","",INDEX(Logros!$A$2:$A$6,MATCH(N(L69),Logros!$C$2:$C$6,1)))</f>
        <v/>
      </c>
      <c r="Q69" s="19" t="n"/>
      <c r="R69" s="18">
        <f>IF(OR(A69="",P69=""),"",IF(P69&gt;N(Q69),"Sí: entregar nivel "&amp;(N(Q69)+1)&amp;IF(P69&gt;N(Q69)+1," al "&amp;P69,"")&amp;" (ver Logros)",""))</f>
        <v/>
      </c>
      <c r="S69" s="20">
        <f>IF(OR(A69="",N69&lt;&gt;"Sí",N(L69)&lt;=0),"",(N(L69)*100000-MAX(0,ROUND((N(M69)-DATE(2026,10,1))*1440,0)))*1000-ROW())</f>
        <v/>
      </c>
    </row>
    <row r="70">
      <c r="A70" s="19" t="n"/>
      <c r="B70" s="19" t="n"/>
      <c r="C70" s="19" t="n"/>
      <c r="D70" s="21" t="n"/>
      <c r="E70" s="19" t="n"/>
      <c r="F70" s="19" t="n"/>
      <c r="G70" s="22" t="n"/>
      <c r="H70" s="19" t="n"/>
      <c r="I70" s="19" t="n"/>
      <c r="J70" s="19" t="n"/>
      <c r="K70" s="19" t="n"/>
      <c r="L70" s="16">
        <f>IF(A70="","",SUMIF(Movimientos!$B$2:$B$3001,A70,Movimientos!$F$2:$F$3001))</f>
        <v/>
      </c>
      <c r="M70" s="17">
        <f>IF(A70="","",IF(COUNTIF(Movimientos!$B$2:$B$3001,A70)=0,"",_xlfn.MAXIFS(Movimientos!$A$2:$A$3001,Movimientos!$B$2:$B$3001,A70)))</f>
        <v/>
      </c>
      <c r="N70" s="18">
        <f>IF(A70="","",IF(AND(H70="Sí",I70="Sí",K70&lt;&gt;"Sí"),"Sí","No"))</f>
        <v/>
      </c>
      <c r="O70" s="18">
        <f>IF(S70="","",1+COUNTIFS($N$2:$N$501,"Sí",$S$2:$S$501,"&gt;"&amp;S70))</f>
        <v/>
      </c>
      <c r="P70" s="18">
        <f>IF(A70="","",INDEX(Logros!$A$2:$A$6,MATCH(N(L70),Logros!$C$2:$C$6,1)))</f>
        <v/>
      </c>
      <c r="Q70" s="19" t="n"/>
      <c r="R70" s="18">
        <f>IF(OR(A70="",P70=""),"",IF(P70&gt;N(Q70),"Sí: entregar nivel "&amp;(N(Q70)+1)&amp;IF(P70&gt;N(Q70)+1," al "&amp;P70,"")&amp;" (ver Logros)",""))</f>
        <v/>
      </c>
      <c r="S70" s="20">
        <f>IF(OR(A70="",N70&lt;&gt;"Sí",N(L70)&lt;=0),"",(N(L70)*100000-MAX(0,ROUND((N(M70)-DATE(2026,10,1))*1440,0)))*1000-ROW())</f>
        <v/>
      </c>
    </row>
    <row r="71">
      <c r="A71" s="19" t="n"/>
      <c r="B71" s="19" t="n"/>
      <c r="C71" s="19" t="n"/>
      <c r="D71" s="21" t="n"/>
      <c r="E71" s="19" t="n"/>
      <c r="F71" s="19" t="n"/>
      <c r="G71" s="22" t="n"/>
      <c r="H71" s="19" t="n"/>
      <c r="I71" s="19" t="n"/>
      <c r="J71" s="19" t="n"/>
      <c r="K71" s="19" t="n"/>
      <c r="L71" s="16">
        <f>IF(A71="","",SUMIF(Movimientos!$B$2:$B$3001,A71,Movimientos!$F$2:$F$3001))</f>
        <v/>
      </c>
      <c r="M71" s="17">
        <f>IF(A71="","",IF(COUNTIF(Movimientos!$B$2:$B$3001,A71)=0,"",_xlfn.MAXIFS(Movimientos!$A$2:$A$3001,Movimientos!$B$2:$B$3001,A71)))</f>
        <v/>
      </c>
      <c r="N71" s="18">
        <f>IF(A71="","",IF(AND(H71="Sí",I71="Sí",K71&lt;&gt;"Sí"),"Sí","No"))</f>
        <v/>
      </c>
      <c r="O71" s="18">
        <f>IF(S71="","",1+COUNTIFS($N$2:$N$501,"Sí",$S$2:$S$501,"&gt;"&amp;S71))</f>
        <v/>
      </c>
      <c r="P71" s="18">
        <f>IF(A71="","",INDEX(Logros!$A$2:$A$6,MATCH(N(L71),Logros!$C$2:$C$6,1)))</f>
        <v/>
      </c>
      <c r="Q71" s="19" t="n"/>
      <c r="R71" s="18">
        <f>IF(OR(A71="",P71=""),"",IF(P71&gt;N(Q71),"Sí: entregar nivel "&amp;(N(Q71)+1)&amp;IF(P71&gt;N(Q71)+1," al "&amp;P71,"")&amp;" (ver Logros)",""))</f>
        <v/>
      </c>
      <c r="S71" s="20">
        <f>IF(OR(A71="",N71&lt;&gt;"Sí",N(L71)&lt;=0),"",(N(L71)*100000-MAX(0,ROUND((N(M71)-DATE(2026,10,1))*1440,0)))*1000-ROW())</f>
        <v/>
      </c>
    </row>
    <row r="72">
      <c r="A72" s="19" t="n"/>
      <c r="B72" s="19" t="n"/>
      <c r="C72" s="19" t="n"/>
      <c r="D72" s="21" t="n"/>
      <c r="E72" s="19" t="n"/>
      <c r="F72" s="19" t="n"/>
      <c r="G72" s="22" t="n"/>
      <c r="H72" s="19" t="n"/>
      <c r="I72" s="19" t="n"/>
      <c r="J72" s="19" t="n"/>
      <c r="K72" s="19" t="n"/>
      <c r="L72" s="16">
        <f>IF(A72="","",SUMIF(Movimientos!$B$2:$B$3001,A72,Movimientos!$F$2:$F$3001))</f>
        <v/>
      </c>
      <c r="M72" s="17">
        <f>IF(A72="","",IF(COUNTIF(Movimientos!$B$2:$B$3001,A72)=0,"",_xlfn.MAXIFS(Movimientos!$A$2:$A$3001,Movimientos!$B$2:$B$3001,A72)))</f>
        <v/>
      </c>
      <c r="N72" s="18">
        <f>IF(A72="","",IF(AND(H72="Sí",I72="Sí",K72&lt;&gt;"Sí"),"Sí","No"))</f>
        <v/>
      </c>
      <c r="O72" s="18">
        <f>IF(S72="","",1+COUNTIFS($N$2:$N$501,"Sí",$S$2:$S$501,"&gt;"&amp;S72))</f>
        <v/>
      </c>
      <c r="P72" s="18">
        <f>IF(A72="","",INDEX(Logros!$A$2:$A$6,MATCH(N(L72),Logros!$C$2:$C$6,1)))</f>
        <v/>
      </c>
      <c r="Q72" s="19" t="n"/>
      <c r="R72" s="18">
        <f>IF(OR(A72="",P72=""),"",IF(P72&gt;N(Q72),"Sí: entregar nivel "&amp;(N(Q72)+1)&amp;IF(P72&gt;N(Q72)+1," al "&amp;P72,"")&amp;" (ver Logros)",""))</f>
        <v/>
      </c>
      <c r="S72" s="20">
        <f>IF(OR(A72="",N72&lt;&gt;"Sí",N(L72)&lt;=0),"",(N(L72)*100000-MAX(0,ROUND((N(M72)-DATE(2026,10,1))*1440,0)))*1000-ROW())</f>
        <v/>
      </c>
    </row>
    <row r="73">
      <c r="A73" s="19" t="n"/>
      <c r="B73" s="19" t="n"/>
      <c r="C73" s="19" t="n"/>
      <c r="D73" s="21" t="n"/>
      <c r="E73" s="19" t="n"/>
      <c r="F73" s="19" t="n"/>
      <c r="G73" s="22" t="n"/>
      <c r="H73" s="19" t="n"/>
      <c r="I73" s="19" t="n"/>
      <c r="J73" s="19" t="n"/>
      <c r="K73" s="19" t="n"/>
      <c r="L73" s="16">
        <f>IF(A73="","",SUMIF(Movimientos!$B$2:$B$3001,A73,Movimientos!$F$2:$F$3001))</f>
        <v/>
      </c>
      <c r="M73" s="17">
        <f>IF(A73="","",IF(COUNTIF(Movimientos!$B$2:$B$3001,A73)=0,"",_xlfn.MAXIFS(Movimientos!$A$2:$A$3001,Movimientos!$B$2:$B$3001,A73)))</f>
        <v/>
      </c>
      <c r="N73" s="18">
        <f>IF(A73="","",IF(AND(H73="Sí",I73="Sí",K73&lt;&gt;"Sí"),"Sí","No"))</f>
        <v/>
      </c>
      <c r="O73" s="18">
        <f>IF(S73="","",1+COUNTIFS($N$2:$N$501,"Sí",$S$2:$S$501,"&gt;"&amp;S73))</f>
        <v/>
      </c>
      <c r="P73" s="18">
        <f>IF(A73="","",INDEX(Logros!$A$2:$A$6,MATCH(N(L73),Logros!$C$2:$C$6,1)))</f>
        <v/>
      </c>
      <c r="Q73" s="19" t="n"/>
      <c r="R73" s="18">
        <f>IF(OR(A73="",P73=""),"",IF(P73&gt;N(Q73),"Sí: entregar nivel "&amp;(N(Q73)+1)&amp;IF(P73&gt;N(Q73)+1," al "&amp;P73,"")&amp;" (ver Logros)",""))</f>
        <v/>
      </c>
      <c r="S73" s="20">
        <f>IF(OR(A73="",N73&lt;&gt;"Sí",N(L73)&lt;=0),"",(N(L73)*100000-MAX(0,ROUND((N(M73)-DATE(2026,10,1))*1440,0)))*1000-ROW())</f>
        <v/>
      </c>
    </row>
    <row r="74">
      <c r="A74" s="19" t="n"/>
      <c r="B74" s="19" t="n"/>
      <c r="C74" s="19" t="n"/>
      <c r="D74" s="21" t="n"/>
      <c r="E74" s="19" t="n"/>
      <c r="F74" s="19" t="n"/>
      <c r="G74" s="22" t="n"/>
      <c r="H74" s="19" t="n"/>
      <c r="I74" s="19" t="n"/>
      <c r="J74" s="19" t="n"/>
      <c r="K74" s="19" t="n"/>
      <c r="L74" s="16">
        <f>IF(A74="","",SUMIF(Movimientos!$B$2:$B$3001,A74,Movimientos!$F$2:$F$3001))</f>
        <v/>
      </c>
      <c r="M74" s="17">
        <f>IF(A74="","",IF(COUNTIF(Movimientos!$B$2:$B$3001,A74)=0,"",_xlfn.MAXIFS(Movimientos!$A$2:$A$3001,Movimientos!$B$2:$B$3001,A74)))</f>
        <v/>
      </c>
      <c r="N74" s="18">
        <f>IF(A74="","",IF(AND(H74="Sí",I74="Sí",K74&lt;&gt;"Sí"),"Sí","No"))</f>
        <v/>
      </c>
      <c r="O74" s="18">
        <f>IF(S74="","",1+COUNTIFS($N$2:$N$501,"Sí",$S$2:$S$501,"&gt;"&amp;S74))</f>
        <v/>
      </c>
      <c r="P74" s="18">
        <f>IF(A74="","",INDEX(Logros!$A$2:$A$6,MATCH(N(L74),Logros!$C$2:$C$6,1)))</f>
        <v/>
      </c>
      <c r="Q74" s="19" t="n"/>
      <c r="R74" s="18">
        <f>IF(OR(A74="",P74=""),"",IF(P74&gt;N(Q74),"Sí: entregar nivel "&amp;(N(Q74)+1)&amp;IF(P74&gt;N(Q74)+1," al "&amp;P74,"")&amp;" (ver Logros)",""))</f>
        <v/>
      </c>
      <c r="S74" s="20">
        <f>IF(OR(A74="",N74&lt;&gt;"Sí",N(L74)&lt;=0),"",(N(L74)*100000-MAX(0,ROUND((N(M74)-DATE(2026,10,1))*1440,0)))*1000-ROW())</f>
        <v/>
      </c>
    </row>
    <row r="75">
      <c r="A75" s="19" t="n"/>
      <c r="B75" s="19" t="n"/>
      <c r="C75" s="19" t="n"/>
      <c r="D75" s="21" t="n"/>
      <c r="E75" s="19" t="n"/>
      <c r="F75" s="19" t="n"/>
      <c r="G75" s="22" t="n"/>
      <c r="H75" s="19" t="n"/>
      <c r="I75" s="19" t="n"/>
      <c r="J75" s="19" t="n"/>
      <c r="K75" s="19" t="n"/>
      <c r="L75" s="16">
        <f>IF(A75="","",SUMIF(Movimientos!$B$2:$B$3001,A75,Movimientos!$F$2:$F$3001))</f>
        <v/>
      </c>
      <c r="M75" s="17">
        <f>IF(A75="","",IF(COUNTIF(Movimientos!$B$2:$B$3001,A75)=0,"",_xlfn.MAXIFS(Movimientos!$A$2:$A$3001,Movimientos!$B$2:$B$3001,A75)))</f>
        <v/>
      </c>
      <c r="N75" s="18">
        <f>IF(A75="","",IF(AND(H75="Sí",I75="Sí",K75&lt;&gt;"Sí"),"Sí","No"))</f>
        <v/>
      </c>
      <c r="O75" s="18">
        <f>IF(S75="","",1+COUNTIFS($N$2:$N$501,"Sí",$S$2:$S$501,"&gt;"&amp;S75))</f>
        <v/>
      </c>
      <c r="P75" s="18">
        <f>IF(A75="","",INDEX(Logros!$A$2:$A$6,MATCH(N(L75),Logros!$C$2:$C$6,1)))</f>
        <v/>
      </c>
      <c r="Q75" s="19" t="n"/>
      <c r="R75" s="18">
        <f>IF(OR(A75="",P75=""),"",IF(P75&gt;N(Q75),"Sí: entregar nivel "&amp;(N(Q75)+1)&amp;IF(P75&gt;N(Q75)+1," al "&amp;P75,"")&amp;" (ver Logros)",""))</f>
        <v/>
      </c>
      <c r="S75" s="20">
        <f>IF(OR(A75="",N75&lt;&gt;"Sí",N(L75)&lt;=0),"",(N(L75)*100000-MAX(0,ROUND((N(M75)-DATE(2026,10,1))*1440,0)))*1000-ROW())</f>
        <v/>
      </c>
    </row>
    <row r="76">
      <c r="A76" s="19" t="n"/>
      <c r="B76" s="19" t="n"/>
      <c r="C76" s="19" t="n"/>
      <c r="D76" s="21" t="n"/>
      <c r="E76" s="19" t="n"/>
      <c r="F76" s="19" t="n"/>
      <c r="G76" s="22" t="n"/>
      <c r="H76" s="19" t="n"/>
      <c r="I76" s="19" t="n"/>
      <c r="J76" s="19" t="n"/>
      <c r="K76" s="19" t="n"/>
      <c r="L76" s="16">
        <f>IF(A76="","",SUMIF(Movimientos!$B$2:$B$3001,A76,Movimientos!$F$2:$F$3001))</f>
        <v/>
      </c>
      <c r="M76" s="17">
        <f>IF(A76="","",IF(COUNTIF(Movimientos!$B$2:$B$3001,A76)=0,"",_xlfn.MAXIFS(Movimientos!$A$2:$A$3001,Movimientos!$B$2:$B$3001,A76)))</f>
        <v/>
      </c>
      <c r="N76" s="18">
        <f>IF(A76="","",IF(AND(H76="Sí",I76="Sí",K76&lt;&gt;"Sí"),"Sí","No"))</f>
        <v/>
      </c>
      <c r="O76" s="18">
        <f>IF(S76="","",1+COUNTIFS($N$2:$N$501,"Sí",$S$2:$S$501,"&gt;"&amp;S76))</f>
        <v/>
      </c>
      <c r="P76" s="18">
        <f>IF(A76="","",INDEX(Logros!$A$2:$A$6,MATCH(N(L76),Logros!$C$2:$C$6,1)))</f>
        <v/>
      </c>
      <c r="Q76" s="19" t="n"/>
      <c r="R76" s="18">
        <f>IF(OR(A76="",P76=""),"",IF(P76&gt;N(Q76),"Sí: entregar nivel "&amp;(N(Q76)+1)&amp;IF(P76&gt;N(Q76)+1," al "&amp;P76,"")&amp;" (ver Logros)",""))</f>
        <v/>
      </c>
      <c r="S76" s="20">
        <f>IF(OR(A76="",N76&lt;&gt;"Sí",N(L76)&lt;=0),"",(N(L76)*100000-MAX(0,ROUND((N(M76)-DATE(2026,10,1))*1440,0)))*1000-ROW())</f>
        <v/>
      </c>
    </row>
    <row r="77">
      <c r="A77" s="19" t="n"/>
      <c r="B77" s="19" t="n"/>
      <c r="C77" s="19" t="n"/>
      <c r="D77" s="21" t="n"/>
      <c r="E77" s="19" t="n"/>
      <c r="F77" s="19" t="n"/>
      <c r="G77" s="22" t="n"/>
      <c r="H77" s="19" t="n"/>
      <c r="I77" s="19" t="n"/>
      <c r="J77" s="19" t="n"/>
      <c r="K77" s="19" t="n"/>
      <c r="L77" s="16">
        <f>IF(A77="","",SUMIF(Movimientos!$B$2:$B$3001,A77,Movimientos!$F$2:$F$3001))</f>
        <v/>
      </c>
      <c r="M77" s="17">
        <f>IF(A77="","",IF(COUNTIF(Movimientos!$B$2:$B$3001,A77)=0,"",_xlfn.MAXIFS(Movimientos!$A$2:$A$3001,Movimientos!$B$2:$B$3001,A77)))</f>
        <v/>
      </c>
      <c r="N77" s="18">
        <f>IF(A77="","",IF(AND(H77="Sí",I77="Sí",K77&lt;&gt;"Sí"),"Sí","No"))</f>
        <v/>
      </c>
      <c r="O77" s="18">
        <f>IF(S77="","",1+COUNTIFS($N$2:$N$501,"Sí",$S$2:$S$501,"&gt;"&amp;S77))</f>
        <v/>
      </c>
      <c r="P77" s="18">
        <f>IF(A77="","",INDEX(Logros!$A$2:$A$6,MATCH(N(L77),Logros!$C$2:$C$6,1)))</f>
        <v/>
      </c>
      <c r="Q77" s="19" t="n"/>
      <c r="R77" s="18">
        <f>IF(OR(A77="",P77=""),"",IF(P77&gt;N(Q77),"Sí: entregar nivel "&amp;(N(Q77)+1)&amp;IF(P77&gt;N(Q77)+1," al "&amp;P77,"")&amp;" (ver Logros)",""))</f>
        <v/>
      </c>
      <c r="S77" s="20">
        <f>IF(OR(A77="",N77&lt;&gt;"Sí",N(L77)&lt;=0),"",(N(L77)*100000-MAX(0,ROUND((N(M77)-DATE(2026,10,1))*1440,0)))*1000-ROW())</f>
        <v/>
      </c>
    </row>
    <row r="78">
      <c r="A78" s="19" t="n"/>
      <c r="B78" s="19" t="n"/>
      <c r="C78" s="19" t="n"/>
      <c r="D78" s="21" t="n"/>
      <c r="E78" s="19" t="n"/>
      <c r="F78" s="19" t="n"/>
      <c r="G78" s="22" t="n"/>
      <c r="H78" s="19" t="n"/>
      <c r="I78" s="19" t="n"/>
      <c r="J78" s="19" t="n"/>
      <c r="K78" s="19" t="n"/>
      <c r="L78" s="16">
        <f>IF(A78="","",SUMIF(Movimientos!$B$2:$B$3001,A78,Movimientos!$F$2:$F$3001))</f>
        <v/>
      </c>
      <c r="M78" s="17">
        <f>IF(A78="","",IF(COUNTIF(Movimientos!$B$2:$B$3001,A78)=0,"",_xlfn.MAXIFS(Movimientos!$A$2:$A$3001,Movimientos!$B$2:$B$3001,A78)))</f>
        <v/>
      </c>
      <c r="N78" s="18">
        <f>IF(A78="","",IF(AND(H78="Sí",I78="Sí",K78&lt;&gt;"Sí"),"Sí","No"))</f>
        <v/>
      </c>
      <c r="O78" s="18">
        <f>IF(S78="","",1+COUNTIFS($N$2:$N$501,"Sí",$S$2:$S$501,"&gt;"&amp;S78))</f>
        <v/>
      </c>
      <c r="P78" s="18">
        <f>IF(A78="","",INDEX(Logros!$A$2:$A$6,MATCH(N(L78),Logros!$C$2:$C$6,1)))</f>
        <v/>
      </c>
      <c r="Q78" s="19" t="n"/>
      <c r="R78" s="18">
        <f>IF(OR(A78="",P78=""),"",IF(P78&gt;N(Q78),"Sí: entregar nivel "&amp;(N(Q78)+1)&amp;IF(P78&gt;N(Q78)+1," al "&amp;P78,"")&amp;" (ver Logros)",""))</f>
        <v/>
      </c>
      <c r="S78" s="20">
        <f>IF(OR(A78="",N78&lt;&gt;"Sí",N(L78)&lt;=0),"",(N(L78)*100000-MAX(0,ROUND((N(M78)-DATE(2026,10,1))*1440,0)))*1000-ROW())</f>
        <v/>
      </c>
    </row>
    <row r="79">
      <c r="A79" s="19" t="n"/>
      <c r="B79" s="19" t="n"/>
      <c r="C79" s="19" t="n"/>
      <c r="D79" s="21" t="n"/>
      <c r="E79" s="19" t="n"/>
      <c r="F79" s="19" t="n"/>
      <c r="G79" s="22" t="n"/>
      <c r="H79" s="19" t="n"/>
      <c r="I79" s="19" t="n"/>
      <c r="J79" s="19" t="n"/>
      <c r="K79" s="19" t="n"/>
      <c r="L79" s="16">
        <f>IF(A79="","",SUMIF(Movimientos!$B$2:$B$3001,A79,Movimientos!$F$2:$F$3001))</f>
        <v/>
      </c>
      <c r="M79" s="17">
        <f>IF(A79="","",IF(COUNTIF(Movimientos!$B$2:$B$3001,A79)=0,"",_xlfn.MAXIFS(Movimientos!$A$2:$A$3001,Movimientos!$B$2:$B$3001,A79)))</f>
        <v/>
      </c>
      <c r="N79" s="18">
        <f>IF(A79="","",IF(AND(H79="Sí",I79="Sí",K79&lt;&gt;"Sí"),"Sí","No"))</f>
        <v/>
      </c>
      <c r="O79" s="18">
        <f>IF(S79="","",1+COUNTIFS($N$2:$N$501,"Sí",$S$2:$S$501,"&gt;"&amp;S79))</f>
        <v/>
      </c>
      <c r="P79" s="18">
        <f>IF(A79="","",INDEX(Logros!$A$2:$A$6,MATCH(N(L79),Logros!$C$2:$C$6,1)))</f>
        <v/>
      </c>
      <c r="Q79" s="19" t="n"/>
      <c r="R79" s="18">
        <f>IF(OR(A79="",P79=""),"",IF(P79&gt;N(Q79),"Sí: entregar nivel "&amp;(N(Q79)+1)&amp;IF(P79&gt;N(Q79)+1," al "&amp;P79,"")&amp;" (ver Logros)",""))</f>
        <v/>
      </c>
      <c r="S79" s="20">
        <f>IF(OR(A79="",N79&lt;&gt;"Sí",N(L79)&lt;=0),"",(N(L79)*100000-MAX(0,ROUND((N(M79)-DATE(2026,10,1))*1440,0)))*1000-ROW())</f>
        <v/>
      </c>
    </row>
    <row r="80">
      <c r="A80" s="19" t="n"/>
      <c r="B80" s="19" t="n"/>
      <c r="C80" s="19" t="n"/>
      <c r="D80" s="21" t="n"/>
      <c r="E80" s="19" t="n"/>
      <c r="F80" s="19" t="n"/>
      <c r="G80" s="22" t="n"/>
      <c r="H80" s="19" t="n"/>
      <c r="I80" s="19" t="n"/>
      <c r="J80" s="19" t="n"/>
      <c r="K80" s="19" t="n"/>
      <c r="L80" s="16">
        <f>IF(A80="","",SUMIF(Movimientos!$B$2:$B$3001,A80,Movimientos!$F$2:$F$3001))</f>
        <v/>
      </c>
      <c r="M80" s="17">
        <f>IF(A80="","",IF(COUNTIF(Movimientos!$B$2:$B$3001,A80)=0,"",_xlfn.MAXIFS(Movimientos!$A$2:$A$3001,Movimientos!$B$2:$B$3001,A80)))</f>
        <v/>
      </c>
      <c r="N80" s="18">
        <f>IF(A80="","",IF(AND(H80="Sí",I80="Sí",K80&lt;&gt;"Sí"),"Sí","No"))</f>
        <v/>
      </c>
      <c r="O80" s="18">
        <f>IF(S80="","",1+COUNTIFS($N$2:$N$501,"Sí",$S$2:$S$501,"&gt;"&amp;S80))</f>
        <v/>
      </c>
      <c r="P80" s="18">
        <f>IF(A80="","",INDEX(Logros!$A$2:$A$6,MATCH(N(L80),Logros!$C$2:$C$6,1)))</f>
        <v/>
      </c>
      <c r="Q80" s="19" t="n"/>
      <c r="R80" s="18">
        <f>IF(OR(A80="",P80=""),"",IF(P80&gt;N(Q80),"Sí: entregar nivel "&amp;(N(Q80)+1)&amp;IF(P80&gt;N(Q80)+1," al "&amp;P80,"")&amp;" (ver Logros)",""))</f>
        <v/>
      </c>
      <c r="S80" s="20">
        <f>IF(OR(A80="",N80&lt;&gt;"Sí",N(L80)&lt;=0),"",(N(L80)*100000-MAX(0,ROUND((N(M80)-DATE(2026,10,1))*1440,0)))*1000-ROW())</f>
        <v/>
      </c>
    </row>
    <row r="81">
      <c r="A81" s="19" t="n"/>
      <c r="B81" s="19" t="n"/>
      <c r="C81" s="19" t="n"/>
      <c r="D81" s="21" t="n"/>
      <c r="E81" s="19" t="n"/>
      <c r="F81" s="19" t="n"/>
      <c r="G81" s="22" t="n"/>
      <c r="H81" s="19" t="n"/>
      <c r="I81" s="19" t="n"/>
      <c r="J81" s="19" t="n"/>
      <c r="K81" s="19" t="n"/>
      <c r="L81" s="16">
        <f>IF(A81="","",SUMIF(Movimientos!$B$2:$B$3001,A81,Movimientos!$F$2:$F$3001))</f>
        <v/>
      </c>
      <c r="M81" s="17">
        <f>IF(A81="","",IF(COUNTIF(Movimientos!$B$2:$B$3001,A81)=0,"",_xlfn.MAXIFS(Movimientos!$A$2:$A$3001,Movimientos!$B$2:$B$3001,A81)))</f>
        <v/>
      </c>
      <c r="N81" s="18">
        <f>IF(A81="","",IF(AND(H81="Sí",I81="Sí",K81&lt;&gt;"Sí"),"Sí","No"))</f>
        <v/>
      </c>
      <c r="O81" s="18">
        <f>IF(S81="","",1+COUNTIFS($N$2:$N$501,"Sí",$S$2:$S$501,"&gt;"&amp;S81))</f>
        <v/>
      </c>
      <c r="P81" s="18">
        <f>IF(A81="","",INDEX(Logros!$A$2:$A$6,MATCH(N(L81),Logros!$C$2:$C$6,1)))</f>
        <v/>
      </c>
      <c r="Q81" s="19" t="n"/>
      <c r="R81" s="18">
        <f>IF(OR(A81="",P81=""),"",IF(P81&gt;N(Q81),"Sí: entregar nivel "&amp;(N(Q81)+1)&amp;IF(P81&gt;N(Q81)+1," al "&amp;P81,"")&amp;" (ver Logros)",""))</f>
        <v/>
      </c>
      <c r="S81" s="20">
        <f>IF(OR(A81="",N81&lt;&gt;"Sí",N(L81)&lt;=0),"",(N(L81)*100000-MAX(0,ROUND((N(M81)-DATE(2026,10,1))*1440,0)))*1000-ROW())</f>
        <v/>
      </c>
    </row>
    <row r="82">
      <c r="A82" s="19" t="n"/>
      <c r="B82" s="19" t="n"/>
      <c r="C82" s="19" t="n"/>
      <c r="D82" s="21" t="n"/>
      <c r="E82" s="19" t="n"/>
      <c r="F82" s="19" t="n"/>
      <c r="G82" s="22" t="n"/>
      <c r="H82" s="19" t="n"/>
      <c r="I82" s="19" t="n"/>
      <c r="J82" s="19" t="n"/>
      <c r="K82" s="19" t="n"/>
      <c r="L82" s="16">
        <f>IF(A82="","",SUMIF(Movimientos!$B$2:$B$3001,A82,Movimientos!$F$2:$F$3001))</f>
        <v/>
      </c>
      <c r="M82" s="17">
        <f>IF(A82="","",IF(COUNTIF(Movimientos!$B$2:$B$3001,A82)=0,"",_xlfn.MAXIFS(Movimientos!$A$2:$A$3001,Movimientos!$B$2:$B$3001,A82)))</f>
        <v/>
      </c>
      <c r="N82" s="18">
        <f>IF(A82="","",IF(AND(H82="Sí",I82="Sí",K82&lt;&gt;"Sí"),"Sí","No"))</f>
        <v/>
      </c>
      <c r="O82" s="18">
        <f>IF(S82="","",1+COUNTIFS($N$2:$N$501,"Sí",$S$2:$S$501,"&gt;"&amp;S82))</f>
        <v/>
      </c>
      <c r="P82" s="18">
        <f>IF(A82="","",INDEX(Logros!$A$2:$A$6,MATCH(N(L82),Logros!$C$2:$C$6,1)))</f>
        <v/>
      </c>
      <c r="Q82" s="19" t="n"/>
      <c r="R82" s="18">
        <f>IF(OR(A82="",P82=""),"",IF(P82&gt;N(Q82),"Sí: entregar nivel "&amp;(N(Q82)+1)&amp;IF(P82&gt;N(Q82)+1," al "&amp;P82,"")&amp;" (ver Logros)",""))</f>
        <v/>
      </c>
      <c r="S82" s="20">
        <f>IF(OR(A82="",N82&lt;&gt;"Sí",N(L82)&lt;=0),"",(N(L82)*100000-MAX(0,ROUND((N(M82)-DATE(2026,10,1))*1440,0)))*1000-ROW())</f>
        <v/>
      </c>
    </row>
    <row r="83">
      <c r="A83" s="19" t="n"/>
      <c r="B83" s="19" t="n"/>
      <c r="C83" s="19" t="n"/>
      <c r="D83" s="21" t="n"/>
      <c r="E83" s="19" t="n"/>
      <c r="F83" s="19" t="n"/>
      <c r="G83" s="22" t="n"/>
      <c r="H83" s="19" t="n"/>
      <c r="I83" s="19" t="n"/>
      <c r="J83" s="19" t="n"/>
      <c r="K83" s="19" t="n"/>
      <c r="L83" s="16">
        <f>IF(A83="","",SUMIF(Movimientos!$B$2:$B$3001,A83,Movimientos!$F$2:$F$3001))</f>
        <v/>
      </c>
      <c r="M83" s="17">
        <f>IF(A83="","",IF(COUNTIF(Movimientos!$B$2:$B$3001,A83)=0,"",_xlfn.MAXIFS(Movimientos!$A$2:$A$3001,Movimientos!$B$2:$B$3001,A83)))</f>
        <v/>
      </c>
      <c r="N83" s="18">
        <f>IF(A83="","",IF(AND(H83="Sí",I83="Sí",K83&lt;&gt;"Sí"),"Sí","No"))</f>
        <v/>
      </c>
      <c r="O83" s="18">
        <f>IF(S83="","",1+COUNTIFS($N$2:$N$501,"Sí",$S$2:$S$501,"&gt;"&amp;S83))</f>
        <v/>
      </c>
      <c r="P83" s="18">
        <f>IF(A83="","",INDEX(Logros!$A$2:$A$6,MATCH(N(L83),Logros!$C$2:$C$6,1)))</f>
        <v/>
      </c>
      <c r="Q83" s="19" t="n"/>
      <c r="R83" s="18">
        <f>IF(OR(A83="",P83=""),"",IF(P83&gt;N(Q83),"Sí: entregar nivel "&amp;(N(Q83)+1)&amp;IF(P83&gt;N(Q83)+1," al "&amp;P83,"")&amp;" (ver Logros)",""))</f>
        <v/>
      </c>
      <c r="S83" s="20">
        <f>IF(OR(A83="",N83&lt;&gt;"Sí",N(L83)&lt;=0),"",(N(L83)*100000-MAX(0,ROUND((N(M83)-DATE(2026,10,1))*1440,0)))*1000-ROW())</f>
        <v/>
      </c>
    </row>
    <row r="84">
      <c r="A84" s="19" t="n"/>
      <c r="B84" s="19" t="n"/>
      <c r="C84" s="19" t="n"/>
      <c r="D84" s="21" t="n"/>
      <c r="E84" s="19" t="n"/>
      <c r="F84" s="19" t="n"/>
      <c r="G84" s="22" t="n"/>
      <c r="H84" s="19" t="n"/>
      <c r="I84" s="19" t="n"/>
      <c r="J84" s="19" t="n"/>
      <c r="K84" s="19" t="n"/>
      <c r="L84" s="16">
        <f>IF(A84="","",SUMIF(Movimientos!$B$2:$B$3001,A84,Movimientos!$F$2:$F$3001))</f>
        <v/>
      </c>
      <c r="M84" s="17">
        <f>IF(A84="","",IF(COUNTIF(Movimientos!$B$2:$B$3001,A84)=0,"",_xlfn.MAXIFS(Movimientos!$A$2:$A$3001,Movimientos!$B$2:$B$3001,A84)))</f>
        <v/>
      </c>
      <c r="N84" s="18">
        <f>IF(A84="","",IF(AND(H84="Sí",I84="Sí",K84&lt;&gt;"Sí"),"Sí","No"))</f>
        <v/>
      </c>
      <c r="O84" s="18">
        <f>IF(S84="","",1+COUNTIFS($N$2:$N$501,"Sí",$S$2:$S$501,"&gt;"&amp;S84))</f>
        <v/>
      </c>
      <c r="P84" s="18">
        <f>IF(A84="","",INDEX(Logros!$A$2:$A$6,MATCH(N(L84),Logros!$C$2:$C$6,1)))</f>
        <v/>
      </c>
      <c r="Q84" s="19" t="n"/>
      <c r="R84" s="18">
        <f>IF(OR(A84="",P84=""),"",IF(P84&gt;N(Q84),"Sí: entregar nivel "&amp;(N(Q84)+1)&amp;IF(P84&gt;N(Q84)+1," al "&amp;P84,"")&amp;" (ver Logros)",""))</f>
        <v/>
      </c>
      <c r="S84" s="20">
        <f>IF(OR(A84="",N84&lt;&gt;"Sí",N(L84)&lt;=0),"",(N(L84)*100000-MAX(0,ROUND((N(M84)-DATE(2026,10,1))*1440,0)))*1000-ROW())</f>
        <v/>
      </c>
    </row>
    <row r="85">
      <c r="A85" s="19" t="n"/>
      <c r="B85" s="19" t="n"/>
      <c r="C85" s="19" t="n"/>
      <c r="D85" s="21" t="n"/>
      <c r="E85" s="19" t="n"/>
      <c r="F85" s="19" t="n"/>
      <c r="G85" s="22" t="n"/>
      <c r="H85" s="19" t="n"/>
      <c r="I85" s="19" t="n"/>
      <c r="J85" s="19" t="n"/>
      <c r="K85" s="19" t="n"/>
      <c r="L85" s="16">
        <f>IF(A85="","",SUMIF(Movimientos!$B$2:$B$3001,A85,Movimientos!$F$2:$F$3001))</f>
        <v/>
      </c>
      <c r="M85" s="17">
        <f>IF(A85="","",IF(COUNTIF(Movimientos!$B$2:$B$3001,A85)=0,"",_xlfn.MAXIFS(Movimientos!$A$2:$A$3001,Movimientos!$B$2:$B$3001,A85)))</f>
        <v/>
      </c>
      <c r="N85" s="18">
        <f>IF(A85="","",IF(AND(H85="Sí",I85="Sí",K85&lt;&gt;"Sí"),"Sí","No"))</f>
        <v/>
      </c>
      <c r="O85" s="18">
        <f>IF(S85="","",1+COUNTIFS($N$2:$N$501,"Sí",$S$2:$S$501,"&gt;"&amp;S85))</f>
        <v/>
      </c>
      <c r="P85" s="18">
        <f>IF(A85="","",INDEX(Logros!$A$2:$A$6,MATCH(N(L85),Logros!$C$2:$C$6,1)))</f>
        <v/>
      </c>
      <c r="Q85" s="19" t="n"/>
      <c r="R85" s="18">
        <f>IF(OR(A85="",P85=""),"",IF(P85&gt;N(Q85),"Sí: entregar nivel "&amp;(N(Q85)+1)&amp;IF(P85&gt;N(Q85)+1," al "&amp;P85,"")&amp;" (ver Logros)",""))</f>
        <v/>
      </c>
      <c r="S85" s="20">
        <f>IF(OR(A85="",N85&lt;&gt;"Sí",N(L85)&lt;=0),"",(N(L85)*100000-MAX(0,ROUND((N(M85)-DATE(2026,10,1))*1440,0)))*1000-ROW())</f>
        <v/>
      </c>
    </row>
    <row r="86">
      <c r="A86" s="19" t="n"/>
      <c r="B86" s="19" t="n"/>
      <c r="C86" s="19" t="n"/>
      <c r="D86" s="21" t="n"/>
      <c r="E86" s="19" t="n"/>
      <c r="F86" s="19" t="n"/>
      <c r="G86" s="22" t="n"/>
      <c r="H86" s="19" t="n"/>
      <c r="I86" s="19" t="n"/>
      <c r="J86" s="19" t="n"/>
      <c r="K86" s="19" t="n"/>
      <c r="L86" s="16">
        <f>IF(A86="","",SUMIF(Movimientos!$B$2:$B$3001,A86,Movimientos!$F$2:$F$3001))</f>
        <v/>
      </c>
      <c r="M86" s="17">
        <f>IF(A86="","",IF(COUNTIF(Movimientos!$B$2:$B$3001,A86)=0,"",_xlfn.MAXIFS(Movimientos!$A$2:$A$3001,Movimientos!$B$2:$B$3001,A86)))</f>
        <v/>
      </c>
      <c r="N86" s="18">
        <f>IF(A86="","",IF(AND(H86="Sí",I86="Sí",K86&lt;&gt;"Sí"),"Sí","No"))</f>
        <v/>
      </c>
      <c r="O86" s="18">
        <f>IF(S86="","",1+COUNTIFS($N$2:$N$501,"Sí",$S$2:$S$501,"&gt;"&amp;S86))</f>
        <v/>
      </c>
      <c r="P86" s="18">
        <f>IF(A86="","",INDEX(Logros!$A$2:$A$6,MATCH(N(L86),Logros!$C$2:$C$6,1)))</f>
        <v/>
      </c>
      <c r="Q86" s="19" t="n"/>
      <c r="R86" s="18">
        <f>IF(OR(A86="",P86=""),"",IF(P86&gt;N(Q86),"Sí: entregar nivel "&amp;(N(Q86)+1)&amp;IF(P86&gt;N(Q86)+1," al "&amp;P86,"")&amp;" (ver Logros)",""))</f>
        <v/>
      </c>
      <c r="S86" s="20">
        <f>IF(OR(A86="",N86&lt;&gt;"Sí",N(L86)&lt;=0),"",(N(L86)*100000-MAX(0,ROUND((N(M86)-DATE(2026,10,1))*1440,0)))*1000-ROW())</f>
        <v/>
      </c>
    </row>
    <row r="87">
      <c r="A87" s="19" t="n"/>
      <c r="B87" s="19" t="n"/>
      <c r="C87" s="19" t="n"/>
      <c r="D87" s="21" t="n"/>
      <c r="E87" s="19" t="n"/>
      <c r="F87" s="19" t="n"/>
      <c r="G87" s="22" t="n"/>
      <c r="H87" s="19" t="n"/>
      <c r="I87" s="19" t="n"/>
      <c r="J87" s="19" t="n"/>
      <c r="K87" s="19" t="n"/>
      <c r="L87" s="16">
        <f>IF(A87="","",SUMIF(Movimientos!$B$2:$B$3001,A87,Movimientos!$F$2:$F$3001))</f>
        <v/>
      </c>
      <c r="M87" s="17">
        <f>IF(A87="","",IF(COUNTIF(Movimientos!$B$2:$B$3001,A87)=0,"",_xlfn.MAXIFS(Movimientos!$A$2:$A$3001,Movimientos!$B$2:$B$3001,A87)))</f>
        <v/>
      </c>
      <c r="N87" s="18">
        <f>IF(A87="","",IF(AND(H87="Sí",I87="Sí",K87&lt;&gt;"Sí"),"Sí","No"))</f>
        <v/>
      </c>
      <c r="O87" s="18">
        <f>IF(S87="","",1+COUNTIFS($N$2:$N$501,"Sí",$S$2:$S$501,"&gt;"&amp;S87))</f>
        <v/>
      </c>
      <c r="P87" s="18">
        <f>IF(A87="","",INDEX(Logros!$A$2:$A$6,MATCH(N(L87),Logros!$C$2:$C$6,1)))</f>
        <v/>
      </c>
      <c r="Q87" s="19" t="n"/>
      <c r="R87" s="18">
        <f>IF(OR(A87="",P87=""),"",IF(P87&gt;N(Q87),"Sí: entregar nivel "&amp;(N(Q87)+1)&amp;IF(P87&gt;N(Q87)+1," al "&amp;P87,"")&amp;" (ver Logros)",""))</f>
        <v/>
      </c>
      <c r="S87" s="20">
        <f>IF(OR(A87="",N87&lt;&gt;"Sí",N(L87)&lt;=0),"",(N(L87)*100000-MAX(0,ROUND((N(M87)-DATE(2026,10,1))*1440,0)))*1000-ROW())</f>
        <v/>
      </c>
    </row>
    <row r="88">
      <c r="A88" s="19" t="n"/>
      <c r="B88" s="19" t="n"/>
      <c r="C88" s="19" t="n"/>
      <c r="D88" s="21" t="n"/>
      <c r="E88" s="19" t="n"/>
      <c r="F88" s="19" t="n"/>
      <c r="G88" s="22" t="n"/>
      <c r="H88" s="19" t="n"/>
      <c r="I88" s="19" t="n"/>
      <c r="J88" s="19" t="n"/>
      <c r="K88" s="19" t="n"/>
      <c r="L88" s="16">
        <f>IF(A88="","",SUMIF(Movimientos!$B$2:$B$3001,A88,Movimientos!$F$2:$F$3001))</f>
        <v/>
      </c>
      <c r="M88" s="17">
        <f>IF(A88="","",IF(COUNTIF(Movimientos!$B$2:$B$3001,A88)=0,"",_xlfn.MAXIFS(Movimientos!$A$2:$A$3001,Movimientos!$B$2:$B$3001,A88)))</f>
        <v/>
      </c>
      <c r="N88" s="18">
        <f>IF(A88="","",IF(AND(H88="Sí",I88="Sí",K88&lt;&gt;"Sí"),"Sí","No"))</f>
        <v/>
      </c>
      <c r="O88" s="18">
        <f>IF(S88="","",1+COUNTIFS($N$2:$N$501,"Sí",$S$2:$S$501,"&gt;"&amp;S88))</f>
        <v/>
      </c>
      <c r="P88" s="18">
        <f>IF(A88="","",INDEX(Logros!$A$2:$A$6,MATCH(N(L88),Logros!$C$2:$C$6,1)))</f>
        <v/>
      </c>
      <c r="Q88" s="19" t="n"/>
      <c r="R88" s="18">
        <f>IF(OR(A88="",P88=""),"",IF(P88&gt;N(Q88),"Sí: entregar nivel "&amp;(N(Q88)+1)&amp;IF(P88&gt;N(Q88)+1," al "&amp;P88,"")&amp;" (ver Logros)",""))</f>
        <v/>
      </c>
      <c r="S88" s="20">
        <f>IF(OR(A88="",N88&lt;&gt;"Sí",N(L88)&lt;=0),"",(N(L88)*100000-MAX(0,ROUND((N(M88)-DATE(2026,10,1))*1440,0)))*1000-ROW())</f>
        <v/>
      </c>
    </row>
    <row r="89">
      <c r="A89" s="19" t="n"/>
      <c r="B89" s="19" t="n"/>
      <c r="C89" s="19" t="n"/>
      <c r="D89" s="21" t="n"/>
      <c r="E89" s="19" t="n"/>
      <c r="F89" s="19" t="n"/>
      <c r="G89" s="22" t="n"/>
      <c r="H89" s="19" t="n"/>
      <c r="I89" s="19" t="n"/>
      <c r="J89" s="19" t="n"/>
      <c r="K89" s="19" t="n"/>
      <c r="L89" s="16">
        <f>IF(A89="","",SUMIF(Movimientos!$B$2:$B$3001,A89,Movimientos!$F$2:$F$3001))</f>
        <v/>
      </c>
      <c r="M89" s="17">
        <f>IF(A89="","",IF(COUNTIF(Movimientos!$B$2:$B$3001,A89)=0,"",_xlfn.MAXIFS(Movimientos!$A$2:$A$3001,Movimientos!$B$2:$B$3001,A89)))</f>
        <v/>
      </c>
      <c r="N89" s="18">
        <f>IF(A89="","",IF(AND(H89="Sí",I89="Sí",K89&lt;&gt;"Sí"),"Sí","No"))</f>
        <v/>
      </c>
      <c r="O89" s="18">
        <f>IF(S89="","",1+COUNTIFS($N$2:$N$501,"Sí",$S$2:$S$501,"&gt;"&amp;S89))</f>
        <v/>
      </c>
      <c r="P89" s="18">
        <f>IF(A89="","",INDEX(Logros!$A$2:$A$6,MATCH(N(L89),Logros!$C$2:$C$6,1)))</f>
        <v/>
      </c>
      <c r="Q89" s="19" t="n"/>
      <c r="R89" s="18">
        <f>IF(OR(A89="",P89=""),"",IF(P89&gt;N(Q89),"Sí: entregar nivel "&amp;(N(Q89)+1)&amp;IF(P89&gt;N(Q89)+1," al "&amp;P89,"")&amp;" (ver Logros)",""))</f>
        <v/>
      </c>
      <c r="S89" s="20">
        <f>IF(OR(A89="",N89&lt;&gt;"Sí",N(L89)&lt;=0),"",(N(L89)*100000-MAX(0,ROUND((N(M89)-DATE(2026,10,1))*1440,0)))*1000-ROW())</f>
        <v/>
      </c>
    </row>
    <row r="90">
      <c r="A90" s="19" t="n"/>
      <c r="B90" s="19" t="n"/>
      <c r="C90" s="19" t="n"/>
      <c r="D90" s="21" t="n"/>
      <c r="E90" s="19" t="n"/>
      <c r="F90" s="19" t="n"/>
      <c r="G90" s="22" t="n"/>
      <c r="H90" s="19" t="n"/>
      <c r="I90" s="19" t="n"/>
      <c r="J90" s="19" t="n"/>
      <c r="K90" s="19" t="n"/>
      <c r="L90" s="16">
        <f>IF(A90="","",SUMIF(Movimientos!$B$2:$B$3001,A90,Movimientos!$F$2:$F$3001))</f>
        <v/>
      </c>
      <c r="M90" s="17">
        <f>IF(A90="","",IF(COUNTIF(Movimientos!$B$2:$B$3001,A90)=0,"",_xlfn.MAXIFS(Movimientos!$A$2:$A$3001,Movimientos!$B$2:$B$3001,A90)))</f>
        <v/>
      </c>
      <c r="N90" s="18">
        <f>IF(A90="","",IF(AND(H90="Sí",I90="Sí",K90&lt;&gt;"Sí"),"Sí","No"))</f>
        <v/>
      </c>
      <c r="O90" s="18">
        <f>IF(S90="","",1+COUNTIFS($N$2:$N$501,"Sí",$S$2:$S$501,"&gt;"&amp;S90))</f>
        <v/>
      </c>
      <c r="P90" s="18">
        <f>IF(A90="","",INDEX(Logros!$A$2:$A$6,MATCH(N(L90),Logros!$C$2:$C$6,1)))</f>
        <v/>
      </c>
      <c r="Q90" s="19" t="n"/>
      <c r="R90" s="18">
        <f>IF(OR(A90="",P90=""),"",IF(P90&gt;N(Q90),"Sí: entregar nivel "&amp;(N(Q90)+1)&amp;IF(P90&gt;N(Q90)+1," al "&amp;P90,"")&amp;" (ver Logros)",""))</f>
        <v/>
      </c>
      <c r="S90" s="20">
        <f>IF(OR(A90="",N90&lt;&gt;"Sí",N(L90)&lt;=0),"",(N(L90)*100000-MAX(0,ROUND((N(M90)-DATE(2026,10,1))*1440,0)))*1000-ROW())</f>
        <v/>
      </c>
    </row>
    <row r="91">
      <c r="A91" s="19" t="n"/>
      <c r="B91" s="19" t="n"/>
      <c r="C91" s="19" t="n"/>
      <c r="D91" s="21" t="n"/>
      <c r="E91" s="19" t="n"/>
      <c r="F91" s="19" t="n"/>
      <c r="G91" s="22" t="n"/>
      <c r="H91" s="19" t="n"/>
      <c r="I91" s="19" t="n"/>
      <c r="J91" s="19" t="n"/>
      <c r="K91" s="19" t="n"/>
      <c r="L91" s="16">
        <f>IF(A91="","",SUMIF(Movimientos!$B$2:$B$3001,A91,Movimientos!$F$2:$F$3001))</f>
        <v/>
      </c>
      <c r="M91" s="17">
        <f>IF(A91="","",IF(COUNTIF(Movimientos!$B$2:$B$3001,A91)=0,"",_xlfn.MAXIFS(Movimientos!$A$2:$A$3001,Movimientos!$B$2:$B$3001,A91)))</f>
        <v/>
      </c>
      <c r="N91" s="18">
        <f>IF(A91="","",IF(AND(H91="Sí",I91="Sí",K91&lt;&gt;"Sí"),"Sí","No"))</f>
        <v/>
      </c>
      <c r="O91" s="18">
        <f>IF(S91="","",1+COUNTIFS($N$2:$N$501,"Sí",$S$2:$S$501,"&gt;"&amp;S91))</f>
        <v/>
      </c>
      <c r="P91" s="18">
        <f>IF(A91="","",INDEX(Logros!$A$2:$A$6,MATCH(N(L91),Logros!$C$2:$C$6,1)))</f>
        <v/>
      </c>
      <c r="Q91" s="19" t="n"/>
      <c r="R91" s="18">
        <f>IF(OR(A91="",P91=""),"",IF(P91&gt;N(Q91),"Sí: entregar nivel "&amp;(N(Q91)+1)&amp;IF(P91&gt;N(Q91)+1," al "&amp;P91,"")&amp;" (ver Logros)",""))</f>
        <v/>
      </c>
      <c r="S91" s="20">
        <f>IF(OR(A91="",N91&lt;&gt;"Sí",N(L91)&lt;=0),"",(N(L91)*100000-MAX(0,ROUND((N(M91)-DATE(2026,10,1))*1440,0)))*1000-ROW())</f>
        <v/>
      </c>
    </row>
    <row r="92">
      <c r="A92" s="19" t="n"/>
      <c r="B92" s="19" t="n"/>
      <c r="C92" s="19" t="n"/>
      <c r="D92" s="21" t="n"/>
      <c r="E92" s="19" t="n"/>
      <c r="F92" s="19" t="n"/>
      <c r="G92" s="22" t="n"/>
      <c r="H92" s="19" t="n"/>
      <c r="I92" s="19" t="n"/>
      <c r="J92" s="19" t="n"/>
      <c r="K92" s="19" t="n"/>
      <c r="L92" s="16">
        <f>IF(A92="","",SUMIF(Movimientos!$B$2:$B$3001,A92,Movimientos!$F$2:$F$3001))</f>
        <v/>
      </c>
      <c r="M92" s="17">
        <f>IF(A92="","",IF(COUNTIF(Movimientos!$B$2:$B$3001,A92)=0,"",_xlfn.MAXIFS(Movimientos!$A$2:$A$3001,Movimientos!$B$2:$B$3001,A92)))</f>
        <v/>
      </c>
      <c r="N92" s="18">
        <f>IF(A92="","",IF(AND(H92="Sí",I92="Sí",K92&lt;&gt;"Sí"),"Sí","No"))</f>
        <v/>
      </c>
      <c r="O92" s="18">
        <f>IF(S92="","",1+COUNTIFS($N$2:$N$501,"Sí",$S$2:$S$501,"&gt;"&amp;S92))</f>
        <v/>
      </c>
      <c r="P92" s="18">
        <f>IF(A92="","",INDEX(Logros!$A$2:$A$6,MATCH(N(L92),Logros!$C$2:$C$6,1)))</f>
        <v/>
      </c>
      <c r="Q92" s="19" t="n"/>
      <c r="R92" s="18">
        <f>IF(OR(A92="",P92=""),"",IF(P92&gt;N(Q92),"Sí: entregar nivel "&amp;(N(Q92)+1)&amp;IF(P92&gt;N(Q92)+1," al "&amp;P92,"")&amp;" (ver Logros)",""))</f>
        <v/>
      </c>
      <c r="S92" s="20">
        <f>IF(OR(A92="",N92&lt;&gt;"Sí",N(L92)&lt;=0),"",(N(L92)*100000-MAX(0,ROUND((N(M92)-DATE(2026,10,1))*1440,0)))*1000-ROW())</f>
        <v/>
      </c>
    </row>
    <row r="93">
      <c r="A93" s="19" t="n"/>
      <c r="B93" s="19" t="n"/>
      <c r="C93" s="19" t="n"/>
      <c r="D93" s="21" t="n"/>
      <c r="E93" s="19" t="n"/>
      <c r="F93" s="19" t="n"/>
      <c r="G93" s="22" t="n"/>
      <c r="H93" s="19" t="n"/>
      <c r="I93" s="19" t="n"/>
      <c r="J93" s="19" t="n"/>
      <c r="K93" s="19" t="n"/>
      <c r="L93" s="16">
        <f>IF(A93="","",SUMIF(Movimientos!$B$2:$B$3001,A93,Movimientos!$F$2:$F$3001))</f>
        <v/>
      </c>
      <c r="M93" s="17">
        <f>IF(A93="","",IF(COUNTIF(Movimientos!$B$2:$B$3001,A93)=0,"",_xlfn.MAXIFS(Movimientos!$A$2:$A$3001,Movimientos!$B$2:$B$3001,A93)))</f>
        <v/>
      </c>
      <c r="N93" s="18">
        <f>IF(A93="","",IF(AND(H93="Sí",I93="Sí",K93&lt;&gt;"Sí"),"Sí","No"))</f>
        <v/>
      </c>
      <c r="O93" s="18">
        <f>IF(S93="","",1+COUNTIFS($N$2:$N$501,"Sí",$S$2:$S$501,"&gt;"&amp;S93))</f>
        <v/>
      </c>
      <c r="P93" s="18">
        <f>IF(A93="","",INDEX(Logros!$A$2:$A$6,MATCH(N(L93),Logros!$C$2:$C$6,1)))</f>
        <v/>
      </c>
      <c r="Q93" s="19" t="n"/>
      <c r="R93" s="18">
        <f>IF(OR(A93="",P93=""),"",IF(P93&gt;N(Q93),"Sí: entregar nivel "&amp;(N(Q93)+1)&amp;IF(P93&gt;N(Q93)+1," al "&amp;P93,"")&amp;" (ver Logros)",""))</f>
        <v/>
      </c>
      <c r="S93" s="20">
        <f>IF(OR(A93="",N93&lt;&gt;"Sí",N(L93)&lt;=0),"",(N(L93)*100000-MAX(0,ROUND((N(M93)-DATE(2026,10,1))*1440,0)))*1000-ROW())</f>
        <v/>
      </c>
    </row>
    <row r="94">
      <c r="A94" s="19" t="n"/>
      <c r="B94" s="19" t="n"/>
      <c r="C94" s="19" t="n"/>
      <c r="D94" s="21" t="n"/>
      <c r="E94" s="19" t="n"/>
      <c r="F94" s="19" t="n"/>
      <c r="G94" s="22" t="n"/>
      <c r="H94" s="19" t="n"/>
      <c r="I94" s="19" t="n"/>
      <c r="J94" s="19" t="n"/>
      <c r="K94" s="19" t="n"/>
      <c r="L94" s="16">
        <f>IF(A94="","",SUMIF(Movimientos!$B$2:$B$3001,A94,Movimientos!$F$2:$F$3001))</f>
        <v/>
      </c>
      <c r="M94" s="17">
        <f>IF(A94="","",IF(COUNTIF(Movimientos!$B$2:$B$3001,A94)=0,"",_xlfn.MAXIFS(Movimientos!$A$2:$A$3001,Movimientos!$B$2:$B$3001,A94)))</f>
        <v/>
      </c>
      <c r="N94" s="18">
        <f>IF(A94="","",IF(AND(H94="Sí",I94="Sí",K94&lt;&gt;"Sí"),"Sí","No"))</f>
        <v/>
      </c>
      <c r="O94" s="18">
        <f>IF(S94="","",1+COUNTIFS($N$2:$N$501,"Sí",$S$2:$S$501,"&gt;"&amp;S94))</f>
        <v/>
      </c>
      <c r="P94" s="18">
        <f>IF(A94="","",INDEX(Logros!$A$2:$A$6,MATCH(N(L94),Logros!$C$2:$C$6,1)))</f>
        <v/>
      </c>
      <c r="Q94" s="19" t="n"/>
      <c r="R94" s="18">
        <f>IF(OR(A94="",P94=""),"",IF(P94&gt;N(Q94),"Sí: entregar nivel "&amp;(N(Q94)+1)&amp;IF(P94&gt;N(Q94)+1," al "&amp;P94,"")&amp;" (ver Logros)",""))</f>
        <v/>
      </c>
      <c r="S94" s="20">
        <f>IF(OR(A94="",N94&lt;&gt;"Sí",N(L94)&lt;=0),"",(N(L94)*100000-MAX(0,ROUND((N(M94)-DATE(2026,10,1))*1440,0)))*1000-ROW())</f>
        <v/>
      </c>
    </row>
    <row r="95">
      <c r="A95" s="19" t="n"/>
      <c r="B95" s="19" t="n"/>
      <c r="C95" s="19" t="n"/>
      <c r="D95" s="21" t="n"/>
      <c r="E95" s="19" t="n"/>
      <c r="F95" s="19" t="n"/>
      <c r="G95" s="22" t="n"/>
      <c r="H95" s="19" t="n"/>
      <c r="I95" s="19" t="n"/>
      <c r="J95" s="19" t="n"/>
      <c r="K95" s="19" t="n"/>
      <c r="L95" s="16">
        <f>IF(A95="","",SUMIF(Movimientos!$B$2:$B$3001,A95,Movimientos!$F$2:$F$3001))</f>
        <v/>
      </c>
      <c r="M95" s="17">
        <f>IF(A95="","",IF(COUNTIF(Movimientos!$B$2:$B$3001,A95)=0,"",_xlfn.MAXIFS(Movimientos!$A$2:$A$3001,Movimientos!$B$2:$B$3001,A95)))</f>
        <v/>
      </c>
      <c r="N95" s="18">
        <f>IF(A95="","",IF(AND(H95="Sí",I95="Sí",K95&lt;&gt;"Sí"),"Sí","No"))</f>
        <v/>
      </c>
      <c r="O95" s="18">
        <f>IF(S95="","",1+COUNTIFS($N$2:$N$501,"Sí",$S$2:$S$501,"&gt;"&amp;S95))</f>
        <v/>
      </c>
      <c r="P95" s="18">
        <f>IF(A95="","",INDEX(Logros!$A$2:$A$6,MATCH(N(L95),Logros!$C$2:$C$6,1)))</f>
        <v/>
      </c>
      <c r="Q95" s="19" t="n"/>
      <c r="R95" s="18">
        <f>IF(OR(A95="",P95=""),"",IF(P95&gt;N(Q95),"Sí: entregar nivel "&amp;(N(Q95)+1)&amp;IF(P95&gt;N(Q95)+1," al "&amp;P95,"")&amp;" (ver Logros)",""))</f>
        <v/>
      </c>
      <c r="S95" s="20">
        <f>IF(OR(A95="",N95&lt;&gt;"Sí",N(L95)&lt;=0),"",(N(L95)*100000-MAX(0,ROUND((N(M95)-DATE(2026,10,1))*1440,0)))*1000-ROW())</f>
        <v/>
      </c>
    </row>
    <row r="96">
      <c r="A96" s="19" t="n"/>
      <c r="B96" s="19" t="n"/>
      <c r="C96" s="19" t="n"/>
      <c r="D96" s="21" t="n"/>
      <c r="E96" s="19" t="n"/>
      <c r="F96" s="19" t="n"/>
      <c r="G96" s="22" t="n"/>
      <c r="H96" s="19" t="n"/>
      <c r="I96" s="19" t="n"/>
      <c r="J96" s="19" t="n"/>
      <c r="K96" s="19" t="n"/>
      <c r="L96" s="16">
        <f>IF(A96="","",SUMIF(Movimientos!$B$2:$B$3001,A96,Movimientos!$F$2:$F$3001))</f>
        <v/>
      </c>
      <c r="M96" s="17">
        <f>IF(A96="","",IF(COUNTIF(Movimientos!$B$2:$B$3001,A96)=0,"",_xlfn.MAXIFS(Movimientos!$A$2:$A$3001,Movimientos!$B$2:$B$3001,A96)))</f>
        <v/>
      </c>
      <c r="N96" s="18">
        <f>IF(A96="","",IF(AND(H96="Sí",I96="Sí",K96&lt;&gt;"Sí"),"Sí","No"))</f>
        <v/>
      </c>
      <c r="O96" s="18">
        <f>IF(S96="","",1+COUNTIFS($N$2:$N$501,"Sí",$S$2:$S$501,"&gt;"&amp;S96))</f>
        <v/>
      </c>
      <c r="P96" s="18">
        <f>IF(A96="","",INDEX(Logros!$A$2:$A$6,MATCH(N(L96),Logros!$C$2:$C$6,1)))</f>
        <v/>
      </c>
      <c r="Q96" s="19" t="n"/>
      <c r="R96" s="18">
        <f>IF(OR(A96="",P96=""),"",IF(P96&gt;N(Q96),"Sí: entregar nivel "&amp;(N(Q96)+1)&amp;IF(P96&gt;N(Q96)+1," al "&amp;P96,"")&amp;" (ver Logros)",""))</f>
        <v/>
      </c>
      <c r="S96" s="20">
        <f>IF(OR(A96="",N96&lt;&gt;"Sí",N(L96)&lt;=0),"",(N(L96)*100000-MAX(0,ROUND((N(M96)-DATE(2026,10,1))*1440,0)))*1000-ROW())</f>
        <v/>
      </c>
    </row>
    <row r="97">
      <c r="A97" s="19" t="n"/>
      <c r="B97" s="19" t="n"/>
      <c r="C97" s="19" t="n"/>
      <c r="D97" s="21" t="n"/>
      <c r="E97" s="19" t="n"/>
      <c r="F97" s="19" t="n"/>
      <c r="G97" s="22" t="n"/>
      <c r="H97" s="19" t="n"/>
      <c r="I97" s="19" t="n"/>
      <c r="J97" s="19" t="n"/>
      <c r="K97" s="19" t="n"/>
      <c r="L97" s="16">
        <f>IF(A97="","",SUMIF(Movimientos!$B$2:$B$3001,A97,Movimientos!$F$2:$F$3001))</f>
        <v/>
      </c>
      <c r="M97" s="17">
        <f>IF(A97="","",IF(COUNTIF(Movimientos!$B$2:$B$3001,A97)=0,"",_xlfn.MAXIFS(Movimientos!$A$2:$A$3001,Movimientos!$B$2:$B$3001,A97)))</f>
        <v/>
      </c>
      <c r="N97" s="18">
        <f>IF(A97="","",IF(AND(H97="Sí",I97="Sí",K97&lt;&gt;"Sí"),"Sí","No"))</f>
        <v/>
      </c>
      <c r="O97" s="18">
        <f>IF(S97="","",1+COUNTIFS($N$2:$N$501,"Sí",$S$2:$S$501,"&gt;"&amp;S97))</f>
        <v/>
      </c>
      <c r="P97" s="18">
        <f>IF(A97="","",INDEX(Logros!$A$2:$A$6,MATCH(N(L97),Logros!$C$2:$C$6,1)))</f>
        <v/>
      </c>
      <c r="Q97" s="19" t="n"/>
      <c r="R97" s="18">
        <f>IF(OR(A97="",P97=""),"",IF(P97&gt;N(Q97),"Sí: entregar nivel "&amp;(N(Q97)+1)&amp;IF(P97&gt;N(Q97)+1," al "&amp;P97,"")&amp;" (ver Logros)",""))</f>
        <v/>
      </c>
      <c r="S97" s="20">
        <f>IF(OR(A97="",N97&lt;&gt;"Sí",N(L97)&lt;=0),"",(N(L97)*100000-MAX(0,ROUND((N(M97)-DATE(2026,10,1))*1440,0)))*1000-ROW())</f>
        <v/>
      </c>
    </row>
    <row r="98">
      <c r="A98" s="19" t="n"/>
      <c r="B98" s="19" t="n"/>
      <c r="C98" s="19" t="n"/>
      <c r="D98" s="21" t="n"/>
      <c r="E98" s="19" t="n"/>
      <c r="F98" s="19" t="n"/>
      <c r="G98" s="22" t="n"/>
      <c r="H98" s="19" t="n"/>
      <c r="I98" s="19" t="n"/>
      <c r="J98" s="19" t="n"/>
      <c r="K98" s="19" t="n"/>
      <c r="L98" s="16">
        <f>IF(A98="","",SUMIF(Movimientos!$B$2:$B$3001,A98,Movimientos!$F$2:$F$3001))</f>
        <v/>
      </c>
      <c r="M98" s="17">
        <f>IF(A98="","",IF(COUNTIF(Movimientos!$B$2:$B$3001,A98)=0,"",_xlfn.MAXIFS(Movimientos!$A$2:$A$3001,Movimientos!$B$2:$B$3001,A98)))</f>
        <v/>
      </c>
      <c r="N98" s="18">
        <f>IF(A98="","",IF(AND(H98="Sí",I98="Sí",K98&lt;&gt;"Sí"),"Sí","No"))</f>
        <v/>
      </c>
      <c r="O98" s="18">
        <f>IF(S98="","",1+COUNTIFS($N$2:$N$501,"Sí",$S$2:$S$501,"&gt;"&amp;S98))</f>
        <v/>
      </c>
      <c r="P98" s="18">
        <f>IF(A98="","",INDEX(Logros!$A$2:$A$6,MATCH(N(L98),Logros!$C$2:$C$6,1)))</f>
        <v/>
      </c>
      <c r="Q98" s="19" t="n"/>
      <c r="R98" s="18">
        <f>IF(OR(A98="",P98=""),"",IF(P98&gt;N(Q98),"Sí: entregar nivel "&amp;(N(Q98)+1)&amp;IF(P98&gt;N(Q98)+1," al "&amp;P98,"")&amp;" (ver Logros)",""))</f>
        <v/>
      </c>
      <c r="S98" s="20">
        <f>IF(OR(A98="",N98&lt;&gt;"Sí",N(L98)&lt;=0),"",(N(L98)*100000-MAX(0,ROUND((N(M98)-DATE(2026,10,1))*1440,0)))*1000-ROW())</f>
        <v/>
      </c>
    </row>
    <row r="99">
      <c r="A99" s="19" t="n"/>
      <c r="B99" s="19" t="n"/>
      <c r="C99" s="19" t="n"/>
      <c r="D99" s="21" t="n"/>
      <c r="E99" s="19" t="n"/>
      <c r="F99" s="19" t="n"/>
      <c r="G99" s="22" t="n"/>
      <c r="H99" s="19" t="n"/>
      <c r="I99" s="19" t="n"/>
      <c r="J99" s="19" t="n"/>
      <c r="K99" s="19" t="n"/>
      <c r="L99" s="16">
        <f>IF(A99="","",SUMIF(Movimientos!$B$2:$B$3001,A99,Movimientos!$F$2:$F$3001))</f>
        <v/>
      </c>
      <c r="M99" s="17">
        <f>IF(A99="","",IF(COUNTIF(Movimientos!$B$2:$B$3001,A99)=0,"",_xlfn.MAXIFS(Movimientos!$A$2:$A$3001,Movimientos!$B$2:$B$3001,A99)))</f>
        <v/>
      </c>
      <c r="N99" s="18">
        <f>IF(A99="","",IF(AND(H99="Sí",I99="Sí",K99&lt;&gt;"Sí"),"Sí","No"))</f>
        <v/>
      </c>
      <c r="O99" s="18">
        <f>IF(S99="","",1+COUNTIFS($N$2:$N$501,"Sí",$S$2:$S$501,"&gt;"&amp;S99))</f>
        <v/>
      </c>
      <c r="P99" s="18">
        <f>IF(A99="","",INDEX(Logros!$A$2:$A$6,MATCH(N(L99),Logros!$C$2:$C$6,1)))</f>
        <v/>
      </c>
      <c r="Q99" s="19" t="n"/>
      <c r="R99" s="18">
        <f>IF(OR(A99="",P99=""),"",IF(P99&gt;N(Q99),"Sí: entregar nivel "&amp;(N(Q99)+1)&amp;IF(P99&gt;N(Q99)+1," al "&amp;P99,"")&amp;" (ver Logros)",""))</f>
        <v/>
      </c>
      <c r="S99" s="20">
        <f>IF(OR(A99="",N99&lt;&gt;"Sí",N(L99)&lt;=0),"",(N(L99)*100000-MAX(0,ROUND((N(M99)-DATE(2026,10,1))*1440,0)))*1000-ROW())</f>
        <v/>
      </c>
    </row>
    <row r="100">
      <c r="A100" s="19" t="n"/>
      <c r="B100" s="19" t="n"/>
      <c r="C100" s="19" t="n"/>
      <c r="D100" s="21" t="n"/>
      <c r="E100" s="19" t="n"/>
      <c r="F100" s="19" t="n"/>
      <c r="G100" s="22" t="n"/>
      <c r="H100" s="19" t="n"/>
      <c r="I100" s="19" t="n"/>
      <c r="J100" s="19" t="n"/>
      <c r="K100" s="19" t="n"/>
      <c r="L100" s="16">
        <f>IF(A100="","",SUMIF(Movimientos!$B$2:$B$3001,A100,Movimientos!$F$2:$F$3001))</f>
        <v/>
      </c>
      <c r="M100" s="17">
        <f>IF(A100="","",IF(COUNTIF(Movimientos!$B$2:$B$3001,A100)=0,"",_xlfn.MAXIFS(Movimientos!$A$2:$A$3001,Movimientos!$B$2:$B$3001,A100)))</f>
        <v/>
      </c>
      <c r="N100" s="18">
        <f>IF(A100="","",IF(AND(H100="Sí",I100="Sí",K100&lt;&gt;"Sí"),"Sí","No"))</f>
        <v/>
      </c>
      <c r="O100" s="18">
        <f>IF(S100="","",1+COUNTIFS($N$2:$N$501,"Sí",$S$2:$S$501,"&gt;"&amp;S100))</f>
        <v/>
      </c>
      <c r="P100" s="18">
        <f>IF(A100="","",INDEX(Logros!$A$2:$A$6,MATCH(N(L100),Logros!$C$2:$C$6,1)))</f>
        <v/>
      </c>
      <c r="Q100" s="19" t="n"/>
      <c r="R100" s="18">
        <f>IF(OR(A100="",P100=""),"",IF(P100&gt;N(Q100),"Sí: entregar nivel "&amp;(N(Q100)+1)&amp;IF(P100&gt;N(Q100)+1," al "&amp;P100,"")&amp;" (ver Logros)",""))</f>
        <v/>
      </c>
      <c r="S100" s="20">
        <f>IF(OR(A100="",N100&lt;&gt;"Sí",N(L100)&lt;=0),"",(N(L100)*100000-MAX(0,ROUND((N(M100)-DATE(2026,10,1))*1440,0)))*1000-ROW())</f>
        <v/>
      </c>
    </row>
    <row r="101">
      <c r="A101" s="19" t="n"/>
      <c r="B101" s="19" t="n"/>
      <c r="C101" s="19" t="n"/>
      <c r="D101" s="21" t="n"/>
      <c r="E101" s="19" t="n"/>
      <c r="F101" s="19" t="n"/>
      <c r="G101" s="22" t="n"/>
      <c r="H101" s="19" t="n"/>
      <c r="I101" s="19" t="n"/>
      <c r="J101" s="19" t="n"/>
      <c r="K101" s="19" t="n"/>
      <c r="L101" s="16">
        <f>IF(A101="","",SUMIF(Movimientos!$B$2:$B$3001,A101,Movimientos!$F$2:$F$3001))</f>
        <v/>
      </c>
      <c r="M101" s="17">
        <f>IF(A101="","",IF(COUNTIF(Movimientos!$B$2:$B$3001,A101)=0,"",_xlfn.MAXIFS(Movimientos!$A$2:$A$3001,Movimientos!$B$2:$B$3001,A101)))</f>
        <v/>
      </c>
      <c r="N101" s="18">
        <f>IF(A101="","",IF(AND(H101="Sí",I101="Sí",K101&lt;&gt;"Sí"),"Sí","No"))</f>
        <v/>
      </c>
      <c r="O101" s="18">
        <f>IF(S101="","",1+COUNTIFS($N$2:$N$501,"Sí",$S$2:$S$501,"&gt;"&amp;S101))</f>
        <v/>
      </c>
      <c r="P101" s="18">
        <f>IF(A101="","",INDEX(Logros!$A$2:$A$6,MATCH(N(L101),Logros!$C$2:$C$6,1)))</f>
        <v/>
      </c>
      <c r="Q101" s="19" t="n"/>
      <c r="R101" s="18">
        <f>IF(OR(A101="",P101=""),"",IF(P101&gt;N(Q101),"Sí: entregar nivel "&amp;(N(Q101)+1)&amp;IF(P101&gt;N(Q101)+1," al "&amp;P101,"")&amp;" (ver Logros)",""))</f>
        <v/>
      </c>
      <c r="S101" s="20">
        <f>IF(OR(A101="",N101&lt;&gt;"Sí",N(L101)&lt;=0),"",(N(L101)*100000-MAX(0,ROUND((N(M101)-DATE(2026,10,1))*1440,0)))*1000-ROW())</f>
        <v/>
      </c>
    </row>
    <row r="102">
      <c r="A102" s="19" t="n"/>
      <c r="B102" s="19" t="n"/>
      <c r="C102" s="19" t="n"/>
      <c r="D102" s="21" t="n"/>
      <c r="E102" s="19" t="n"/>
      <c r="F102" s="19" t="n"/>
      <c r="G102" s="22" t="n"/>
      <c r="H102" s="19" t="n"/>
      <c r="I102" s="19" t="n"/>
      <c r="J102" s="19" t="n"/>
      <c r="K102" s="19" t="n"/>
      <c r="L102" s="16">
        <f>IF(A102="","",SUMIF(Movimientos!$B$2:$B$3001,A102,Movimientos!$F$2:$F$3001))</f>
        <v/>
      </c>
      <c r="M102" s="17">
        <f>IF(A102="","",IF(COUNTIF(Movimientos!$B$2:$B$3001,A102)=0,"",_xlfn.MAXIFS(Movimientos!$A$2:$A$3001,Movimientos!$B$2:$B$3001,A102)))</f>
        <v/>
      </c>
      <c r="N102" s="18">
        <f>IF(A102="","",IF(AND(H102="Sí",I102="Sí",K102&lt;&gt;"Sí"),"Sí","No"))</f>
        <v/>
      </c>
      <c r="O102" s="18">
        <f>IF(S102="","",1+COUNTIFS($N$2:$N$501,"Sí",$S$2:$S$501,"&gt;"&amp;S102))</f>
        <v/>
      </c>
      <c r="P102" s="18">
        <f>IF(A102="","",INDEX(Logros!$A$2:$A$6,MATCH(N(L102),Logros!$C$2:$C$6,1)))</f>
        <v/>
      </c>
      <c r="Q102" s="19" t="n"/>
      <c r="R102" s="18">
        <f>IF(OR(A102="",P102=""),"",IF(P102&gt;N(Q102),"Sí: entregar nivel "&amp;(N(Q102)+1)&amp;IF(P102&gt;N(Q102)+1," al "&amp;P102,"")&amp;" (ver Logros)",""))</f>
        <v/>
      </c>
      <c r="S102" s="20">
        <f>IF(OR(A102="",N102&lt;&gt;"Sí",N(L102)&lt;=0),"",(N(L102)*100000-MAX(0,ROUND((N(M102)-DATE(2026,10,1))*1440,0)))*1000-ROW())</f>
        <v/>
      </c>
    </row>
    <row r="103">
      <c r="A103" s="19" t="n"/>
      <c r="B103" s="19" t="n"/>
      <c r="C103" s="19" t="n"/>
      <c r="D103" s="21" t="n"/>
      <c r="E103" s="19" t="n"/>
      <c r="F103" s="19" t="n"/>
      <c r="G103" s="22" t="n"/>
      <c r="H103" s="19" t="n"/>
      <c r="I103" s="19" t="n"/>
      <c r="J103" s="19" t="n"/>
      <c r="K103" s="19" t="n"/>
      <c r="L103" s="16">
        <f>IF(A103="","",SUMIF(Movimientos!$B$2:$B$3001,A103,Movimientos!$F$2:$F$3001))</f>
        <v/>
      </c>
      <c r="M103" s="17">
        <f>IF(A103="","",IF(COUNTIF(Movimientos!$B$2:$B$3001,A103)=0,"",_xlfn.MAXIFS(Movimientos!$A$2:$A$3001,Movimientos!$B$2:$B$3001,A103)))</f>
        <v/>
      </c>
      <c r="N103" s="18">
        <f>IF(A103="","",IF(AND(H103="Sí",I103="Sí",K103&lt;&gt;"Sí"),"Sí","No"))</f>
        <v/>
      </c>
      <c r="O103" s="18">
        <f>IF(S103="","",1+COUNTIFS($N$2:$N$501,"Sí",$S$2:$S$501,"&gt;"&amp;S103))</f>
        <v/>
      </c>
      <c r="P103" s="18">
        <f>IF(A103="","",INDEX(Logros!$A$2:$A$6,MATCH(N(L103),Logros!$C$2:$C$6,1)))</f>
        <v/>
      </c>
      <c r="Q103" s="19" t="n"/>
      <c r="R103" s="18">
        <f>IF(OR(A103="",P103=""),"",IF(P103&gt;N(Q103),"Sí: entregar nivel "&amp;(N(Q103)+1)&amp;IF(P103&gt;N(Q103)+1," al "&amp;P103,"")&amp;" (ver Logros)",""))</f>
        <v/>
      </c>
      <c r="S103" s="20">
        <f>IF(OR(A103="",N103&lt;&gt;"Sí",N(L103)&lt;=0),"",(N(L103)*100000-MAX(0,ROUND((N(M103)-DATE(2026,10,1))*1440,0)))*1000-ROW())</f>
        <v/>
      </c>
    </row>
    <row r="104">
      <c r="A104" s="19" t="n"/>
      <c r="B104" s="19" t="n"/>
      <c r="C104" s="19" t="n"/>
      <c r="D104" s="21" t="n"/>
      <c r="E104" s="19" t="n"/>
      <c r="F104" s="19" t="n"/>
      <c r="G104" s="22" t="n"/>
      <c r="H104" s="19" t="n"/>
      <c r="I104" s="19" t="n"/>
      <c r="J104" s="19" t="n"/>
      <c r="K104" s="19" t="n"/>
      <c r="L104" s="16">
        <f>IF(A104="","",SUMIF(Movimientos!$B$2:$B$3001,A104,Movimientos!$F$2:$F$3001))</f>
        <v/>
      </c>
      <c r="M104" s="17">
        <f>IF(A104="","",IF(COUNTIF(Movimientos!$B$2:$B$3001,A104)=0,"",_xlfn.MAXIFS(Movimientos!$A$2:$A$3001,Movimientos!$B$2:$B$3001,A104)))</f>
        <v/>
      </c>
      <c r="N104" s="18">
        <f>IF(A104="","",IF(AND(H104="Sí",I104="Sí",K104&lt;&gt;"Sí"),"Sí","No"))</f>
        <v/>
      </c>
      <c r="O104" s="18">
        <f>IF(S104="","",1+COUNTIFS($N$2:$N$501,"Sí",$S$2:$S$501,"&gt;"&amp;S104))</f>
        <v/>
      </c>
      <c r="P104" s="18">
        <f>IF(A104="","",INDEX(Logros!$A$2:$A$6,MATCH(N(L104),Logros!$C$2:$C$6,1)))</f>
        <v/>
      </c>
      <c r="Q104" s="19" t="n"/>
      <c r="R104" s="18">
        <f>IF(OR(A104="",P104=""),"",IF(P104&gt;N(Q104),"Sí: entregar nivel "&amp;(N(Q104)+1)&amp;IF(P104&gt;N(Q104)+1," al "&amp;P104,"")&amp;" (ver Logros)",""))</f>
        <v/>
      </c>
      <c r="S104" s="20">
        <f>IF(OR(A104="",N104&lt;&gt;"Sí",N(L104)&lt;=0),"",(N(L104)*100000-MAX(0,ROUND((N(M104)-DATE(2026,10,1))*1440,0)))*1000-ROW())</f>
        <v/>
      </c>
    </row>
    <row r="105">
      <c r="A105" s="19" t="n"/>
      <c r="B105" s="19" t="n"/>
      <c r="C105" s="19" t="n"/>
      <c r="D105" s="21" t="n"/>
      <c r="E105" s="19" t="n"/>
      <c r="F105" s="19" t="n"/>
      <c r="G105" s="22" t="n"/>
      <c r="H105" s="19" t="n"/>
      <c r="I105" s="19" t="n"/>
      <c r="J105" s="19" t="n"/>
      <c r="K105" s="19" t="n"/>
      <c r="L105" s="16">
        <f>IF(A105="","",SUMIF(Movimientos!$B$2:$B$3001,A105,Movimientos!$F$2:$F$3001))</f>
        <v/>
      </c>
      <c r="M105" s="17">
        <f>IF(A105="","",IF(COUNTIF(Movimientos!$B$2:$B$3001,A105)=0,"",_xlfn.MAXIFS(Movimientos!$A$2:$A$3001,Movimientos!$B$2:$B$3001,A105)))</f>
        <v/>
      </c>
      <c r="N105" s="18">
        <f>IF(A105="","",IF(AND(H105="Sí",I105="Sí",K105&lt;&gt;"Sí"),"Sí","No"))</f>
        <v/>
      </c>
      <c r="O105" s="18">
        <f>IF(S105="","",1+COUNTIFS($N$2:$N$501,"Sí",$S$2:$S$501,"&gt;"&amp;S105))</f>
        <v/>
      </c>
      <c r="P105" s="18">
        <f>IF(A105="","",INDEX(Logros!$A$2:$A$6,MATCH(N(L105),Logros!$C$2:$C$6,1)))</f>
        <v/>
      </c>
      <c r="Q105" s="19" t="n"/>
      <c r="R105" s="18">
        <f>IF(OR(A105="",P105=""),"",IF(P105&gt;N(Q105),"Sí: entregar nivel "&amp;(N(Q105)+1)&amp;IF(P105&gt;N(Q105)+1," al "&amp;P105,"")&amp;" (ver Logros)",""))</f>
        <v/>
      </c>
      <c r="S105" s="20">
        <f>IF(OR(A105="",N105&lt;&gt;"Sí",N(L105)&lt;=0),"",(N(L105)*100000-MAX(0,ROUND((N(M105)-DATE(2026,10,1))*1440,0)))*1000-ROW())</f>
        <v/>
      </c>
    </row>
    <row r="106">
      <c r="A106" s="19" t="n"/>
      <c r="B106" s="19" t="n"/>
      <c r="C106" s="19" t="n"/>
      <c r="D106" s="21" t="n"/>
      <c r="E106" s="19" t="n"/>
      <c r="F106" s="19" t="n"/>
      <c r="G106" s="22" t="n"/>
      <c r="H106" s="19" t="n"/>
      <c r="I106" s="19" t="n"/>
      <c r="J106" s="19" t="n"/>
      <c r="K106" s="19" t="n"/>
      <c r="L106" s="16">
        <f>IF(A106="","",SUMIF(Movimientos!$B$2:$B$3001,A106,Movimientos!$F$2:$F$3001))</f>
        <v/>
      </c>
      <c r="M106" s="17">
        <f>IF(A106="","",IF(COUNTIF(Movimientos!$B$2:$B$3001,A106)=0,"",_xlfn.MAXIFS(Movimientos!$A$2:$A$3001,Movimientos!$B$2:$B$3001,A106)))</f>
        <v/>
      </c>
      <c r="N106" s="18">
        <f>IF(A106="","",IF(AND(H106="Sí",I106="Sí",K106&lt;&gt;"Sí"),"Sí","No"))</f>
        <v/>
      </c>
      <c r="O106" s="18">
        <f>IF(S106="","",1+COUNTIFS($N$2:$N$501,"Sí",$S$2:$S$501,"&gt;"&amp;S106))</f>
        <v/>
      </c>
      <c r="P106" s="18">
        <f>IF(A106="","",INDEX(Logros!$A$2:$A$6,MATCH(N(L106),Logros!$C$2:$C$6,1)))</f>
        <v/>
      </c>
      <c r="Q106" s="19" t="n"/>
      <c r="R106" s="18">
        <f>IF(OR(A106="",P106=""),"",IF(P106&gt;N(Q106),"Sí: entregar nivel "&amp;(N(Q106)+1)&amp;IF(P106&gt;N(Q106)+1," al "&amp;P106,"")&amp;" (ver Logros)",""))</f>
        <v/>
      </c>
      <c r="S106" s="20">
        <f>IF(OR(A106="",N106&lt;&gt;"Sí",N(L106)&lt;=0),"",(N(L106)*100000-MAX(0,ROUND((N(M106)-DATE(2026,10,1))*1440,0)))*1000-ROW())</f>
        <v/>
      </c>
    </row>
    <row r="107">
      <c r="A107" s="19" t="n"/>
      <c r="B107" s="19" t="n"/>
      <c r="C107" s="19" t="n"/>
      <c r="D107" s="21" t="n"/>
      <c r="E107" s="19" t="n"/>
      <c r="F107" s="19" t="n"/>
      <c r="G107" s="22" t="n"/>
      <c r="H107" s="19" t="n"/>
      <c r="I107" s="19" t="n"/>
      <c r="J107" s="19" t="n"/>
      <c r="K107" s="19" t="n"/>
      <c r="L107" s="16">
        <f>IF(A107="","",SUMIF(Movimientos!$B$2:$B$3001,A107,Movimientos!$F$2:$F$3001))</f>
        <v/>
      </c>
      <c r="M107" s="17">
        <f>IF(A107="","",IF(COUNTIF(Movimientos!$B$2:$B$3001,A107)=0,"",_xlfn.MAXIFS(Movimientos!$A$2:$A$3001,Movimientos!$B$2:$B$3001,A107)))</f>
        <v/>
      </c>
      <c r="N107" s="18">
        <f>IF(A107="","",IF(AND(H107="Sí",I107="Sí",K107&lt;&gt;"Sí"),"Sí","No"))</f>
        <v/>
      </c>
      <c r="O107" s="18">
        <f>IF(S107="","",1+COUNTIFS($N$2:$N$501,"Sí",$S$2:$S$501,"&gt;"&amp;S107))</f>
        <v/>
      </c>
      <c r="P107" s="18">
        <f>IF(A107="","",INDEX(Logros!$A$2:$A$6,MATCH(N(L107),Logros!$C$2:$C$6,1)))</f>
        <v/>
      </c>
      <c r="Q107" s="19" t="n"/>
      <c r="R107" s="18">
        <f>IF(OR(A107="",P107=""),"",IF(P107&gt;N(Q107),"Sí: entregar nivel "&amp;(N(Q107)+1)&amp;IF(P107&gt;N(Q107)+1," al "&amp;P107,"")&amp;" (ver Logros)",""))</f>
        <v/>
      </c>
      <c r="S107" s="20">
        <f>IF(OR(A107="",N107&lt;&gt;"Sí",N(L107)&lt;=0),"",(N(L107)*100000-MAX(0,ROUND((N(M107)-DATE(2026,10,1))*1440,0)))*1000-ROW())</f>
        <v/>
      </c>
    </row>
    <row r="108">
      <c r="A108" s="19" t="n"/>
      <c r="B108" s="19" t="n"/>
      <c r="C108" s="19" t="n"/>
      <c r="D108" s="21" t="n"/>
      <c r="E108" s="19" t="n"/>
      <c r="F108" s="19" t="n"/>
      <c r="G108" s="22" t="n"/>
      <c r="H108" s="19" t="n"/>
      <c r="I108" s="19" t="n"/>
      <c r="J108" s="19" t="n"/>
      <c r="K108" s="19" t="n"/>
      <c r="L108" s="16">
        <f>IF(A108="","",SUMIF(Movimientos!$B$2:$B$3001,A108,Movimientos!$F$2:$F$3001))</f>
        <v/>
      </c>
      <c r="M108" s="17">
        <f>IF(A108="","",IF(COUNTIF(Movimientos!$B$2:$B$3001,A108)=0,"",_xlfn.MAXIFS(Movimientos!$A$2:$A$3001,Movimientos!$B$2:$B$3001,A108)))</f>
        <v/>
      </c>
      <c r="N108" s="18">
        <f>IF(A108="","",IF(AND(H108="Sí",I108="Sí",K108&lt;&gt;"Sí"),"Sí","No"))</f>
        <v/>
      </c>
      <c r="O108" s="18">
        <f>IF(S108="","",1+COUNTIFS($N$2:$N$501,"Sí",$S$2:$S$501,"&gt;"&amp;S108))</f>
        <v/>
      </c>
      <c r="P108" s="18">
        <f>IF(A108="","",INDEX(Logros!$A$2:$A$6,MATCH(N(L108),Logros!$C$2:$C$6,1)))</f>
        <v/>
      </c>
      <c r="Q108" s="19" t="n"/>
      <c r="R108" s="18">
        <f>IF(OR(A108="",P108=""),"",IF(P108&gt;N(Q108),"Sí: entregar nivel "&amp;(N(Q108)+1)&amp;IF(P108&gt;N(Q108)+1," al "&amp;P108,"")&amp;" (ver Logros)",""))</f>
        <v/>
      </c>
      <c r="S108" s="20">
        <f>IF(OR(A108="",N108&lt;&gt;"Sí",N(L108)&lt;=0),"",(N(L108)*100000-MAX(0,ROUND((N(M108)-DATE(2026,10,1))*1440,0)))*1000-ROW())</f>
        <v/>
      </c>
    </row>
    <row r="109">
      <c r="A109" s="19" t="n"/>
      <c r="B109" s="19" t="n"/>
      <c r="C109" s="19" t="n"/>
      <c r="D109" s="21" t="n"/>
      <c r="E109" s="19" t="n"/>
      <c r="F109" s="19" t="n"/>
      <c r="G109" s="22" t="n"/>
      <c r="H109" s="19" t="n"/>
      <c r="I109" s="19" t="n"/>
      <c r="J109" s="19" t="n"/>
      <c r="K109" s="19" t="n"/>
      <c r="L109" s="16">
        <f>IF(A109="","",SUMIF(Movimientos!$B$2:$B$3001,A109,Movimientos!$F$2:$F$3001))</f>
        <v/>
      </c>
      <c r="M109" s="17">
        <f>IF(A109="","",IF(COUNTIF(Movimientos!$B$2:$B$3001,A109)=0,"",_xlfn.MAXIFS(Movimientos!$A$2:$A$3001,Movimientos!$B$2:$B$3001,A109)))</f>
        <v/>
      </c>
      <c r="N109" s="18">
        <f>IF(A109="","",IF(AND(H109="Sí",I109="Sí",K109&lt;&gt;"Sí"),"Sí","No"))</f>
        <v/>
      </c>
      <c r="O109" s="18">
        <f>IF(S109="","",1+COUNTIFS($N$2:$N$501,"Sí",$S$2:$S$501,"&gt;"&amp;S109))</f>
        <v/>
      </c>
      <c r="P109" s="18">
        <f>IF(A109="","",INDEX(Logros!$A$2:$A$6,MATCH(N(L109),Logros!$C$2:$C$6,1)))</f>
        <v/>
      </c>
      <c r="Q109" s="19" t="n"/>
      <c r="R109" s="18">
        <f>IF(OR(A109="",P109=""),"",IF(P109&gt;N(Q109),"Sí: entregar nivel "&amp;(N(Q109)+1)&amp;IF(P109&gt;N(Q109)+1," al "&amp;P109,"")&amp;" (ver Logros)",""))</f>
        <v/>
      </c>
      <c r="S109" s="20">
        <f>IF(OR(A109="",N109&lt;&gt;"Sí",N(L109)&lt;=0),"",(N(L109)*100000-MAX(0,ROUND((N(M109)-DATE(2026,10,1))*1440,0)))*1000-ROW())</f>
        <v/>
      </c>
    </row>
    <row r="110">
      <c r="A110" s="19" t="n"/>
      <c r="B110" s="19" t="n"/>
      <c r="C110" s="19" t="n"/>
      <c r="D110" s="21" t="n"/>
      <c r="E110" s="19" t="n"/>
      <c r="F110" s="19" t="n"/>
      <c r="G110" s="22" t="n"/>
      <c r="H110" s="19" t="n"/>
      <c r="I110" s="19" t="n"/>
      <c r="J110" s="19" t="n"/>
      <c r="K110" s="19" t="n"/>
      <c r="L110" s="16">
        <f>IF(A110="","",SUMIF(Movimientos!$B$2:$B$3001,A110,Movimientos!$F$2:$F$3001))</f>
        <v/>
      </c>
      <c r="M110" s="17">
        <f>IF(A110="","",IF(COUNTIF(Movimientos!$B$2:$B$3001,A110)=0,"",_xlfn.MAXIFS(Movimientos!$A$2:$A$3001,Movimientos!$B$2:$B$3001,A110)))</f>
        <v/>
      </c>
      <c r="N110" s="18">
        <f>IF(A110="","",IF(AND(H110="Sí",I110="Sí",K110&lt;&gt;"Sí"),"Sí","No"))</f>
        <v/>
      </c>
      <c r="O110" s="18">
        <f>IF(S110="","",1+COUNTIFS($N$2:$N$501,"Sí",$S$2:$S$501,"&gt;"&amp;S110))</f>
        <v/>
      </c>
      <c r="P110" s="18">
        <f>IF(A110="","",INDEX(Logros!$A$2:$A$6,MATCH(N(L110),Logros!$C$2:$C$6,1)))</f>
        <v/>
      </c>
      <c r="Q110" s="19" t="n"/>
      <c r="R110" s="18">
        <f>IF(OR(A110="",P110=""),"",IF(P110&gt;N(Q110),"Sí: entregar nivel "&amp;(N(Q110)+1)&amp;IF(P110&gt;N(Q110)+1," al "&amp;P110,"")&amp;" (ver Logros)",""))</f>
        <v/>
      </c>
      <c r="S110" s="20">
        <f>IF(OR(A110="",N110&lt;&gt;"Sí",N(L110)&lt;=0),"",(N(L110)*100000-MAX(0,ROUND((N(M110)-DATE(2026,10,1))*1440,0)))*1000-ROW())</f>
        <v/>
      </c>
    </row>
    <row r="111">
      <c r="A111" s="19" t="n"/>
      <c r="B111" s="19" t="n"/>
      <c r="C111" s="19" t="n"/>
      <c r="D111" s="21" t="n"/>
      <c r="E111" s="19" t="n"/>
      <c r="F111" s="19" t="n"/>
      <c r="G111" s="22" t="n"/>
      <c r="H111" s="19" t="n"/>
      <c r="I111" s="19" t="n"/>
      <c r="J111" s="19" t="n"/>
      <c r="K111" s="19" t="n"/>
      <c r="L111" s="16">
        <f>IF(A111="","",SUMIF(Movimientos!$B$2:$B$3001,A111,Movimientos!$F$2:$F$3001))</f>
        <v/>
      </c>
      <c r="M111" s="17">
        <f>IF(A111="","",IF(COUNTIF(Movimientos!$B$2:$B$3001,A111)=0,"",_xlfn.MAXIFS(Movimientos!$A$2:$A$3001,Movimientos!$B$2:$B$3001,A111)))</f>
        <v/>
      </c>
      <c r="N111" s="18">
        <f>IF(A111="","",IF(AND(H111="Sí",I111="Sí",K111&lt;&gt;"Sí"),"Sí","No"))</f>
        <v/>
      </c>
      <c r="O111" s="18">
        <f>IF(S111="","",1+COUNTIFS($N$2:$N$501,"Sí",$S$2:$S$501,"&gt;"&amp;S111))</f>
        <v/>
      </c>
      <c r="P111" s="18">
        <f>IF(A111="","",INDEX(Logros!$A$2:$A$6,MATCH(N(L111),Logros!$C$2:$C$6,1)))</f>
        <v/>
      </c>
      <c r="Q111" s="19" t="n"/>
      <c r="R111" s="18">
        <f>IF(OR(A111="",P111=""),"",IF(P111&gt;N(Q111),"Sí: entregar nivel "&amp;(N(Q111)+1)&amp;IF(P111&gt;N(Q111)+1," al "&amp;P111,"")&amp;" (ver Logros)",""))</f>
        <v/>
      </c>
      <c r="S111" s="20">
        <f>IF(OR(A111="",N111&lt;&gt;"Sí",N(L111)&lt;=0),"",(N(L111)*100000-MAX(0,ROUND((N(M111)-DATE(2026,10,1))*1440,0)))*1000-ROW())</f>
        <v/>
      </c>
    </row>
    <row r="112">
      <c r="A112" s="19" t="n"/>
      <c r="B112" s="19" t="n"/>
      <c r="C112" s="19" t="n"/>
      <c r="D112" s="21" t="n"/>
      <c r="E112" s="19" t="n"/>
      <c r="F112" s="19" t="n"/>
      <c r="G112" s="22" t="n"/>
      <c r="H112" s="19" t="n"/>
      <c r="I112" s="19" t="n"/>
      <c r="J112" s="19" t="n"/>
      <c r="K112" s="19" t="n"/>
      <c r="L112" s="16">
        <f>IF(A112="","",SUMIF(Movimientos!$B$2:$B$3001,A112,Movimientos!$F$2:$F$3001))</f>
        <v/>
      </c>
      <c r="M112" s="17">
        <f>IF(A112="","",IF(COUNTIF(Movimientos!$B$2:$B$3001,A112)=0,"",_xlfn.MAXIFS(Movimientos!$A$2:$A$3001,Movimientos!$B$2:$B$3001,A112)))</f>
        <v/>
      </c>
      <c r="N112" s="18">
        <f>IF(A112="","",IF(AND(H112="Sí",I112="Sí",K112&lt;&gt;"Sí"),"Sí","No"))</f>
        <v/>
      </c>
      <c r="O112" s="18">
        <f>IF(S112="","",1+COUNTIFS($N$2:$N$501,"Sí",$S$2:$S$501,"&gt;"&amp;S112))</f>
        <v/>
      </c>
      <c r="P112" s="18">
        <f>IF(A112="","",INDEX(Logros!$A$2:$A$6,MATCH(N(L112),Logros!$C$2:$C$6,1)))</f>
        <v/>
      </c>
      <c r="Q112" s="19" t="n"/>
      <c r="R112" s="18">
        <f>IF(OR(A112="",P112=""),"",IF(P112&gt;N(Q112),"Sí: entregar nivel "&amp;(N(Q112)+1)&amp;IF(P112&gt;N(Q112)+1," al "&amp;P112,"")&amp;" (ver Logros)",""))</f>
        <v/>
      </c>
      <c r="S112" s="20">
        <f>IF(OR(A112="",N112&lt;&gt;"Sí",N(L112)&lt;=0),"",(N(L112)*100000-MAX(0,ROUND((N(M112)-DATE(2026,10,1))*1440,0)))*1000-ROW())</f>
        <v/>
      </c>
    </row>
    <row r="113">
      <c r="A113" s="19" t="n"/>
      <c r="B113" s="19" t="n"/>
      <c r="C113" s="19" t="n"/>
      <c r="D113" s="21" t="n"/>
      <c r="E113" s="19" t="n"/>
      <c r="F113" s="19" t="n"/>
      <c r="G113" s="22" t="n"/>
      <c r="H113" s="19" t="n"/>
      <c r="I113" s="19" t="n"/>
      <c r="J113" s="19" t="n"/>
      <c r="K113" s="19" t="n"/>
      <c r="L113" s="16">
        <f>IF(A113="","",SUMIF(Movimientos!$B$2:$B$3001,A113,Movimientos!$F$2:$F$3001))</f>
        <v/>
      </c>
      <c r="M113" s="17">
        <f>IF(A113="","",IF(COUNTIF(Movimientos!$B$2:$B$3001,A113)=0,"",_xlfn.MAXIFS(Movimientos!$A$2:$A$3001,Movimientos!$B$2:$B$3001,A113)))</f>
        <v/>
      </c>
      <c r="N113" s="18">
        <f>IF(A113="","",IF(AND(H113="Sí",I113="Sí",K113&lt;&gt;"Sí"),"Sí","No"))</f>
        <v/>
      </c>
      <c r="O113" s="18">
        <f>IF(S113="","",1+COUNTIFS($N$2:$N$501,"Sí",$S$2:$S$501,"&gt;"&amp;S113))</f>
        <v/>
      </c>
      <c r="P113" s="18">
        <f>IF(A113="","",INDEX(Logros!$A$2:$A$6,MATCH(N(L113),Logros!$C$2:$C$6,1)))</f>
        <v/>
      </c>
      <c r="Q113" s="19" t="n"/>
      <c r="R113" s="18">
        <f>IF(OR(A113="",P113=""),"",IF(P113&gt;N(Q113),"Sí: entregar nivel "&amp;(N(Q113)+1)&amp;IF(P113&gt;N(Q113)+1," al "&amp;P113,"")&amp;" (ver Logros)",""))</f>
        <v/>
      </c>
      <c r="S113" s="20">
        <f>IF(OR(A113="",N113&lt;&gt;"Sí",N(L113)&lt;=0),"",(N(L113)*100000-MAX(0,ROUND((N(M113)-DATE(2026,10,1))*1440,0)))*1000-ROW())</f>
        <v/>
      </c>
    </row>
    <row r="114">
      <c r="A114" s="19" t="n"/>
      <c r="B114" s="19" t="n"/>
      <c r="C114" s="19" t="n"/>
      <c r="D114" s="21" t="n"/>
      <c r="E114" s="19" t="n"/>
      <c r="F114" s="19" t="n"/>
      <c r="G114" s="22" t="n"/>
      <c r="H114" s="19" t="n"/>
      <c r="I114" s="19" t="n"/>
      <c r="J114" s="19" t="n"/>
      <c r="K114" s="19" t="n"/>
      <c r="L114" s="16">
        <f>IF(A114="","",SUMIF(Movimientos!$B$2:$B$3001,A114,Movimientos!$F$2:$F$3001))</f>
        <v/>
      </c>
      <c r="M114" s="17">
        <f>IF(A114="","",IF(COUNTIF(Movimientos!$B$2:$B$3001,A114)=0,"",_xlfn.MAXIFS(Movimientos!$A$2:$A$3001,Movimientos!$B$2:$B$3001,A114)))</f>
        <v/>
      </c>
      <c r="N114" s="18">
        <f>IF(A114="","",IF(AND(H114="Sí",I114="Sí",K114&lt;&gt;"Sí"),"Sí","No"))</f>
        <v/>
      </c>
      <c r="O114" s="18">
        <f>IF(S114="","",1+COUNTIFS($N$2:$N$501,"Sí",$S$2:$S$501,"&gt;"&amp;S114))</f>
        <v/>
      </c>
      <c r="P114" s="18">
        <f>IF(A114="","",INDEX(Logros!$A$2:$A$6,MATCH(N(L114),Logros!$C$2:$C$6,1)))</f>
        <v/>
      </c>
      <c r="Q114" s="19" t="n"/>
      <c r="R114" s="18">
        <f>IF(OR(A114="",P114=""),"",IF(P114&gt;N(Q114),"Sí: entregar nivel "&amp;(N(Q114)+1)&amp;IF(P114&gt;N(Q114)+1," al "&amp;P114,"")&amp;" (ver Logros)",""))</f>
        <v/>
      </c>
      <c r="S114" s="20">
        <f>IF(OR(A114="",N114&lt;&gt;"Sí",N(L114)&lt;=0),"",(N(L114)*100000-MAX(0,ROUND((N(M114)-DATE(2026,10,1))*1440,0)))*1000-ROW())</f>
        <v/>
      </c>
    </row>
    <row r="115">
      <c r="A115" s="19" t="n"/>
      <c r="B115" s="19" t="n"/>
      <c r="C115" s="19" t="n"/>
      <c r="D115" s="21" t="n"/>
      <c r="E115" s="19" t="n"/>
      <c r="F115" s="19" t="n"/>
      <c r="G115" s="22" t="n"/>
      <c r="H115" s="19" t="n"/>
      <c r="I115" s="19" t="n"/>
      <c r="J115" s="19" t="n"/>
      <c r="K115" s="19" t="n"/>
      <c r="L115" s="16">
        <f>IF(A115="","",SUMIF(Movimientos!$B$2:$B$3001,A115,Movimientos!$F$2:$F$3001))</f>
        <v/>
      </c>
      <c r="M115" s="17">
        <f>IF(A115="","",IF(COUNTIF(Movimientos!$B$2:$B$3001,A115)=0,"",_xlfn.MAXIFS(Movimientos!$A$2:$A$3001,Movimientos!$B$2:$B$3001,A115)))</f>
        <v/>
      </c>
      <c r="N115" s="18">
        <f>IF(A115="","",IF(AND(H115="Sí",I115="Sí",K115&lt;&gt;"Sí"),"Sí","No"))</f>
        <v/>
      </c>
      <c r="O115" s="18">
        <f>IF(S115="","",1+COUNTIFS($N$2:$N$501,"Sí",$S$2:$S$501,"&gt;"&amp;S115))</f>
        <v/>
      </c>
      <c r="P115" s="18">
        <f>IF(A115="","",INDEX(Logros!$A$2:$A$6,MATCH(N(L115),Logros!$C$2:$C$6,1)))</f>
        <v/>
      </c>
      <c r="Q115" s="19" t="n"/>
      <c r="R115" s="18">
        <f>IF(OR(A115="",P115=""),"",IF(P115&gt;N(Q115),"Sí: entregar nivel "&amp;(N(Q115)+1)&amp;IF(P115&gt;N(Q115)+1," al "&amp;P115,"")&amp;" (ver Logros)",""))</f>
        <v/>
      </c>
      <c r="S115" s="20">
        <f>IF(OR(A115="",N115&lt;&gt;"Sí",N(L115)&lt;=0),"",(N(L115)*100000-MAX(0,ROUND((N(M115)-DATE(2026,10,1))*1440,0)))*1000-ROW())</f>
        <v/>
      </c>
    </row>
    <row r="116">
      <c r="A116" s="19" t="n"/>
      <c r="B116" s="19" t="n"/>
      <c r="C116" s="19" t="n"/>
      <c r="D116" s="21" t="n"/>
      <c r="E116" s="19" t="n"/>
      <c r="F116" s="19" t="n"/>
      <c r="G116" s="22" t="n"/>
      <c r="H116" s="19" t="n"/>
      <c r="I116" s="19" t="n"/>
      <c r="J116" s="19" t="n"/>
      <c r="K116" s="19" t="n"/>
      <c r="L116" s="16">
        <f>IF(A116="","",SUMIF(Movimientos!$B$2:$B$3001,A116,Movimientos!$F$2:$F$3001))</f>
        <v/>
      </c>
      <c r="M116" s="17">
        <f>IF(A116="","",IF(COUNTIF(Movimientos!$B$2:$B$3001,A116)=0,"",_xlfn.MAXIFS(Movimientos!$A$2:$A$3001,Movimientos!$B$2:$B$3001,A116)))</f>
        <v/>
      </c>
      <c r="N116" s="18">
        <f>IF(A116="","",IF(AND(H116="Sí",I116="Sí",K116&lt;&gt;"Sí"),"Sí","No"))</f>
        <v/>
      </c>
      <c r="O116" s="18">
        <f>IF(S116="","",1+COUNTIFS($N$2:$N$501,"Sí",$S$2:$S$501,"&gt;"&amp;S116))</f>
        <v/>
      </c>
      <c r="P116" s="18">
        <f>IF(A116="","",INDEX(Logros!$A$2:$A$6,MATCH(N(L116),Logros!$C$2:$C$6,1)))</f>
        <v/>
      </c>
      <c r="Q116" s="19" t="n"/>
      <c r="R116" s="18">
        <f>IF(OR(A116="",P116=""),"",IF(P116&gt;N(Q116),"Sí: entregar nivel "&amp;(N(Q116)+1)&amp;IF(P116&gt;N(Q116)+1," al "&amp;P116,"")&amp;" (ver Logros)",""))</f>
        <v/>
      </c>
      <c r="S116" s="20">
        <f>IF(OR(A116="",N116&lt;&gt;"Sí",N(L116)&lt;=0),"",(N(L116)*100000-MAX(0,ROUND((N(M116)-DATE(2026,10,1))*1440,0)))*1000-ROW())</f>
        <v/>
      </c>
    </row>
    <row r="117">
      <c r="A117" s="19" t="n"/>
      <c r="B117" s="19" t="n"/>
      <c r="C117" s="19" t="n"/>
      <c r="D117" s="21" t="n"/>
      <c r="E117" s="19" t="n"/>
      <c r="F117" s="19" t="n"/>
      <c r="G117" s="22" t="n"/>
      <c r="H117" s="19" t="n"/>
      <c r="I117" s="19" t="n"/>
      <c r="J117" s="19" t="n"/>
      <c r="K117" s="19" t="n"/>
      <c r="L117" s="16">
        <f>IF(A117="","",SUMIF(Movimientos!$B$2:$B$3001,A117,Movimientos!$F$2:$F$3001))</f>
        <v/>
      </c>
      <c r="M117" s="17">
        <f>IF(A117="","",IF(COUNTIF(Movimientos!$B$2:$B$3001,A117)=0,"",_xlfn.MAXIFS(Movimientos!$A$2:$A$3001,Movimientos!$B$2:$B$3001,A117)))</f>
        <v/>
      </c>
      <c r="N117" s="18">
        <f>IF(A117="","",IF(AND(H117="Sí",I117="Sí",K117&lt;&gt;"Sí"),"Sí","No"))</f>
        <v/>
      </c>
      <c r="O117" s="18">
        <f>IF(S117="","",1+COUNTIFS($N$2:$N$501,"Sí",$S$2:$S$501,"&gt;"&amp;S117))</f>
        <v/>
      </c>
      <c r="P117" s="18">
        <f>IF(A117="","",INDEX(Logros!$A$2:$A$6,MATCH(N(L117),Logros!$C$2:$C$6,1)))</f>
        <v/>
      </c>
      <c r="Q117" s="19" t="n"/>
      <c r="R117" s="18">
        <f>IF(OR(A117="",P117=""),"",IF(P117&gt;N(Q117),"Sí: entregar nivel "&amp;(N(Q117)+1)&amp;IF(P117&gt;N(Q117)+1," al "&amp;P117,"")&amp;" (ver Logros)",""))</f>
        <v/>
      </c>
      <c r="S117" s="20">
        <f>IF(OR(A117="",N117&lt;&gt;"Sí",N(L117)&lt;=0),"",(N(L117)*100000-MAX(0,ROUND((N(M117)-DATE(2026,10,1))*1440,0)))*1000-ROW())</f>
        <v/>
      </c>
    </row>
    <row r="118">
      <c r="A118" s="19" t="n"/>
      <c r="B118" s="19" t="n"/>
      <c r="C118" s="19" t="n"/>
      <c r="D118" s="21" t="n"/>
      <c r="E118" s="19" t="n"/>
      <c r="F118" s="19" t="n"/>
      <c r="G118" s="22" t="n"/>
      <c r="H118" s="19" t="n"/>
      <c r="I118" s="19" t="n"/>
      <c r="J118" s="19" t="n"/>
      <c r="K118" s="19" t="n"/>
      <c r="L118" s="16">
        <f>IF(A118="","",SUMIF(Movimientos!$B$2:$B$3001,A118,Movimientos!$F$2:$F$3001))</f>
        <v/>
      </c>
      <c r="M118" s="17">
        <f>IF(A118="","",IF(COUNTIF(Movimientos!$B$2:$B$3001,A118)=0,"",_xlfn.MAXIFS(Movimientos!$A$2:$A$3001,Movimientos!$B$2:$B$3001,A118)))</f>
        <v/>
      </c>
      <c r="N118" s="18">
        <f>IF(A118="","",IF(AND(H118="Sí",I118="Sí",K118&lt;&gt;"Sí"),"Sí","No"))</f>
        <v/>
      </c>
      <c r="O118" s="18">
        <f>IF(S118="","",1+COUNTIFS($N$2:$N$501,"Sí",$S$2:$S$501,"&gt;"&amp;S118))</f>
        <v/>
      </c>
      <c r="P118" s="18">
        <f>IF(A118="","",INDEX(Logros!$A$2:$A$6,MATCH(N(L118),Logros!$C$2:$C$6,1)))</f>
        <v/>
      </c>
      <c r="Q118" s="19" t="n"/>
      <c r="R118" s="18">
        <f>IF(OR(A118="",P118=""),"",IF(P118&gt;N(Q118),"Sí: entregar nivel "&amp;(N(Q118)+1)&amp;IF(P118&gt;N(Q118)+1," al "&amp;P118,"")&amp;" (ver Logros)",""))</f>
        <v/>
      </c>
      <c r="S118" s="20">
        <f>IF(OR(A118="",N118&lt;&gt;"Sí",N(L118)&lt;=0),"",(N(L118)*100000-MAX(0,ROUND((N(M118)-DATE(2026,10,1))*1440,0)))*1000-ROW())</f>
        <v/>
      </c>
    </row>
    <row r="119">
      <c r="A119" s="19" t="n"/>
      <c r="B119" s="19" t="n"/>
      <c r="C119" s="19" t="n"/>
      <c r="D119" s="21" t="n"/>
      <c r="E119" s="19" t="n"/>
      <c r="F119" s="19" t="n"/>
      <c r="G119" s="22" t="n"/>
      <c r="H119" s="19" t="n"/>
      <c r="I119" s="19" t="n"/>
      <c r="J119" s="19" t="n"/>
      <c r="K119" s="19" t="n"/>
      <c r="L119" s="16">
        <f>IF(A119="","",SUMIF(Movimientos!$B$2:$B$3001,A119,Movimientos!$F$2:$F$3001))</f>
        <v/>
      </c>
      <c r="M119" s="17">
        <f>IF(A119="","",IF(COUNTIF(Movimientos!$B$2:$B$3001,A119)=0,"",_xlfn.MAXIFS(Movimientos!$A$2:$A$3001,Movimientos!$B$2:$B$3001,A119)))</f>
        <v/>
      </c>
      <c r="N119" s="18">
        <f>IF(A119="","",IF(AND(H119="Sí",I119="Sí",K119&lt;&gt;"Sí"),"Sí","No"))</f>
        <v/>
      </c>
      <c r="O119" s="18">
        <f>IF(S119="","",1+COUNTIFS($N$2:$N$501,"Sí",$S$2:$S$501,"&gt;"&amp;S119))</f>
        <v/>
      </c>
      <c r="P119" s="18">
        <f>IF(A119="","",INDEX(Logros!$A$2:$A$6,MATCH(N(L119),Logros!$C$2:$C$6,1)))</f>
        <v/>
      </c>
      <c r="Q119" s="19" t="n"/>
      <c r="R119" s="18">
        <f>IF(OR(A119="",P119=""),"",IF(P119&gt;N(Q119),"Sí: entregar nivel "&amp;(N(Q119)+1)&amp;IF(P119&gt;N(Q119)+1," al "&amp;P119,"")&amp;" (ver Logros)",""))</f>
        <v/>
      </c>
      <c r="S119" s="20">
        <f>IF(OR(A119="",N119&lt;&gt;"Sí",N(L119)&lt;=0),"",(N(L119)*100000-MAX(0,ROUND((N(M119)-DATE(2026,10,1))*1440,0)))*1000-ROW())</f>
        <v/>
      </c>
    </row>
    <row r="120">
      <c r="A120" s="19" t="n"/>
      <c r="B120" s="19" t="n"/>
      <c r="C120" s="19" t="n"/>
      <c r="D120" s="21" t="n"/>
      <c r="E120" s="19" t="n"/>
      <c r="F120" s="19" t="n"/>
      <c r="G120" s="22" t="n"/>
      <c r="H120" s="19" t="n"/>
      <c r="I120" s="19" t="n"/>
      <c r="J120" s="19" t="n"/>
      <c r="K120" s="19" t="n"/>
      <c r="L120" s="16">
        <f>IF(A120="","",SUMIF(Movimientos!$B$2:$B$3001,A120,Movimientos!$F$2:$F$3001))</f>
        <v/>
      </c>
      <c r="M120" s="17">
        <f>IF(A120="","",IF(COUNTIF(Movimientos!$B$2:$B$3001,A120)=0,"",_xlfn.MAXIFS(Movimientos!$A$2:$A$3001,Movimientos!$B$2:$B$3001,A120)))</f>
        <v/>
      </c>
      <c r="N120" s="18">
        <f>IF(A120="","",IF(AND(H120="Sí",I120="Sí",K120&lt;&gt;"Sí"),"Sí","No"))</f>
        <v/>
      </c>
      <c r="O120" s="18">
        <f>IF(S120="","",1+COUNTIFS($N$2:$N$501,"Sí",$S$2:$S$501,"&gt;"&amp;S120))</f>
        <v/>
      </c>
      <c r="P120" s="18">
        <f>IF(A120="","",INDEX(Logros!$A$2:$A$6,MATCH(N(L120),Logros!$C$2:$C$6,1)))</f>
        <v/>
      </c>
      <c r="Q120" s="19" t="n"/>
      <c r="R120" s="18">
        <f>IF(OR(A120="",P120=""),"",IF(P120&gt;N(Q120),"Sí: entregar nivel "&amp;(N(Q120)+1)&amp;IF(P120&gt;N(Q120)+1," al "&amp;P120,"")&amp;" (ver Logros)",""))</f>
        <v/>
      </c>
      <c r="S120" s="20">
        <f>IF(OR(A120="",N120&lt;&gt;"Sí",N(L120)&lt;=0),"",(N(L120)*100000-MAX(0,ROUND((N(M120)-DATE(2026,10,1))*1440,0)))*1000-ROW())</f>
        <v/>
      </c>
    </row>
    <row r="121">
      <c r="A121" s="19" t="n"/>
      <c r="B121" s="19" t="n"/>
      <c r="C121" s="19" t="n"/>
      <c r="D121" s="21" t="n"/>
      <c r="E121" s="19" t="n"/>
      <c r="F121" s="19" t="n"/>
      <c r="G121" s="22" t="n"/>
      <c r="H121" s="19" t="n"/>
      <c r="I121" s="19" t="n"/>
      <c r="J121" s="19" t="n"/>
      <c r="K121" s="19" t="n"/>
      <c r="L121" s="16">
        <f>IF(A121="","",SUMIF(Movimientos!$B$2:$B$3001,A121,Movimientos!$F$2:$F$3001))</f>
        <v/>
      </c>
      <c r="M121" s="17">
        <f>IF(A121="","",IF(COUNTIF(Movimientos!$B$2:$B$3001,A121)=0,"",_xlfn.MAXIFS(Movimientos!$A$2:$A$3001,Movimientos!$B$2:$B$3001,A121)))</f>
        <v/>
      </c>
      <c r="N121" s="18">
        <f>IF(A121="","",IF(AND(H121="Sí",I121="Sí",K121&lt;&gt;"Sí"),"Sí","No"))</f>
        <v/>
      </c>
      <c r="O121" s="18">
        <f>IF(S121="","",1+COUNTIFS($N$2:$N$501,"Sí",$S$2:$S$501,"&gt;"&amp;S121))</f>
        <v/>
      </c>
      <c r="P121" s="18">
        <f>IF(A121="","",INDEX(Logros!$A$2:$A$6,MATCH(N(L121),Logros!$C$2:$C$6,1)))</f>
        <v/>
      </c>
      <c r="Q121" s="19" t="n"/>
      <c r="R121" s="18">
        <f>IF(OR(A121="",P121=""),"",IF(P121&gt;N(Q121),"Sí: entregar nivel "&amp;(N(Q121)+1)&amp;IF(P121&gt;N(Q121)+1," al "&amp;P121,"")&amp;" (ver Logros)",""))</f>
        <v/>
      </c>
      <c r="S121" s="20">
        <f>IF(OR(A121="",N121&lt;&gt;"Sí",N(L121)&lt;=0),"",(N(L121)*100000-MAX(0,ROUND((N(M121)-DATE(2026,10,1))*1440,0)))*1000-ROW())</f>
        <v/>
      </c>
    </row>
    <row r="122">
      <c r="A122" s="19" t="n"/>
      <c r="B122" s="19" t="n"/>
      <c r="C122" s="19" t="n"/>
      <c r="D122" s="21" t="n"/>
      <c r="E122" s="19" t="n"/>
      <c r="F122" s="19" t="n"/>
      <c r="G122" s="22" t="n"/>
      <c r="H122" s="19" t="n"/>
      <c r="I122" s="19" t="n"/>
      <c r="J122" s="19" t="n"/>
      <c r="K122" s="19" t="n"/>
      <c r="L122" s="16">
        <f>IF(A122="","",SUMIF(Movimientos!$B$2:$B$3001,A122,Movimientos!$F$2:$F$3001))</f>
        <v/>
      </c>
      <c r="M122" s="17">
        <f>IF(A122="","",IF(COUNTIF(Movimientos!$B$2:$B$3001,A122)=0,"",_xlfn.MAXIFS(Movimientos!$A$2:$A$3001,Movimientos!$B$2:$B$3001,A122)))</f>
        <v/>
      </c>
      <c r="N122" s="18">
        <f>IF(A122="","",IF(AND(H122="Sí",I122="Sí",K122&lt;&gt;"Sí"),"Sí","No"))</f>
        <v/>
      </c>
      <c r="O122" s="18">
        <f>IF(S122="","",1+COUNTIFS($N$2:$N$501,"Sí",$S$2:$S$501,"&gt;"&amp;S122))</f>
        <v/>
      </c>
      <c r="P122" s="18">
        <f>IF(A122="","",INDEX(Logros!$A$2:$A$6,MATCH(N(L122),Logros!$C$2:$C$6,1)))</f>
        <v/>
      </c>
      <c r="Q122" s="19" t="n"/>
      <c r="R122" s="18">
        <f>IF(OR(A122="",P122=""),"",IF(P122&gt;N(Q122),"Sí: entregar nivel "&amp;(N(Q122)+1)&amp;IF(P122&gt;N(Q122)+1," al "&amp;P122,"")&amp;" (ver Logros)",""))</f>
        <v/>
      </c>
      <c r="S122" s="20">
        <f>IF(OR(A122="",N122&lt;&gt;"Sí",N(L122)&lt;=0),"",(N(L122)*100000-MAX(0,ROUND((N(M122)-DATE(2026,10,1))*1440,0)))*1000-ROW())</f>
        <v/>
      </c>
    </row>
    <row r="123">
      <c r="A123" s="19" t="n"/>
      <c r="B123" s="19" t="n"/>
      <c r="C123" s="19" t="n"/>
      <c r="D123" s="21" t="n"/>
      <c r="E123" s="19" t="n"/>
      <c r="F123" s="19" t="n"/>
      <c r="G123" s="22" t="n"/>
      <c r="H123" s="19" t="n"/>
      <c r="I123" s="19" t="n"/>
      <c r="J123" s="19" t="n"/>
      <c r="K123" s="19" t="n"/>
      <c r="L123" s="16">
        <f>IF(A123="","",SUMIF(Movimientos!$B$2:$B$3001,A123,Movimientos!$F$2:$F$3001))</f>
        <v/>
      </c>
      <c r="M123" s="17">
        <f>IF(A123="","",IF(COUNTIF(Movimientos!$B$2:$B$3001,A123)=0,"",_xlfn.MAXIFS(Movimientos!$A$2:$A$3001,Movimientos!$B$2:$B$3001,A123)))</f>
        <v/>
      </c>
      <c r="N123" s="18">
        <f>IF(A123="","",IF(AND(H123="Sí",I123="Sí",K123&lt;&gt;"Sí"),"Sí","No"))</f>
        <v/>
      </c>
      <c r="O123" s="18">
        <f>IF(S123="","",1+COUNTIFS($N$2:$N$501,"Sí",$S$2:$S$501,"&gt;"&amp;S123))</f>
        <v/>
      </c>
      <c r="P123" s="18">
        <f>IF(A123="","",INDEX(Logros!$A$2:$A$6,MATCH(N(L123),Logros!$C$2:$C$6,1)))</f>
        <v/>
      </c>
      <c r="Q123" s="19" t="n"/>
      <c r="R123" s="18">
        <f>IF(OR(A123="",P123=""),"",IF(P123&gt;N(Q123),"Sí: entregar nivel "&amp;(N(Q123)+1)&amp;IF(P123&gt;N(Q123)+1," al "&amp;P123,"")&amp;" (ver Logros)",""))</f>
        <v/>
      </c>
      <c r="S123" s="20">
        <f>IF(OR(A123="",N123&lt;&gt;"Sí",N(L123)&lt;=0),"",(N(L123)*100000-MAX(0,ROUND((N(M123)-DATE(2026,10,1))*1440,0)))*1000-ROW())</f>
        <v/>
      </c>
    </row>
    <row r="124">
      <c r="A124" s="19" t="n"/>
      <c r="B124" s="19" t="n"/>
      <c r="C124" s="19" t="n"/>
      <c r="D124" s="21" t="n"/>
      <c r="E124" s="19" t="n"/>
      <c r="F124" s="19" t="n"/>
      <c r="G124" s="22" t="n"/>
      <c r="H124" s="19" t="n"/>
      <c r="I124" s="19" t="n"/>
      <c r="J124" s="19" t="n"/>
      <c r="K124" s="19" t="n"/>
      <c r="L124" s="16">
        <f>IF(A124="","",SUMIF(Movimientos!$B$2:$B$3001,A124,Movimientos!$F$2:$F$3001))</f>
        <v/>
      </c>
      <c r="M124" s="17">
        <f>IF(A124="","",IF(COUNTIF(Movimientos!$B$2:$B$3001,A124)=0,"",_xlfn.MAXIFS(Movimientos!$A$2:$A$3001,Movimientos!$B$2:$B$3001,A124)))</f>
        <v/>
      </c>
      <c r="N124" s="18">
        <f>IF(A124="","",IF(AND(H124="Sí",I124="Sí",K124&lt;&gt;"Sí"),"Sí","No"))</f>
        <v/>
      </c>
      <c r="O124" s="18">
        <f>IF(S124="","",1+COUNTIFS($N$2:$N$501,"Sí",$S$2:$S$501,"&gt;"&amp;S124))</f>
        <v/>
      </c>
      <c r="P124" s="18">
        <f>IF(A124="","",INDEX(Logros!$A$2:$A$6,MATCH(N(L124),Logros!$C$2:$C$6,1)))</f>
        <v/>
      </c>
      <c r="Q124" s="19" t="n"/>
      <c r="R124" s="18">
        <f>IF(OR(A124="",P124=""),"",IF(P124&gt;N(Q124),"Sí: entregar nivel "&amp;(N(Q124)+1)&amp;IF(P124&gt;N(Q124)+1," al "&amp;P124,"")&amp;" (ver Logros)",""))</f>
        <v/>
      </c>
      <c r="S124" s="20">
        <f>IF(OR(A124="",N124&lt;&gt;"Sí",N(L124)&lt;=0),"",(N(L124)*100000-MAX(0,ROUND((N(M124)-DATE(2026,10,1))*1440,0)))*1000-ROW())</f>
        <v/>
      </c>
    </row>
    <row r="125">
      <c r="A125" s="19" t="n"/>
      <c r="B125" s="19" t="n"/>
      <c r="C125" s="19" t="n"/>
      <c r="D125" s="21" t="n"/>
      <c r="E125" s="19" t="n"/>
      <c r="F125" s="19" t="n"/>
      <c r="G125" s="22" t="n"/>
      <c r="H125" s="19" t="n"/>
      <c r="I125" s="19" t="n"/>
      <c r="J125" s="19" t="n"/>
      <c r="K125" s="19" t="n"/>
      <c r="L125" s="16">
        <f>IF(A125="","",SUMIF(Movimientos!$B$2:$B$3001,A125,Movimientos!$F$2:$F$3001))</f>
        <v/>
      </c>
      <c r="M125" s="17">
        <f>IF(A125="","",IF(COUNTIF(Movimientos!$B$2:$B$3001,A125)=0,"",_xlfn.MAXIFS(Movimientos!$A$2:$A$3001,Movimientos!$B$2:$B$3001,A125)))</f>
        <v/>
      </c>
      <c r="N125" s="18">
        <f>IF(A125="","",IF(AND(H125="Sí",I125="Sí",K125&lt;&gt;"Sí"),"Sí","No"))</f>
        <v/>
      </c>
      <c r="O125" s="18">
        <f>IF(S125="","",1+COUNTIFS($N$2:$N$501,"Sí",$S$2:$S$501,"&gt;"&amp;S125))</f>
        <v/>
      </c>
      <c r="P125" s="18">
        <f>IF(A125="","",INDEX(Logros!$A$2:$A$6,MATCH(N(L125),Logros!$C$2:$C$6,1)))</f>
        <v/>
      </c>
      <c r="Q125" s="19" t="n"/>
      <c r="R125" s="18">
        <f>IF(OR(A125="",P125=""),"",IF(P125&gt;N(Q125),"Sí: entregar nivel "&amp;(N(Q125)+1)&amp;IF(P125&gt;N(Q125)+1," al "&amp;P125,"")&amp;" (ver Logros)",""))</f>
        <v/>
      </c>
      <c r="S125" s="20">
        <f>IF(OR(A125="",N125&lt;&gt;"Sí",N(L125)&lt;=0),"",(N(L125)*100000-MAX(0,ROUND((N(M125)-DATE(2026,10,1))*1440,0)))*1000-ROW())</f>
        <v/>
      </c>
    </row>
    <row r="126">
      <c r="A126" s="19" t="n"/>
      <c r="B126" s="19" t="n"/>
      <c r="C126" s="19" t="n"/>
      <c r="D126" s="21" t="n"/>
      <c r="E126" s="19" t="n"/>
      <c r="F126" s="19" t="n"/>
      <c r="G126" s="22" t="n"/>
      <c r="H126" s="19" t="n"/>
      <c r="I126" s="19" t="n"/>
      <c r="J126" s="19" t="n"/>
      <c r="K126" s="19" t="n"/>
      <c r="L126" s="16">
        <f>IF(A126="","",SUMIF(Movimientos!$B$2:$B$3001,A126,Movimientos!$F$2:$F$3001))</f>
        <v/>
      </c>
      <c r="M126" s="17">
        <f>IF(A126="","",IF(COUNTIF(Movimientos!$B$2:$B$3001,A126)=0,"",_xlfn.MAXIFS(Movimientos!$A$2:$A$3001,Movimientos!$B$2:$B$3001,A126)))</f>
        <v/>
      </c>
      <c r="N126" s="18">
        <f>IF(A126="","",IF(AND(H126="Sí",I126="Sí",K126&lt;&gt;"Sí"),"Sí","No"))</f>
        <v/>
      </c>
      <c r="O126" s="18">
        <f>IF(S126="","",1+COUNTIFS($N$2:$N$501,"Sí",$S$2:$S$501,"&gt;"&amp;S126))</f>
        <v/>
      </c>
      <c r="P126" s="18">
        <f>IF(A126="","",INDEX(Logros!$A$2:$A$6,MATCH(N(L126),Logros!$C$2:$C$6,1)))</f>
        <v/>
      </c>
      <c r="Q126" s="19" t="n"/>
      <c r="R126" s="18">
        <f>IF(OR(A126="",P126=""),"",IF(P126&gt;N(Q126),"Sí: entregar nivel "&amp;(N(Q126)+1)&amp;IF(P126&gt;N(Q126)+1," al "&amp;P126,"")&amp;" (ver Logros)",""))</f>
        <v/>
      </c>
      <c r="S126" s="20">
        <f>IF(OR(A126="",N126&lt;&gt;"Sí",N(L126)&lt;=0),"",(N(L126)*100000-MAX(0,ROUND((N(M126)-DATE(2026,10,1))*1440,0)))*1000-ROW())</f>
        <v/>
      </c>
    </row>
    <row r="127">
      <c r="A127" s="19" t="n"/>
      <c r="B127" s="19" t="n"/>
      <c r="C127" s="19" t="n"/>
      <c r="D127" s="21" t="n"/>
      <c r="E127" s="19" t="n"/>
      <c r="F127" s="19" t="n"/>
      <c r="G127" s="22" t="n"/>
      <c r="H127" s="19" t="n"/>
      <c r="I127" s="19" t="n"/>
      <c r="J127" s="19" t="n"/>
      <c r="K127" s="19" t="n"/>
      <c r="L127" s="16">
        <f>IF(A127="","",SUMIF(Movimientos!$B$2:$B$3001,A127,Movimientos!$F$2:$F$3001))</f>
        <v/>
      </c>
      <c r="M127" s="17">
        <f>IF(A127="","",IF(COUNTIF(Movimientos!$B$2:$B$3001,A127)=0,"",_xlfn.MAXIFS(Movimientos!$A$2:$A$3001,Movimientos!$B$2:$B$3001,A127)))</f>
        <v/>
      </c>
      <c r="N127" s="18">
        <f>IF(A127="","",IF(AND(H127="Sí",I127="Sí",K127&lt;&gt;"Sí"),"Sí","No"))</f>
        <v/>
      </c>
      <c r="O127" s="18">
        <f>IF(S127="","",1+COUNTIFS($N$2:$N$501,"Sí",$S$2:$S$501,"&gt;"&amp;S127))</f>
        <v/>
      </c>
      <c r="P127" s="18">
        <f>IF(A127="","",INDEX(Logros!$A$2:$A$6,MATCH(N(L127),Logros!$C$2:$C$6,1)))</f>
        <v/>
      </c>
      <c r="Q127" s="19" t="n"/>
      <c r="R127" s="18">
        <f>IF(OR(A127="",P127=""),"",IF(P127&gt;N(Q127),"Sí: entregar nivel "&amp;(N(Q127)+1)&amp;IF(P127&gt;N(Q127)+1," al "&amp;P127,"")&amp;" (ver Logros)",""))</f>
        <v/>
      </c>
      <c r="S127" s="20">
        <f>IF(OR(A127="",N127&lt;&gt;"Sí",N(L127)&lt;=0),"",(N(L127)*100000-MAX(0,ROUND((N(M127)-DATE(2026,10,1))*1440,0)))*1000-ROW())</f>
        <v/>
      </c>
    </row>
    <row r="128">
      <c r="A128" s="19" t="n"/>
      <c r="B128" s="19" t="n"/>
      <c r="C128" s="19" t="n"/>
      <c r="D128" s="21" t="n"/>
      <c r="E128" s="19" t="n"/>
      <c r="F128" s="19" t="n"/>
      <c r="G128" s="22" t="n"/>
      <c r="H128" s="19" t="n"/>
      <c r="I128" s="19" t="n"/>
      <c r="J128" s="19" t="n"/>
      <c r="K128" s="19" t="n"/>
      <c r="L128" s="16">
        <f>IF(A128="","",SUMIF(Movimientos!$B$2:$B$3001,A128,Movimientos!$F$2:$F$3001))</f>
        <v/>
      </c>
      <c r="M128" s="17">
        <f>IF(A128="","",IF(COUNTIF(Movimientos!$B$2:$B$3001,A128)=0,"",_xlfn.MAXIFS(Movimientos!$A$2:$A$3001,Movimientos!$B$2:$B$3001,A128)))</f>
        <v/>
      </c>
      <c r="N128" s="18">
        <f>IF(A128="","",IF(AND(H128="Sí",I128="Sí",K128&lt;&gt;"Sí"),"Sí","No"))</f>
        <v/>
      </c>
      <c r="O128" s="18">
        <f>IF(S128="","",1+COUNTIFS($N$2:$N$501,"Sí",$S$2:$S$501,"&gt;"&amp;S128))</f>
        <v/>
      </c>
      <c r="P128" s="18">
        <f>IF(A128="","",INDEX(Logros!$A$2:$A$6,MATCH(N(L128),Logros!$C$2:$C$6,1)))</f>
        <v/>
      </c>
      <c r="Q128" s="19" t="n"/>
      <c r="R128" s="18">
        <f>IF(OR(A128="",P128=""),"",IF(P128&gt;N(Q128),"Sí: entregar nivel "&amp;(N(Q128)+1)&amp;IF(P128&gt;N(Q128)+1," al "&amp;P128,"")&amp;" (ver Logros)",""))</f>
        <v/>
      </c>
      <c r="S128" s="20">
        <f>IF(OR(A128="",N128&lt;&gt;"Sí",N(L128)&lt;=0),"",(N(L128)*100000-MAX(0,ROUND((N(M128)-DATE(2026,10,1))*1440,0)))*1000-ROW())</f>
        <v/>
      </c>
    </row>
    <row r="129">
      <c r="A129" s="19" t="n"/>
      <c r="B129" s="19" t="n"/>
      <c r="C129" s="19" t="n"/>
      <c r="D129" s="21" t="n"/>
      <c r="E129" s="19" t="n"/>
      <c r="F129" s="19" t="n"/>
      <c r="G129" s="22" t="n"/>
      <c r="H129" s="19" t="n"/>
      <c r="I129" s="19" t="n"/>
      <c r="J129" s="19" t="n"/>
      <c r="K129" s="19" t="n"/>
      <c r="L129" s="16">
        <f>IF(A129="","",SUMIF(Movimientos!$B$2:$B$3001,A129,Movimientos!$F$2:$F$3001))</f>
        <v/>
      </c>
      <c r="M129" s="17">
        <f>IF(A129="","",IF(COUNTIF(Movimientos!$B$2:$B$3001,A129)=0,"",_xlfn.MAXIFS(Movimientos!$A$2:$A$3001,Movimientos!$B$2:$B$3001,A129)))</f>
        <v/>
      </c>
      <c r="N129" s="18">
        <f>IF(A129="","",IF(AND(H129="Sí",I129="Sí",K129&lt;&gt;"Sí"),"Sí","No"))</f>
        <v/>
      </c>
      <c r="O129" s="18">
        <f>IF(S129="","",1+COUNTIFS($N$2:$N$501,"Sí",$S$2:$S$501,"&gt;"&amp;S129))</f>
        <v/>
      </c>
      <c r="P129" s="18">
        <f>IF(A129="","",INDEX(Logros!$A$2:$A$6,MATCH(N(L129),Logros!$C$2:$C$6,1)))</f>
        <v/>
      </c>
      <c r="Q129" s="19" t="n"/>
      <c r="R129" s="18">
        <f>IF(OR(A129="",P129=""),"",IF(P129&gt;N(Q129),"Sí: entregar nivel "&amp;(N(Q129)+1)&amp;IF(P129&gt;N(Q129)+1," al "&amp;P129,"")&amp;" (ver Logros)",""))</f>
        <v/>
      </c>
      <c r="S129" s="20">
        <f>IF(OR(A129="",N129&lt;&gt;"Sí",N(L129)&lt;=0),"",(N(L129)*100000-MAX(0,ROUND((N(M129)-DATE(2026,10,1))*1440,0)))*1000-ROW())</f>
        <v/>
      </c>
    </row>
    <row r="130">
      <c r="A130" s="19" t="n"/>
      <c r="B130" s="19" t="n"/>
      <c r="C130" s="19" t="n"/>
      <c r="D130" s="21" t="n"/>
      <c r="E130" s="19" t="n"/>
      <c r="F130" s="19" t="n"/>
      <c r="G130" s="22" t="n"/>
      <c r="H130" s="19" t="n"/>
      <c r="I130" s="19" t="n"/>
      <c r="J130" s="19" t="n"/>
      <c r="K130" s="19" t="n"/>
      <c r="L130" s="16">
        <f>IF(A130="","",SUMIF(Movimientos!$B$2:$B$3001,A130,Movimientos!$F$2:$F$3001))</f>
        <v/>
      </c>
      <c r="M130" s="17">
        <f>IF(A130="","",IF(COUNTIF(Movimientos!$B$2:$B$3001,A130)=0,"",_xlfn.MAXIFS(Movimientos!$A$2:$A$3001,Movimientos!$B$2:$B$3001,A130)))</f>
        <v/>
      </c>
      <c r="N130" s="18">
        <f>IF(A130="","",IF(AND(H130="Sí",I130="Sí",K130&lt;&gt;"Sí"),"Sí","No"))</f>
        <v/>
      </c>
      <c r="O130" s="18">
        <f>IF(S130="","",1+COUNTIFS($N$2:$N$501,"Sí",$S$2:$S$501,"&gt;"&amp;S130))</f>
        <v/>
      </c>
      <c r="P130" s="18">
        <f>IF(A130="","",INDEX(Logros!$A$2:$A$6,MATCH(N(L130),Logros!$C$2:$C$6,1)))</f>
        <v/>
      </c>
      <c r="Q130" s="19" t="n"/>
      <c r="R130" s="18">
        <f>IF(OR(A130="",P130=""),"",IF(P130&gt;N(Q130),"Sí: entregar nivel "&amp;(N(Q130)+1)&amp;IF(P130&gt;N(Q130)+1," al "&amp;P130,"")&amp;" (ver Logros)",""))</f>
        <v/>
      </c>
      <c r="S130" s="20">
        <f>IF(OR(A130="",N130&lt;&gt;"Sí",N(L130)&lt;=0),"",(N(L130)*100000-MAX(0,ROUND((N(M130)-DATE(2026,10,1))*1440,0)))*1000-ROW())</f>
        <v/>
      </c>
    </row>
    <row r="131">
      <c r="A131" s="19" t="n"/>
      <c r="B131" s="19" t="n"/>
      <c r="C131" s="19" t="n"/>
      <c r="D131" s="21" t="n"/>
      <c r="E131" s="19" t="n"/>
      <c r="F131" s="19" t="n"/>
      <c r="G131" s="22" t="n"/>
      <c r="H131" s="19" t="n"/>
      <c r="I131" s="19" t="n"/>
      <c r="J131" s="19" t="n"/>
      <c r="K131" s="19" t="n"/>
      <c r="L131" s="16">
        <f>IF(A131="","",SUMIF(Movimientos!$B$2:$B$3001,A131,Movimientos!$F$2:$F$3001))</f>
        <v/>
      </c>
      <c r="M131" s="17">
        <f>IF(A131="","",IF(COUNTIF(Movimientos!$B$2:$B$3001,A131)=0,"",_xlfn.MAXIFS(Movimientos!$A$2:$A$3001,Movimientos!$B$2:$B$3001,A131)))</f>
        <v/>
      </c>
      <c r="N131" s="18">
        <f>IF(A131="","",IF(AND(H131="Sí",I131="Sí",K131&lt;&gt;"Sí"),"Sí","No"))</f>
        <v/>
      </c>
      <c r="O131" s="18">
        <f>IF(S131="","",1+COUNTIFS($N$2:$N$501,"Sí",$S$2:$S$501,"&gt;"&amp;S131))</f>
        <v/>
      </c>
      <c r="P131" s="18">
        <f>IF(A131="","",INDEX(Logros!$A$2:$A$6,MATCH(N(L131),Logros!$C$2:$C$6,1)))</f>
        <v/>
      </c>
      <c r="Q131" s="19" t="n"/>
      <c r="R131" s="18">
        <f>IF(OR(A131="",P131=""),"",IF(P131&gt;N(Q131),"Sí: entregar nivel "&amp;(N(Q131)+1)&amp;IF(P131&gt;N(Q131)+1," al "&amp;P131,"")&amp;" (ver Logros)",""))</f>
        <v/>
      </c>
      <c r="S131" s="20">
        <f>IF(OR(A131="",N131&lt;&gt;"Sí",N(L131)&lt;=0),"",(N(L131)*100000-MAX(0,ROUND((N(M131)-DATE(2026,10,1))*1440,0)))*1000-ROW())</f>
        <v/>
      </c>
    </row>
    <row r="132">
      <c r="A132" s="19" t="n"/>
      <c r="B132" s="19" t="n"/>
      <c r="C132" s="19" t="n"/>
      <c r="D132" s="21" t="n"/>
      <c r="E132" s="19" t="n"/>
      <c r="F132" s="19" t="n"/>
      <c r="G132" s="22" t="n"/>
      <c r="H132" s="19" t="n"/>
      <c r="I132" s="19" t="n"/>
      <c r="J132" s="19" t="n"/>
      <c r="K132" s="19" t="n"/>
      <c r="L132" s="16">
        <f>IF(A132="","",SUMIF(Movimientos!$B$2:$B$3001,A132,Movimientos!$F$2:$F$3001))</f>
        <v/>
      </c>
      <c r="M132" s="17">
        <f>IF(A132="","",IF(COUNTIF(Movimientos!$B$2:$B$3001,A132)=0,"",_xlfn.MAXIFS(Movimientos!$A$2:$A$3001,Movimientos!$B$2:$B$3001,A132)))</f>
        <v/>
      </c>
      <c r="N132" s="18">
        <f>IF(A132="","",IF(AND(H132="Sí",I132="Sí",K132&lt;&gt;"Sí"),"Sí","No"))</f>
        <v/>
      </c>
      <c r="O132" s="18">
        <f>IF(S132="","",1+COUNTIFS($N$2:$N$501,"Sí",$S$2:$S$501,"&gt;"&amp;S132))</f>
        <v/>
      </c>
      <c r="P132" s="18">
        <f>IF(A132="","",INDEX(Logros!$A$2:$A$6,MATCH(N(L132),Logros!$C$2:$C$6,1)))</f>
        <v/>
      </c>
      <c r="Q132" s="19" t="n"/>
      <c r="R132" s="18">
        <f>IF(OR(A132="",P132=""),"",IF(P132&gt;N(Q132),"Sí: entregar nivel "&amp;(N(Q132)+1)&amp;IF(P132&gt;N(Q132)+1," al "&amp;P132,"")&amp;" (ver Logros)",""))</f>
        <v/>
      </c>
      <c r="S132" s="20">
        <f>IF(OR(A132="",N132&lt;&gt;"Sí",N(L132)&lt;=0),"",(N(L132)*100000-MAX(0,ROUND((N(M132)-DATE(2026,10,1))*1440,0)))*1000-ROW())</f>
        <v/>
      </c>
    </row>
    <row r="133">
      <c r="A133" s="19" t="n"/>
      <c r="B133" s="19" t="n"/>
      <c r="C133" s="19" t="n"/>
      <c r="D133" s="21" t="n"/>
      <c r="E133" s="19" t="n"/>
      <c r="F133" s="19" t="n"/>
      <c r="G133" s="22" t="n"/>
      <c r="H133" s="19" t="n"/>
      <c r="I133" s="19" t="n"/>
      <c r="J133" s="19" t="n"/>
      <c r="K133" s="19" t="n"/>
      <c r="L133" s="16">
        <f>IF(A133="","",SUMIF(Movimientos!$B$2:$B$3001,A133,Movimientos!$F$2:$F$3001))</f>
        <v/>
      </c>
      <c r="M133" s="17">
        <f>IF(A133="","",IF(COUNTIF(Movimientos!$B$2:$B$3001,A133)=0,"",_xlfn.MAXIFS(Movimientos!$A$2:$A$3001,Movimientos!$B$2:$B$3001,A133)))</f>
        <v/>
      </c>
      <c r="N133" s="18">
        <f>IF(A133="","",IF(AND(H133="Sí",I133="Sí",K133&lt;&gt;"Sí"),"Sí","No"))</f>
        <v/>
      </c>
      <c r="O133" s="18">
        <f>IF(S133="","",1+COUNTIFS($N$2:$N$501,"Sí",$S$2:$S$501,"&gt;"&amp;S133))</f>
        <v/>
      </c>
      <c r="P133" s="18">
        <f>IF(A133="","",INDEX(Logros!$A$2:$A$6,MATCH(N(L133),Logros!$C$2:$C$6,1)))</f>
        <v/>
      </c>
      <c r="Q133" s="19" t="n"/>
      <c r="R133" s="18">
        <f>IF(OR(A133="",P133=""),"",IF(P133&gt;N(Q133),"Sí: entregar nivel "&amp;(N(Q133)+1)&amp;IF(P133&gt;N(Q133)+1," al "&amp;P133,"")&amp;" (ver Logros)",""))</f>
        <v/>
      </c>
      <c r="S133" s="20">
        <f>IF(OR(A133="",N133&lt;&gt;"Sí",N(L133)&lt;=0),"",(N(L133)*100000-MAX(0,ROUND((N(M133)-DATE(2026,10,1))*1440,0)))*1000-ROW())</f>
        <v/>
      </c>
    </row>
    <row r="134">
      <c r="A134" s="19" t="n"/>
      <c r="B134" s="19" t="n"/>
      <c r="C134" s="19" t="n"/>
      <c r="D134" s="21" t="n"/>
      <c r="E134" s="19" t="n"/>
      <c r="F134" s="19" t="n"/>
      <c r="G134" s="22" t="n"/>
      <c r="H134" s="19" t="n"/>
      <c r="I134" s="19" t="n"/>
      <c r="J134" s="19" t="n"/>
      <c r="K134" s="19" t="n"/>
      <c r="L134" s="16">
        <f>IF(A134="","",SUMIF(Movimientos!$B$2:$B$3001,A134,Movimientos!$F$2:$F$3001))</f>
        <v/>
      </c>
      <c r="M134" s="17">
        <f>IF(A134="","",IF(COUNTIF(Movimientos!$B$2:$B$3001,A134)=0,"",_xlfn.MAXIFS(Movimientos!$A$2:$A$3001,Movimientos!$B$2:$B$3001,A134)))</f>
        <v/>
      </c>
      <c r="N134" s="18">
        <f>IF(A134="","",IF(AND(H134="Sí",I134="Sí",K134&lt;&gt;"Sí"),"Sí","No"))</f>
        <v/>
      </c>
      <c r="O134" s="18">
        <f>IF(S134="","",1+COUNTIFS($N$2:$N$501,"Sí",$S$2:$S$501,"&gt;"&amp;S134))</f>
        <v/>
      </c>
      <c r="P134" s="18">
        <f>IF(A134="","",INDEX(Logros!$A$2:$A$6,MATCH(N(L134),Logros!$C$2:$C$6,1)))</f>
        <v/>
      </c>
      <c r="Q134" s="19" t="n"/>
      <c r="R134" s="18">
        <f>IF(OR(A134="",P134=""),"",IF(P134&gt;N(Q134),"Sí: entregar nivel "&amp;(N(Q134)+1)&amp;IF(P134&gt;N(Q134)+1," al "&amp;P134,"")&amp;" (ver Logros)",""))</f>
        <v/>
      </c>
      <c r="S134" s="20">
        <f>IF(OR(A134="",N134&lt;&gt;"Sí",N(L134)&lt;=0),"",(N(L134)*100000-MAX(0,ROUND((N(M134)-DATE(2026,10,1))*1440,0)))*1000-ROW())</f>
        <v/>
      </c>
    </row>
    <row r="135">
      <c r="A135" s="19" t="n"/>
      <c r="B135" s="19" t="n"/>
      <c r="C135" s="19" t="n"/>
      <c r="D135" s="21" t="n"/>
      <c r="E135" s="19" t="n"/>
      <c r="F135" s="19" t="n"/>
      <c r="G135" s="22" t="n"/>
      <c r="H135" s="19" t="n"/>
      <c r="I135" s="19" t="n"/>
      <c r="J135" s="19" t="n"/>
      <c r="K135" s="19" t="n"/>
      <c r="L135" s="16">
        <f>IF(A135="","",SUMIF(Movimientos!$B$2:$B$3001,A135,Movimientos!$F$2:$F$3001))</f>
        <v/>
      </c>
      <c r="M135" s="17">
        <f>IF(A135="","",IF(COUNTIF(Movimientos!$B$2:$B$3001,A135)=0,"",_xlfn.MAXIFS(Movimientos!$A$2:$A$3001,Movimientos!$B$2:$B$3001,A135)))</f>
        <v/>
      </c>
      <c r="N135" s="18">
        <f>IF(A135="","",IF(AND(H135="Sí",I135="Sí",K135&lt;&gt;"Sí"),"Sí","No"))</f>
        <v/>
      </c>
      <c r="O135" s="18">
        <f>IF(S135="","",1+COUNTIFS($N$2:$N$501,"Sí",$S$2:$S$501,"&gt;"&amp;S135))</f>
        <v/>
      </c>
      <c r="P135" s="18">
        <f>IF(A135="","",INDEX(Logros!$A$2:$A$6,MATCH(N(L135),Logros!$C$2:$C$6,1)))</f>
        <v/>
      </c>
      <c r="Q135" s="19" t="n"/>
      <c r="R135" s="18">
        <f>IF(OR(A135="",P135=""),"",IF(P135&gt;N(Q135),"Sí: entregar nivel "&amp;(N(Q135)+1)&amp;IF(P135&gt;N(Q135)+1," al "&amp;P135,"")&amp;" (ver Logros)",""))</f>
        <v/>
      </c>
      <c r="S135" s="20">
        <f>IF(OR(A135="",N135&lt;&gt;"Sí",N(L135)&lt;=0),"",(N(L135)*100000-MAX(0,ROUND((N(M135)-DATE(2026,10,1))*1440,0)))*1000-ROW())</f>
        <v/>
      </c>
    </row>
    <row r="136">
      <c r="A136" s="19" t="n"/>
      <c r="B136" s="19" t="n"/>
      <c r="C136" s="19" t="n"/>
      <c r="D136" s="21" t="n"/>
      <c r="E136" s="19" t="n"/>
      <c r="F136" s="19" t="n"/>
      <c r="G136" s="22" t="n"/>
      <c r="H136" s="19" t="n"/>
      <c r="I136" s="19" t="n"/>
      <c r="J136" s="19" t="n"/>
      <c r="K136" s="19" t="n"/>
      <c r="L136" s="16">
        <f>IF(A136="","",SUMIF(Movimientos!$B$2:$B$3001,A136,Movimientos!$F$2:$F$3001))</f>
        <v/>
      </c>
      <c r="M136" s="17">
        <f>IF(A136="","",IF(COUNTIF(Movimientos!$B$2:$B$3001,A136)=0,"",_xlfn.MAXIFS(Movimientos!$A$2:$A$3001,Movimientos!$B$2:$B$3001,A136)))</f>
        <v/>
      </c>
      <c r="N136" s="18">
        <f>IF(A136="","",IF(AND(H136="Sí",I136="Sí",K136&lt;&gt;"Sí"),"Sí","No"))</f>
        <v/>
      </c>
      <c r="O136" s="18">
        <f>IF(S136="","",1+COUNTIFS($N$2:$N$501,"Sí",$S$2:$S$501,"&gt;"&amp;S136))</f>
        <v/>
      </c>
      <c r="P136" s="18">
        <f>IF(A136="","",INDEX(Logros!$A$2:$A$6,MATCH(N(L136),Logros!$C$2:$C$6,1)))</f>
        <v/>
      </c>
      <c r="Q136" s="19" t="n"/>
      <c r="R136" s="18">
        <f>IF(OR(A136="",P136=""),"",IF(P136&gt;N(Q136),"Sí: entregar nivel "&amp;(N(Q136)+1)&amp;IF(P136&gt;N(Q136)+1," al "&amp;P136,"")&amp;" (ver Logros)",""))</f>
        <v/>
      </c>
      <c r="S136" s="20">
        <f>IF(OR(A136="",N136&lt;&gt;"Sí",N(L136)&lt;=0),"",(N(L136)*100000-MAX(0,ROUND((N(M136)-DATE(2026,10,1))*1440,0)))*1000-ROW())</f>
        <v/>
      </c>
    </row>
    <row r="137">
      <c r="A137" s="19" t="n"/>
      <c r="B137" s="19" t="n"/>
      <c r="C137" s="19" t="n"/>
      <c r="D137" s="21" t="n"/>
      <c r="E137" s="19" t="n"/>
      <c r="F137" s="19" t="n"/>
      <c r="G137" s="22" t="n"/>
      <c r="H137" s="19" t="n"/>
      <c r="I137" s="19" t="n"/>
      <c r="J137" s="19" t="n"/>
      <c r="K137" s="19" t="n"/>
      <c r="L137" s="16">
        <f>IF(A137="","",SUMIF(Movimientos!$B$2:$B$3001,A137,Movimientos!$F$2:$F$3001))</f>
        <v/>
      </c>
      <c r="M137" s="17">
        <f>IF(A137="","",IF(COUNTIF(Movimientos!$B$2:$B$3001,A137)=0,"",_xlfn.MAXIFS(Movimientos!$A$2:$A$3001,Movimientos!$B$2:$B$3001,A137)))</f>
        <v/>
      </c>
      <c r="N137" s="18">
        <f>IF(A137="","",IF(AND(H137="Sí",I137="Sí",K137&lt;&gt;"Sí"),"Sí","No"))</f>
        <v/>
      </c>
      <c r="O137" s="18">
        <f>IF(S137="","",1+COUNTIFS($N$2:$N$501,"Sí",$S$2:$S$501,"&gt;"&amp;S137))</f>
        <v/>
      </c>
      <c r="P137" s="18">
        <f>IF(A137="","",INDEX(Logros!$A$2:$A$6,MATCH(N(L137),Logros!$C$2:$C$6,1)))</f>
        <v/>
      </c>
      <c r="Q137" s="19" t="n"/>
      <c r="R137" s="18">
        <f>IF(OR(A137="",P137=""),"",IF(P137&gt;N(Q137),"Sí: entregar nivel "&amp;(N(Q137)+1)&amp;IF(P137&gt;N(Q137)+1," al "&amp;P137,"")&amp;" (ver Logros)",""))</f>
        <v/>
      </c>
      <c r="S137" s="20">
        <f>IF(OR(A137="",N137&lt;&gt;"Sí",N(L137)&lt;=0),"",(N(L137)*100000-MAX(0,ROUND((N(M137)-DATE(2026,10,1))*1440,0)))*1000-ROW())</f>
        <v/>
      </c>
    </row>
    <row r="138">
      <c r="A138" s="19" t="n"/>
      <c r="B138" s="19" t="n"/>
      <c r="C138" s="19" t="n"/>
      <c r="D138" s="21" t="n"/>
      <c r="E138" s="19" t="n"/>
      <c r="F138" s="19" t="n"/>
      <c r="G138" s="22" t="n"/>
      <c r="H138" s="19" t="n"/>
      <c r="I138" s="19" t="n"/>
      <c r="J138" s="19" t="n"/>
      <c r="K138" s="19" t="n"/>
      <c r="L138" s="16">
        <f>IF(A138="","",SUMIF(Movimientos!$B$2:$B$3001,A138,Movimientos!$F$2:$F$3001))</f>
        <v/>
      </c>
      <c r="M138" s="17">
        <f>IF(A138="","",IF(COUNTIF(Movimientos!$B$2:$B$3001,A138)=0,"",_xlfn.MAXIFS(Movimientos!$A$2:$A$3001,Movimientos!$B$2:$B$3001,A138)))</f>
        <v/>
      </c>
      <c r="N138" s="18">
        <f>IF(A138="","",IF(AND(H138="Sí",I138="Sí",K138&lt;&gt;"Sí"),"Sí","No"))</f>
        <v/>
      </c>
      <c r="O138" s="18">
        <f>IF(S138="","",1+COUNTIFS($N$2:$N$501,"Sí",$S$2:$S$501,"&gt;"&amp;S138))</f>
        <v/>
      </c>
      <c r="P138" s="18">
        <f>IF(A138="","",INDEX(Logros!$A$2:$A$6,MATCH(N(L138),Logros!$C$2:$C$6,1)))</f>
        <v/>
      </c>
      <c r="Q138" s="19" t="n"/>
      <c r="R138" s="18">
        <f>IF(OR(A138="",P138=""),"",IF(P138&gt;N(Q138),"Sí: entregar nivel "&amp;(N(Q138)+1)&amp;IF(P138&gt;N(Q138)+1," al "&amp;P138,"")&amp;" (ver Logros)",""))</f>
        <v/>
      </c>
      <c r="S138" s="20">
        <f>IF(OR(A138="",N138&lt;&gt;"Sí",N(L138)&lt;=0),"",(N(L138)*100000-MAX(0,ROUND((N(M138)-DATE(2026,10,1))*1440,0)))*1000-ROW())</f>
        <v/>
      </c>
    </row>
    <row r="139">
      <c r="A139" s="19" t="n"/>
      <c r="B139" s="19" t="n"/>
      <c r="C139" s="19" t="n"/>
      <c r="D139" s="21" t="n"/>
      <c r="E139" s="19" t="n"/>
      <c r="F139" s="19" t="n"/>
      <c r="G139" s="22" t="n"/>
      <c r="H139" s="19" t="n"/>
      <c r="I139" s="19" t="n"/>
      <c r="J139" s="19" t="n"/>
      <c r="K139" s="19" t="n"/>
      <c r="L139" s="16">
        <f>IF(A139="","",SUMIF(Movimientos!$B$2:$B$3001,A139,Movimientos!$F$2:$F$3001))</f>
        <v/>
      </c>
      <c r="M139" s="17">
        <f>IF(A139="","",IF(COUNTIF(Movimientos!$B$2:$B$3001,A139)=0,"",_xlfn.MAXIFS(Movimientos!$A$2:$A$3001,Movimientos!$B$2:$B$3001,A139)))</f>
        <v/>
      </c>
      <c r="N139" s="18">
        <f>IF(A139="","",IF(AND(H139="Sí",I139="Sí",K139&lt;&gt;"Sí"),"Sí","No"))</f>
        <v/>
      </c>
      <c r="O139" s="18">
        <f>IF(S139="","",1+COUNTIFS($N$2:$N$501,"Sí",$S$2:$S$501,"&gt;"&amp;S139))</f>
        <v/>
      </c>
      <c r="P139" s="18">
        <f>IF(A139="","",INDEX(Logros!$A$2:$A$6,MATCH(N(L139),Logros!$C$2:$C$6,1)))</f>
        <v/>
      </c>
      <c r="Q139" s="19" t="n"/>
      <c r="R139" s="18">
        <f>IF(OR(A139="",P139=""),"",IF(P139&gt;N(Q139),"Sí: entregar nivel "&amp;(N(Q139)+1)&amp;IF(P139&gt;N(Q139)+1," al "&amp;P139,"")&amp;" (ver Logros)",""))</f>
        <v/>
      </c>
      <c r="S139" s="20">
        <f>IF(OR(A139="",N139&lt;&gt;"Sí",N(L139)&lt;=0),"",(N(L139)*100000-MAX(0,ROUND((N(M139)-DATE(2026,10,1))*1440,0)))*1000-ROW())</f>
        <v/>
      </c>
    </row>
    <row r="140">
      <c r="A140" s="19" t="n"/>
      <c r="B140" s="19" t="n"/>
      <c r="C140" s="19" t="n"/>
      <c r="D140" s="21" t="n"/>
      <c r="E140" s="19" t="n"/>
      <c r="F140" s="19" t="n"/>
      <c r="G140" s="22" t="n"/>
      <c r="H140" s="19" t="n"/>
      <c r="I140" s="19" t="n"/>
      <c r="J140" s="19" t="n"/>
      <c r="K140" s="19" t="n"/>
      <c r="L140" s="16">
        <f>IF(A140="","",SUMIF(Movimientos!$B$2:$B$3001,A140,Movimientos!$F$2:$F$3001))</f>
        <v/>
      </c>
      <c r="M140" s="17">
        <f>IF(A140="","",IF(COUNTIF(Movimientos!$B$2:$B$3001,A140)=0,"",_xlfn.MAXIFS(Movimientos!$A$2:$A$3001,Movimientos!$B$2:$B$3001,A140)))</f>
        <v/>
      </c>
      <c r="N140" s="18">
        <f>IF(A140="","",IF(AND(H140="Sí",I140="Sí",K140&lt;&gt;"Sí"),"Sí","No"))</f>
        <v/>
      </c>
      <c r="O140" s="18">
        <f>IF(S140="","",1+COUNTIFS($N$2:$N$501,"Sí",$S$2:$S$501,"&gt;"&amp;S140))</f>
        <v/>
      </c>
      <c r="P140" s="18">
        <f>IF(A140="","",INDEX(Logros!$A$2:$A$6,MATCH(N(L140),Logros!$C$2:$C$6,1)))</f>
        <v/>
      </c>
      <c r="Q140" s="19" t="n"/>
      <c r="R140" s="18">
        <f>IF(OR(A140="",P140=""),"",IF(P140&gt;N(Q140),"Sí: entregar nivel "&amp;(N(Q140)+1)&amp;IF(P140&gt;N(Q140)+1," al "&amp;P140,"")&amp;" (ver Logros)",""))</f>
        <v/>
      </c>
      <c r="S140" s="20">
        <f>IF(OR(A140="",N140&lt;&gt;"Sí",N(L140)&lt;=0),"",(N(L140)*100000-MAX(0,ROUND((N(M140)-DATE(2026,10,1))*1440,0)))*1000-ROW())</f>
        <v/>
      </c>
    </row>
    <row r="141">
      <c r="A141" s="19" t="n"/>
      <c r="B141" s="19" t="n"/>
      <c r="C141" s="19" t="n"/>
      <c r="D141" s="21" t="n"/>
      <c r="E141" s="19" t="n"/>
      <c r="F141" s="19" t="n"/>
      <c r="G141" s="22" t="n"/>
      <c r="H141" s="19" t="n"/>
      <c r="I141" s="19" t="n"/>
      <c r="J141" s="19" t="n"/>
      <c r="K141" s="19" t="n"/>
      <c r="L141" s="16">
        <f>IF(A141="","",SUMIF(Movimientos!$B$2:$B$3001,A141,Movimientos!$F$2:$F$3001))</f>
        <v/>
      </c>
      <c r="M141" s="17">
        <f>IF(A141="","",IF(COUNTIF(Movimientos!$B$2:$B$3001,A141)=0,"",_xlfn.MAXIFS(Movimientos!$A$2:$A$3001,Movimientos!$B$2:$B$3001,A141)))</f>
        <v/>
      </c>
      <c r="N141" s="18">
        <f>IF(A141="","",IF(AND(H141="Sí",I141="Sí",K141&lt;&gt;"Sí"),"Sí","No"))</f>
        <v/>
      </c>
      <c r="O141" s="18">
        <f>IF(S141="","",1+COUNTIFS($N$2:$N$501,"Sí",$S$2:$S$501,"&gt;"&amp;S141))</f>
        <v/>
      </c>
      <c r="P141" s="18">
        <f>IF(A141="","",INDEX(Logros!$A$2:$A$6,MATCH(N(L141),Logros!$C$2:$C$6,1)))</f>
        <v/>
      </c>
      <c r="Q141" s="19" t="n"/>
      <c r="R141" s="18">
        <f>IF(OR(A141="",P141=""),"",IF(P141&gt;N(Q141),"Sí: entregar nivel "&amp;(N(Q141)+1)&amp;IF(P141&gt;N(Q141)+1," al "&amp;P141,"")&amp;" (ver Logros)",""))</f>
        <v/>
      </c>
      <c r="S141" s="20">
        <f>IF(OR(A141="",N141&lt;&gt;"Sí",N(L141)&lt;=0),"",(N(L141)*100000-MAX(0,ROUND((N(M141)-DATE(2026,10,1))*1440,0)))*1000-ROW())</f>
        <v/>
      </c>
    </row>
    <row r="142">
      <c r="A142" s="19" t="n"/>
      <c r="B142" s="19" t="n"/>
      <c r="C142" s="19" t="n"/>
      <c r="D142" s="21" t="n"/>
      <c r="E142" s="19" t="n"/>
      <c r="F142" s="19" t="n"/>
      <c r="G142" s="22" t="n"/>
      <c r="H142" s="19" t="n"/>
      <c r="I142" s="19" t="n"/>
      <c r="J142" s="19" t="n"/>
      <c r="K142" s="19" t="n"/>
      <c r="L142" s="16">
        <f>IF(A142="","",SUMIF(Movimientos!$B$2:$B$3001,A142,Movimientos!$F$2:$F$3001))</f>
        <v/>
      </c>
      <c r="M142" s="17">
        <f>IF(A142="","",IF(COUNTIF(Movimientos!$B$2:$B$3001,A142)=0,"",_xlfn.MAXIFS(Movimientos!$A$2:$A$3001,Movimientos!$B$2:$B$3001,A142)))</f>
        <v/>
      </c>
      <c r="N142" s="18">
        <f>IF(A142="","",IF(AND(H142="Sí",I142="Sí",K142&lt;&gt;"Sí"),"Sí","No"))</f>
        <v/>
      </c>
      <c r="O142" s="18">
        <f>IF(S142="","",1+COUNTIFS($N$2:$N$501,"Sí",$S$2:$S$501,"&gt;"&amp;S142))</f>
        <v/>
      </c>
      <c r="P142" s="18">
        <f>IF(A142="","",INDEX(Logros!$A$2:$A$6,MATCH(N(L142),Logros!$C$2:$C$6,1)))</f>
        <v/>
      </c>
      <c r="Q142" s="19" t="n"/>
      <c r="R142" s="18">
        <f>IF(OR(A142="",P142=""),"",IF(P142&gt;N(Q142),"Sí: entregar nivel "&amp;(N(Q142)+1)&amp;IF(P142&gt;N(Q142)+1," al "&amp;P142,"")&amp;" (ver Logros)",""))</f>
        <v/>
      </c>
      <c r="S142" s="20">
        <f>IF(OR(A142="",N142&lt;&gt;"Sí",N(L142)&lt;=0),"",(N(L142)*100000-MAX(0,ROUND((N(M142)-DATE(2026,10,1))*1440,0)))*1000-ROW())</f>
        <v/>
      </c>
    </row>
    <row r="143">
      <c r="A143" s="19" t="n"/>
      <c r="B143" s="19" t="n"/>
      <c r="C143" s="19" t="n"/>
      <c r="D143" s="21" t="n"/>
      <c r="E143" s="19" t="n"/>
      <c r="F143" s="19" t="n"/>
      <c r="G143" s="22" t="n"/>
      <c r="H143" s="19" t="n"/>
      <c r="I143" s="19" t="n"/>
      <c r="J143" s="19" t="n"/>
      <c r="K143" s="19" t="n"/>
      <c r="L143" s="16">
        <f>IF(A143="","",SUMIF(Movimientos!$B$2:$B$3001,A143,Movimientos!$F$2:$F$3001))</f>
        <v/>
      </c>
      <c r="M143" s="17">
        <f>IF(A143="","",IF(COUNTIF(Movimientos!$B$2:$B$3001,A143)=0,"",_xlfn.MAXIFS(Movimientos!$A$2:$A$3001,Movimientos!$B$2:$B$3001,A143)))</f>
        <v/>
      </c>
      <c r="N143" s="18">
        <f>IF(A143="","",IF(AND(H143="Sí",I143="Sí",K143&lt;&gt;"Sí"),"Sí","No"))</f>
        <v/>
      </c>
      <c r="O143" s="18">
        <f>IF(S143="","",1+COUNTIFS($N$2:$N$501,"Sí",$S$2:$S$501,"&gt;"&amp;S143))</f>
        <v/>
      </c>
      <c r="P143" s="18">
        <f>IF(A143="","",INDEX(Logros!$A$2:$A$6,MATCH(N(L143),Logros!$C$2:$C$6,1)))</f>
        <v/>
      </c>
      <c r="Q143" s="19" t="n"/>
      <c r="R143" s="18">
        <f>IF(OR(A143="",P143=""),"",IF(P143&gt;N(Q143),"Sí: entregar nivel "&amp;(N(Q143)+1)&amp;IF(P143&gt;N(Q143)+1," al "&amp;P143,"")&amp;" (ver Logros)",""))</f>
        <v/>
      </c>
      <c r="S143" s="20">
        <f>IF(OR(A143="",N143&lt;&gt;"Sí",N(L143)&lt;=0),"",(N(L143)*100000-MAX(0,ROUND((N(M143)-DATE(2026,10,1))*1440,0)))*1000-ROW())</f>
        <v/>
      </c>
    </row>
    <row r="144">
      <c r="A144" s="19" t="n"/>
      <c r="B144" s="19" t="n"/>
      <c r="C144" s="19" t="n"/>
      <c r="D144" s="21" t="n"/>
      <c r="E144" s="19" t="n"/>
      <c r="F144" s="19" t="n"/>
      <c r="G144" s="22" t="n"/>
      <c r="H144" s="19" t="n"/>
      <c r="I144" s="19" t="n"/>
      <c r="J144" s="19" t="n"/>
      <c r="K144" s="19" t="n"/>
      <c r="L144" s="16">
        <f>IF(A144="","",SUMIF(Movimientos!$B$2:$B$3001,A144,Movimientos!$F$2:$F$3001))</f>
        <v/>
      </c>
      <c r="M144" s="17">
        <f>IF(A144="","",IF(COUNTIF(Movimientos!$B$2:$B$3001,A144)=0,"",_xlfn.MAXIFS(Movimientos!$A$2:$A$3001,Movimientos!$B$2:$B$3001,A144)))</f>
        <v/>
      </c>
      <c r="N144" s="18">
        <f>IF(A144="","",IF(AND(H144="Sí",I144="Sí",K144&lt;&gt;"Sí"),"Sí","No"))</f>
        <v/>
      </c>
      <c r="O144" s="18">
        <f>IF(S144="","",1+COUNTIFS($N$2:$N$501,"Sí",$S$2:$S$501,"&gt;"&amp;S144))</f>
        <v/>
      </c>
      <c r="P144" s="18">
        <f>IF(A144="","",INDEX(Logros!$A$2:$A$6,MATCH(N(L144),Logros!$C$2:$C$6,1)))</f>
        <v/>
      </c>
      <c r="Q144" s="19" t="n"/>
      <c r="R144" s="18">
        <f>IF(OR(A144="",P144=""),"",IF(P144&gt;N(Q144),"Sí: entregar nivel "&amp;(N(Q144)+1)&amp;IF(P144&gt;N(Q144)+1," al "&amp;P144,"")&amp;" (ver Logros)",""))</f>
        <v/>
      </c>
      <c r="S144" s="20">
        <f>IF(OR(A144="",N144&lt;&gt;"Sí",N(L144)&lt;=0),"",(N(L144)*100000-MAX(0,ROUND((N(M144)-DATE(2026,10,1))*1440,0)))*1000-ROW())</f>
        <v/>
      </c>
    </row>
    <row r="145">
      <c r="A145" s="19" t="n"/>
      <c r="B145" s="19" t="n"/>
      <c r="C145" s="19" t="n"/>
      <c r="D145" s="21" t="n"/>
      <c r="E145" s="19" t="n"/>
      <c r="F145" s="19" t="n"/>
      <c r="G145" s="22" t="n"/>
      <c r="H145" s="19" t="n"/>
      <c r="I145" s="19" t="n"/>
      <c r="J145" s="19" t="n"/>
      <c r="K145" s="19" t="n"/>
      <c r="L145" s="16">
        <f>IF(A145="","",SUMIF(Movimientos!$B$2:$B$3001,A145,Movimientos!$F$2:$F$3001))</f>
        <v/>
      </c>
      <c r="M145" s="17">
        <f>IF(A145="","",IF(COUNTIF(Movimientos!$B$2:$B$3001,A145)=0,"",_xlfn.MAXIFS(Movimientos!$A$2:$A$3001,Movimientos!$B$2:$B$3001,A145)))</f>
        <v/>
      </c>
      <c r="N145" s="18">
        <f>IF(A145="","",IF(AND(H145="Sí",I145="Sí",K145&lt;&gt;"Sí"),"Sí","No"))</f>
        <v/>
      </c>
      <c r="O145" s="18">
        <f>IF(S145="","",1+COUNTIFS($N$2:$N$501,"Sí",$S$2:$S$501,"&gt;"&amp;S145))</f>
        <v/>
      </c>
      <c r="P145" s="18">
        <f>IF(A145="","",INDEX(Logros!$A$2:$A$6,MATCH(N(L145),Logros!$C$2:$C$6,1)))</f>
        <v/>
      </c>
      <c r="Q145" s="19" t="n"/>
      <c r="R145" s="18">
        <f>IF(OR(A145="",P145=""),"",IF(P145&gt;N(Q145),"Sí: entregar nivel "&amp;(N(Q145)+1)&amp;IF(P145&gt;N(Q145)+1," al "&amp;P145,"")&amp;" (ver Logros)",""))</f>
        <v/>
      </c>
      <c r="S145" s="20">
        <f>IF(OR(A145="",N145&lt;&gt;"Sí",N(L145)&lt;=0),"",(N(L145)*100000-MAX(0,ROUND((N(M145)-DATE(2026,10,1))*1440,0)))*1000-ROW())</f>
        <v/>
      </c>
    </row>
    <row r="146">
      <c r="A146" s="19" t="n"/>
      <c r="B146" s="19" t="n"/>
      <c r="C146" s="19" t="n"/>
      <c r="D146" s="21" t="n"/>
      <c r="E146" s="19" t="n"/>
      <c r="F146" s="19" t="n"/>
      <c r="G146" s="22" t="n"/>
      <c r="H146" s="19" t="n"/>
      <c r="I146" s="19" t="n"/>
      <c r="J146" s="19" t="n"/>
      <c r="K146" s="19" t="n"/>
      <c r="L146" s="16">
        <f>IF(A146="","",SUMIF(Movimientos!$B$2:$B$3001,A146,Movimientos!$F$2:$F$3001))</f>
        <v/>
      </c>
      <c r="M146" s="17">
        <f>IF(A146="","",IF(COUNTIF(Movimientos!$B$2:$B$3001,A146)=0,"",_xlfn.MAXIFS(Movimientos!$A$2:$A$3001,Movimientos!$B$2:$B$3001,A146)))</f>
        <v/>
      </c>
      <c r="N146" s="18">
        <f>IF(A146="","",IF(AND(H146="Sí",I146="Sí",K146&lt;&gt;"Sí"),"Sí","No"))</f>
        <v/>
      </c>
      <c r="O146" s="18">
        <f>IF(S146="","",1+COUNTIFS($N$2:$N$501,"Sí",$S$2:$S$501,"&gt;"&amp;S146))</f>
        <v/>
      </c>
      <c r="P146" s="18">
        <f>IF(A146="","",INDEX(Logros!$A$2:$A$6,MATCH(N(L146),Logros!$C$2:$C$6,1)))</f>
        <v/>
      </c>
      <c r="Q146" s="19" t="n"/>
      <c r="R146" s="18">
        <f>IF(OR(A146="",P146=""),"",IF(P146&gt;N(Q146),"Sí: entregar nivel "&amp;(N(Q146)+1)&amp;IF(P146&gt;N(Q146)+1," al "&amp;P146,"")&amp;" (ver Logros)",""))</f>
        <v/>
      </c>
      <c r="S146" s="20">
        <f>IF(OR(A146="",N146&lt;&gt;"Sí",N(L146)&lt;=0),"",(N(L146)*100000-MAX(0,ROUND((N(M146)-DATE(2026,10,1))*1440,0)))*1000-ROW())</f>
        <v/>
      </c>
    </row>
    <row r="147">
      <c r="A147" s="19" t="n"/>
      <c r="B147" s="19" t="n"/>
      <c r="C147" s="19" t="n"/>
      <c r="D147" s="21" t="n"/>
      <c r="E147" s="19" t="n"/>
      <c r="F147" s="19" t="n"/>
      <c r="G147" s="22" t="n"/>
      <c r="H147" s="19" t="n"/>
      <c r="I147" s="19" t="n"/>
      <c r="J147" s="19" t="n"/>
      <c r="K147" s="19" t="n"/>
      <c r="L147" s="16">
        <f>IF(A147="","",SUMIF(Movimientos!$B$2:$B$3001,A147,Movimientos!$F$2:$F$3001))</f>
        <v/>
      </c>
      <c r="M147" s="17">
        <f>IF(A147="","",IF(COUNTIF(Movimientos!$B$2:$B$3001,A147)=0,"",_xlfn.MAXIFS(Movimientos!$A$2:$A$3001,Movimientos!$B$2:$B$3001,A147)))</f>
        <v/>
      </c>
      <c r="N147" s="18">
        <f>IF(A147="","",IF(AND(H147="Sí",I147="Sí",K147&lt;&gt;"Sí"),"Sí","No"))</f>
        <v/>
      </c>
      <c r="O147" s="18">
        <f>IF(S147="","",1+COUNTIFS($N$2:$N$501,"Sí",$S$2:$S$501,"&gt;"&amp;S147))</f>
        <v/>
      </c>
      <c r="P147" s="18">
        <f>IF(A147="","",INDEX(Logros!$A$2:$A$6,MATCH(N(L147),Logros!$C$2:$C$6,1)))</f>
        <v/>
      </c>
      <c r="Q147" s="19" t="n"/>
      <c r="R147" s="18">
        <f>IF(OR(A147="",P147=""),"",IF(P147&gt;N(Q147),"Sí: entregar nivel "&amp;(N(Q147)+1)&amp;IF(P147&gt;N(Q147)+1," al "&amp;P147,"")&amp;" (ver Logros)",""))</f>
        <v/>
      </c>
      <c r="S147" s="20">
        <f>IF(OR(A147="",N147&lt;&gt;"Sí",N(L147)&lt;=0),"",(N(L147)*100000-MAX(0,ROUND((N(M147)-DATE(2026,10,1))*1440,0)))*1000-ROW())</f>
        <v/>
      </c>
    </row>
    <row r="148">
      <c r="A148" s="19" t="n"/>
      <c r="B148" s="19" t="n"/>
      <c r="C148" s="19" t="n"/>
      <c r="D148" s="21" t="n"/>
      <c r="E148" s="19" t="n"/>
      <c r="F148" s="19" t="n"/>
      <c r="G148" s="22" t="n"/>
      <c r="H148" s="19" t="n"/>
      <c r="I148" s="19" t="n"/>
      <c r="J148" s="19" t="n"/>
      <c r="K148" s="19" t="n"/>
      <c r="L148" s="16">
        <f>IF(A148="","",SUMIF(Movimientos!$B$2:$B$3001,A148,Movimientos!$F$2:$F$3001))</f>
        <v/>
      </c>
      <c r="M148" s="17">
        <f>IF(A148="","",IF(COUNTIF(Movimientos!$B$2:$B$3001,A148)=0,"",_xlfn.MAXIFS(Movimientos!$A$2:$A$3001,Movimientos!$B$2:$B$3001,A148)))</f>
        <v/>
      </c>
      <c r="N148" s="18">
        <f>IF(A148="","",IF(AND(H148="Sí",I148="Sí",K148&lt;&gt;"Sí"),"Sí","No"))</f>
        <v/>
      </c>
      <c r="O148" s="18">
        <f>IF(S148="","",1+COUNTIFS($N$2:$N$501,"Sí",$S$2:$S$501,"&gt;"&amp;S148))</f>
        <v/>
      </c>
      <c r="P148" s="18">
        <f>IF(A148="","",INDEX(Logros!$A$2:$A$6,MATCH(N(L148),Logros!$C$2:$C$6,1)))</f>
        <v/>
      </c>
      <c r="Q148" s="19" t="n"/>
      <c r="R148" s="18">
        <f>IF(OR(A148="",P148=""),"",IF(P148&gt;N(Q148),"Sí: entregar nivel "&amp;(N(Q148)+1)&amp;IF(P148&gt;N(Q148)+1," al "&amp;P148,"")&amp;" (ver Logros)",""))</f>
        <v/>
      </c>
      <c r="S148" s="20">
        <f>IF(OR(A148="",N148&lt;&gt;"Sí",N(L148)&lt;=0),"",(N(L148)*100000-MAX(0,ROUND((N(M148)-DATE(2026,10,1))*1440,0)))*1000-ROW())</f>
        <v/>
      </c>
    </row>
    <row r="149">
      <c r="A149" s="19" t="n"/>
      <c r="B149" s="19" t="n"/>
      <c r="C149" s="19" t="n"/>
      <c r="D149" s="21" t="n"/>
      <c r="E149" s="19" t="n"/>
      <c r="F149" s="19" t="n"/>
      <c r="G149" s="22" t="n"/>
      <c r="H149" s="19" t="n"/>
      <c r="I149" s="19" t="n"/>
      <c r="J149" s="19" t="n"/>
      <c r="K149" s="19" t="n"/>
      <c r="L149" s="16">
        <f>IF(A149="","",SUMIF(Movimientos!$B$2:$B$3001,A149,Movimientos!$F$2:$F$3001))</f>
        <v/>
      </c>
      <c r="M149" s="17">
        <f>IF(A149="","",IF(COUNTIF(Movimientos!$B$2:$B$3001,A149)=0,"",_xlfn.MAXIFS(Movimientos!$A$2:$A$3001,Movimientos!$B$2:$B$3001,A149)))</f>
        <v/>
      </c>
      <c r="N149" s="18">
        <f>IF(A149="","",IF(AND(H149="Sí",I149="Sí",K149&lt;&gt;"Sí"),"Sí","No"))</f>
        <v/>
      </c>
      <c r="O149" s="18">
        <f>IF(S149="","",1+COUNTIFS($N$2:$N$501,"Sí",$S$2:$S$501,"&gt;"&amp;S149))</f>
        <v/>
      </c>
      <c r="P149" s="18">
        <f>IF(A149="","",INDEX(Logros!$A$2:$A$6,MATCH(N(L149),Logros!$C$2:$C$6,1)))</f>
        <v/>
      </c>
      <c r="Q149" s="19" t="n"/>
      <c r="R149" s="18">
        <f>IF(OR(A149="",P149=""),"",IF(P149&gt;N(Q149),"Sí: entregar nivel "&amp;(N(Q149)+1)&amp;IF(P149&gt;N(Q149)+1," al "&amp;P149,"")&amp;" (ver Logros)",""))</f>
        <v/>
      </c>
      <c r="S149" s="20">
        <f>IF(OR(A149="",N149&lt;&gt;"Sí",N(L149)&lt;=0),"",(N(L149)*100000-MAX(0,ROUND((N(M149)-DATE(2026,10,1))*1440,0)))*1000-ROW())</f>
        <v/>
      </c>
    </row>
    <row r="150">
      <c r="A150" s="19" t="n"/>
      <c r="B150" s="19" t="n"/>
      <c r="C150" s="19" t="n"/>
      <c r="D150" s="21" t="n"/>
      <c r="E150" s="19" t="n"/>
      <c r="F150" s="19" t="n"/>
      <c r="G150" s="22" t="n"/>
      <c r="H150" s="19" t="n"/>
      <c r="I150" s="19" t="n"/>
      <c r="J150" s="19" t="n"/>
      <c r="K150" s="19" t="n"/>
      <c r="L150" s="16">
        <f>IF(A150="","",SUMIF(Movimientos!$B$2:$B$3001,A150,Movimientos!$F$2:$F$3001))</f>
        <v/>
      </c>
      <c r="M150" s="17">
        <f>IF(A150="","",IF(COUNTIF(Movimientos!$B$2:$B$3001,A150)=0,"",_xlfn.MAXIFS(Movimientos!$A$2:$A$3001,Movimientos!$B$2:$B$3001,A150)))</f>
        <v/>
      </c>
      <c r="N150" s="18">
        <f>IF(A150="","",IF(AND(H150="Sí",I150="Sí",K150&lt;&gt;"Sí"),"Sí","No"))</f>
        <v/>
      </c>
      <c r="O150" s="18">
        <f>IF(S150="","",1+COUNTIFS($N$2:$N$501,"Sí",$S$2:$S$501,"&gt;"&amp;S150))</f>
        <v/>
      </c>
      <c r="P150" s="18">
        <f>IF(A150="","",INDEX(Logros!$A$2:$A$6,MATCH(N(L150),Logros!$C$2:$C$6,1)))</f>
        <v/>
      </c>
      <c r="Q150" s="19" t="n"/>
      <c r="R150" s="18">
        <f>IF(OR(A150="",P150=""),"",IF(P150&gt;N(Q150),"Sí: entregar nivel "&amp;(N(Q150)+1)&amp;IF(P150&gt;N(Q150)+1," al "&amp;P150,"")&amp;" (ver Logros)",""))</f>
        <v/>
      </c>
      <c r="S150" s="20">
        <f>IF(OR(A150="",N150&lt;&gt;"Sí",N(L150)&lt;=0),"",(N(L150)*100000-MAX(0,ROUND((N(M150)-DATE(2026,10,1))*1440,0)))*1000-ROW())</f>
        <v/>
      </c>
    </row>
    <row r="151">
      <c r="A151" s="19" t="n"/>
      <c r="B151" s="19" t="n"/>
      <c r="C151" s="19" t="n"/>
      <c r="D151" s="21" t="n"/>
      <c r="E151" s="19" t="n"/>
      <c r="F151" s="19" t="n"/>
      <c r="G151" s="22" t="n"/>
      <c r="H151" s="19" t="n"/>
      <c r="I151" s="19" t="n"/>
      <c r="J151" s="19" t="n"/>
      <c r="K151" s="19" t="n"/>
      <c r="L151" s="16">
        <f>IF(A151="","",SUMIF(Movimientos!$B$2:$B$3001,A151,Movimientos!$F$2:$F$3001))</f>
        <v/>
      </c>
      <c r="M151" s="17">
        <f>IF(A151="","",IF(COUNTIF(Movimientos!$B$2:$B$3001,A151)=0,"",_xlfn.MAXIFS(Movimientos!$A$2:$A$3001,Movimientos!$B$2:$B$3001,A151)))</f>
        <v/>
      </c>
      <c r="N151" s="18">
        <f>IF(A151="","",IF(AND(H151="Sí",I151="Sí",K151&lt;&gt;"Sí"),"Sí","No"))</f>
        <v/>
      </c>
      <c r="O151" s="18">
        <f>IF(S151="","",1+COUNTIFS($N$2:$N$501,"Sí",$S$2:$S$501,"&gt;"&amp;S151))</f>
        <v/>
      </c>
      <c r="P151" s="18">
        <f>IF(A151="","",INDEX(Logros!$A$2:$A$6,MATCH(N(L151),Logros!$C$2:$C$6,1)))</f>
        <v/>
      </c>
      <c r="Q151" s="19" t="n"/>
      <c r="R151" s="18">
        <f>IF(OR(A151="",P151=""),"",IF(P151&gt;N(Q151),"Sí: entregar nivel "&amp;(N(Q151)+1)&amp;IF(P151&gt;N(Q151)+1," al "&amp;P151,"")&amp;" (ver Logros)",""))</f>
        <v/>
      </c>
      <c r="S151" s="20">
        <f>IF(OR(A151="",N151&lt;&gt;"Sí",N(L151)&lt;=0),"",(N(L151)*100000-MAX(0,ROUND((N(M151)-DATE(2026,10,1))*1440,0)))*1000-ROW())</f>
        <v/>
      </c>
    </row>
    <row r="152">
      <c r="A152" s="19" t="n"/>
      <c r="B152" s="19" t="n"/>
      <c r="C152" s="19" t="n"/>
      <c r="D152" s="21" t="n"/>
      <c r="E152" s="19" t="n"/>
      <c r="F152" s="19" t="n"/>
      <c r="G152" s="22" t="n"/>
      <c r="H152" s="19" t="n"/>
      <c r="I152" s="19" t="n"/>
      <c r="J152" s="19" t="n"/>
      <c r="K152" s="19" t="n"/>
      <c r="L152" s="16">
        <f>IF(A152="","",SUMIF(Movimientos!$B$2:$B$3001,A152,Movimientos!$F$2:$F$3001))</f>
        <v/>
      </c>
      <c r="M152" s="17">
        <f>IF(A152="","",IF(COUNTIF(Movimientos!$B$2:$B$3001,A152)=0,"",_xlfn.MAXIFS(Movimientos!$A$2:$A$3001,Movimientos!$B$2:$B$3001,A152)))</f>
        <v/>
      </c>
      <c r="N152" s="18">
        <f>IF(A152="","",IF(AND(H152="Sí",I152="Sí",K152&lt;&gt;"Sí"),"Sí","No"))</f>
        <v/>
      </c>
      <c r="O152" s="18">
        <f>IF(S152="","",1+COUNTIFS($N$2:$N$501,"Sí",$S$2:$S$501,"&gt;"&amp;S152))</f>
        <v/>
      </c>
      <c r="P152" s="18">
        <f>IF(A152="","",INDEX(Logros!$A$2:$A$6,MATCH(N(L152),Logros!$C$2:$C$6,1)))</f>
        <v/>
      </c>
      <c r="Q152" s="19" t="n"/>
      <c r="R152" s="18">
        <f>IF(OR(A152="",P152=""),"",IF(P152&gt;N(Q152),"Sí: entregar nivel "&amp;(N(Q152)+1)&amp;IF(P152&gt;N(Q152)+1," al "&amp;P152,"")&amp;" (ver Logros)",""))</f>
        <v/>
      </c>
      <c r="S152" s="20">
        <f>IF(OR(A152="",N152&lt;&gt;"Sí",N(L152)&lt;=0),"",(N(L152)*100000-MAX(0,ROUND((N(M152)-DATE(2026,10,1))*1440,0)))*1000-ROW())</f>
        <v/>
      </c>
    </row>
    <row r="153">
      <c r="A153" s="19" t="n"/>
      <c r="B153" s="19" t="n"/>
      <c r="C153" s="19" t="n"/>
      <c r="D153" s="21" t="n"/>
      <c r="E153" s="19" t="n"/>
      <c r="F153" s="19" t="n"/>
      <c r="G153" s="22" t="n"/>
      <c r="H153" s="19" t="n"/>
      <c r="I153" s="19" t="n"/>
      <c r="J153" s="19" t="n"/>
      <c r="K153" s="19" t="n"/>
      <c r="L153" s="16">
        <f>IF(A153="","",SUMIF(Movimientos!$B$2:$B$3001,A153,Movimientos!$F$2:$F$3001))</f>
        <v/>
      </c>
      <c r="M153" s="17">
        <f>IF(A153="","",IF(COUNTIF(Movimientos!$B$2:$B$3001,A153)=0,"",_xlfn.MAXIFS(Movimientos!$A$2:$A$3001,Movimientos!$B$2:$B$3001,A153)))</f>
        <v/>
      </c>
      <c r="N153" s="18">
        <f>IF(A153="","",IF(AND(H153="Sí",I153="Sí",K153&lt;&gt;"Sí"),"Sí","No"))</f>
        <v/>
      </c>
      <c r="O153" s="18">
        <f>IF(S153="","",1+COUNTIFS($N$2:$N$501,"Sí",$S$2:$S$501,"&gt;"&amp;S153))</f>
        <v/>
      </c>
      <c r="P153" s="18">
        <f>IF(A153="","",INDEX(Logros!$A$2:$A$6,MATCH(N(L153),Logros!$C$2:$C$6,1)))</f>
        <v/>
      </c>
      <c r="Q153" s="19" t="n"/>
      <c r="R153" s="18">
        <f>IF(OR(A153="",P153=""),"",IF(P153&gt;N(Q153),"Sí: entregar nivel "&amp;(N(Q153)+1)&amp;IF(P153&gt;N(Q153)+1," al "&amp;P153,"")&amp;" (ver Logros)",""))</f>
        <v/>
      </c>
      <c r="S153" s="20">
        <f>IF(OR(A153="",N153&lt;&gt;"Sí",N(L153)&lt;=0),"",(N(L153)*100000-MAX(0,ROUND((N(M153)-DATE(2026,10,1))*1440,0)))*1000-ROW())</f>
        <v/>
      </c>
    </row>
    <row r="154">
      <c r="A154" s="19" t="n"/>
      <c r="B154" s="19" t="n"/>
      <c r="C154" s="19" t="n"/>
      <c r="D154" s="21" t="n"/>
      <c r="E154" s="19" t="n"/>
      <c r="F154" s="19" t="n"/>
      <c r="G154" s="22" t="n"/>
      <c r="H154" s="19" t="n"/>
      <c r="I154" s="19" t="n"/>
      <c r="J154" s="19" t="n"/>
      <c r="K154" s="19" t="n"/>
      <c r="L154" s="16">
        <f>IF(A154="","",SUMIF(Movimientos!$B$2:$B$3001,A154,Movimientos!$F$2:$F$3001))</f>
        <v/>
      </c>
      <c r="M154" s="17">
        <f>IF(A154="","",IF(COUNTIF(Movimientos!$B$2:$B$3001,A154)=0,"",_xlfn.MAXIFS(Movimientos!$A$2:$A$3001,Movimientos!$B$2:$B$3001,A154)))</f>
        <v/>
      </c>
      <c r="N154" s="18">
        <f>IF(A154="","",IF(AND(H154="Sí",I154="Sí",K154&lt;&gt;"Sí"),"Sí","No"))</f>
        <v/>
      </c>
      <c r="O154" s="18">
        <f>IF(S154="","",1+COUNTIFS($N$2:$N$501,"Sí",$S$2:$S$501,"&gt;"&amp;S154))</f>
        <v/>
      </c>
      <c r="P154" s="18">
        <f>IF(A154="","",INDEX(Logros!$A$2:$A$6,MATCH(N(L154),Logros!$C$2:$C$6,1)))</f>
        <v/>
      </c>
      <c r="Q154" s="19" t="n"/>
      <c r="R154" s="18">
        <f>IF(OR(A154="",P154=""),"",IF(P154&gt;N(Q154),"Sí: entregar nivel "&amp;(N(Q154)+1)&amp;IF(P154&gt;N(Q154)+1," al "&amp;P154,"")&amp;" (ver Logros)",""))</f>
        <v/>
      </c>
      <c r="S154" s="20">
        <f>IF(OR(A154="",N154&lt;&gt;"Sí",N(L154)&lt;=0),"",(N(L154)*100000-MAX(0,ROUND((N(M154)-DATE(2026,10,1))*1440,0)))*1000-ROW())</f>
        <v/>
      </c>
    </row>
    <row r="155">
      <c r="A155" s="19" t="n"/>
      <c r="B155" s="19" t="n"/>
      <c r="C155" s="19" t="n"/>
      <c r="D155" s="21" t="n"/>
      <c r="E155" s="19" t="n"/>
      <c r="F155" s="19" t="n"/>
      <c r="G155" s="22" t="n"/>
      <c r="H155" s="19" t="n"/>
      <c r="I155" s="19" t="n"/>
      <c r="J155" s="19" t="n"/>
      <c r="K155" s="19" t="n"/>
      <c r="L155" s="16">
        <f>IF(A155="","",SUMIF(Movimientos!$B$2:$B$3001,A155,Movimientos!$F$2:$F$3001))</f>
        <v/>
      </c>
      <c r="M155" s="17">
        <f>IF(A155="","",IF(COUNTIF(Movimientos!$B$2:$B$3001,A155)=0,"",_xlfn.MAXIFS(Movimientos!$A$2:$A$3001,Movimientos!$B$2:$B$3001,A155)))</f>
        <v/>
      </c>
      <c r="N155" s="18">
        <f>IF(A155="","",IF(AND(H155="Sí",I155="Sí",K155&lt;&gt;"Sí"),"Sí","No"))</f>
        <v/>
      </c>
      <c r="O155" s="18">
        <f>IF(S155="","",1+COUNTIFS($N$2:$N$501,"Sí",$S$2:$S$501,"&gt;"&amp;S155))</f>
        <v/>
      </c>
      <c r="P155" s="18">
        <f>IF(A155="","",INDEX(Logros!$A$2:$A$6,MATCH(N(L155),Logros!$C$2:$C$6,1)))</f>
        <v/>
      </c>
      <c r="Q155" s="19" t="n"/>
      <c r="R155" s="18">
        <f>IF(OR(A155="",P155=""),"",IF(P155&gt;N(Q155),"Sí: entregar nivel "&amp;(N(Q155)+1)&amp;IF(P155&gt;N(Q155)+1," al "&amp;P155,"")&amp;" (ver Logros)",""))</f>
        <v/>
      </c>
      <c r="S155" s="20">
        <f>IF(OR(A155="",N155&lt;&gt;"Sí",N(L155)&lt;=0),"",(N(L155)*100000-MAX(0,ROUND((N(M155)-DATE(2026,10,1))*1440,0)))*1000-ROW())</f>
        <v/>
      </c>
    </row>
    <row r="156">
      <c r="A156" s="19" t="n"/>
      <c r="B156" s="19" t="n"/>
      <c r="C156" s="19" t="n"/>
      <c r="D156" s="21" t="n"/>
      <c r="E156" s="19" t="n"/>
      <c r="F156" s="19" t="n"/>
      <c r="G156" s="22" t="n"/>
      <c r="H156" s="19" t="n"/>
      <c r="I156" s="19" t="n"/>
      <c r="J156" s="19" t="n"/>
      <c r="K156" s="19" t="n"/>
      <c r="L156" s="16">
        <f>IF(A156="","",SUMIF(Movimientos!$B$2:$B$3001,A156,Movimientos!$F$2:$F$3001))</f>
        <v/>
      </c>
      <c r="M156" s="17">
        <f>IF(A156="","",IF(COUNTIF(Movimientos!$B$2:$B$3001,A156)=0,"",_xlfn.MAXIFS(Movimientos!$A$2:$A$3001,Movimientos!$B$2:$B$3001,A156)))</f>
        <v/>
      </c>
      <c r="N156" s="18">
        <f>IF(A156="","",IF(AND(H156="Sí",I156="Sí",K156&lt;&gt;"Sí"),"Sí","No"))</f>
        <v/>
      </c>
      <c r="O156" s="18">
        <f>IF(S156="","",1+COUNTIFS($N$2:$N$501,"Sí",$S$2:$S$501,"&gt;"&amp;S156))</f>
        <v/>
      </c>
      <c r="P156" s="18">
        <f>IF(A156="","",INDEX(Logros!$A$2:$A$6,MATCH(N(L156),Logros!$C$2:$C$6,1)))</f>
        <v/>
      </c>
      <c r="Q156" s="19" t="n"/>
      <c r="R156" s="18">
        <f>IF(OR(A156="",P156=""),"",IF(P156&gt;N(Q156),"Sí: entregar nivel "&amp;(N(Q156)+1)&amp;IF(P156&gt;N(Q156)+1," al "&amp;P156,"")&amp;" (ver Logros)",""))</f>
        <v/>
      </c>
      <c r="S156" s="20">
        <f>IF(OR(A156="",N156&lt;&gt;"Sí",N(L156)&lt;=0),"",(N(L156)*100000-MAX(0,ROUND((N(M156)-DATE(2026,10,1))*1440,0)))*1000-ROW())</f>
        <v/>
      </c>
    </row>
    <row r="157">
      <c r="A157" s="19" t="n"/>
      <c r="B157" s="19" t="n"/>
      <c r="C157" s="19" t="n"/>
      <c r="D157" s="21" t="n"/>
      <c r="E157" s="19" t="n"/>
      <c r="F157" s="19" t="n"/>
      <c r="G157" s="22" t="n"/>
      <c r="H157" s="19" t="n"/>
      <c r="I157" s="19" t="n"/>
      <c r="J157" s="19" t="n"/>
      <c r="K157" s="19" t="n"/>
      <c r="L157" s="16">
        <f>IF(A157="","",SUMIF(Movimientos!$B$2:$B$3001,A157,Movimientos!$F$2:$F$3001))</f>
        <v/>
      </c>
      <c r="M157" s="17">
        <f>IF(A157="","",IF(COUNTIF(Movimientos!$B$2:$B$3001,A157)=0,"",_xlfn.MAXIFS(Movimientos!$A$2:$A$3001,Movimientos!$B$2:$B$3001,A157)))</f>
        <v/>
      </c>
      <c r="N157" s="18">
        <f>IF(A157="","",IF(AND(H157="Sí",I157="Sí",K157&lt;&gt;"Sí"),"Sí","No"))</f>
        <v/>
      </c>
      <c r="O157" s="18">
        <f>IF(S157="","",1+COUNTIFS($N$2:$N$501,"Sí",$S$2:$S$501,"&gt;"&amp;S157))</f>
        <v/>
      </c>
      <c r="P157" s="18">
        <f>IF(A157="","",INDEX(Logros!$A$2:$A$6,MATCH(N(L157),Logros!$C$2:$C$6,1)))</f>
        <v/>
      </c>
      <c r="Q157" s="19" t="n"/>
      <c r="R157" s="18">
        <f>IF(OR(A157="",P157=""),"",IF(P157&gt;N(Q157),"Sí: entregar nivel "&amp;(N(Q157)+1)&amp;IF(P157&gt;N(Q157)+1," al "&amp;P157,"")&amp;" (ver Logros)",""))</f>
        <v/>
      </c>
      <c r="S157" s="20">
        <f>IF(OR(A157="",N157&lt;&gt;"Sí",N(L157)&lt;=0),"",(N(L157)*100000-MAX(0,ROUND((N(M157)-DATE(2026,10,1))*1440,0)))*1000-ROW())</f>
        <v/>
      </c>
    </row>
    <row r="158">
      <c r="A158" s="19" t="n"/>
      <c r="B158" s="19" t="n"/>
      <c r="C158" s="19" t="n"/>
      <c r="D158" s="21" t="n"/>
      <c r="E158" s="19" t="n"/>
      <c r="F158" s="19" t="n"/>
      <c r="G158" s="22" t="n"/>
      <c r="H158" s="19" t="n"/>
      <c r="I158" s="19" t="n"/>
      <c r="J158" s="19" t="n"/>
      <c r="K158" s="19" t="n"/>
      <c r="L158" s="16">
        <f>IF(A158="","",SUMIF(Movimientos!$B$2:$B$3001,A158,Movimientos!$F$2:$F$3001))</f>
        <v/>
      </c>
      <c r="M158" s="17">
        <f>IF(A158="","",IF(COUNTIF(Movimientos!$B$2:$B$3001,A158)=0,"",_xlfn.MAXIFS(Movimientos!$A$2:$A$3001,Movimientos!$B$2:$B$3001,A158)))</f>
        <v/>
      </c>
      <c r="N158" s="18">
        <f>IF(A158="","",IF(AND(H158="Sí",I158="Sí",K158&lt;&gt;"Sí"),"Sí","No"))</f>
        <v/>
      </c>
      <c r="O158" s="18">
        <f>IF(S158="","",1+COUNTIFS($N$2:$N$501,"Sí",$S$2:$S$501,"&gt;"&amp;S158))</f>
        <v/>
      </c>
      <c r="P158" s="18">
        <f>IF(A158="","",INDEX(Logros!$A$2:$A$6,MATCH(N(L158),Logros!$C$2:$C$6,1)))</f>
        <v/>
      </c>
      <c r="Q158" s="19" t="n"/>
      <c r="R158" s="18">
        <f>IF(OR(A158="",P158=""),"",IF(P158&gt;N(Q158),"Sí: entregar nivel "&amp;(N(Q158)+1)&amp;IF(P158&gt;N(Q158)+1," al "&amp;P158,"")&amp;" (ver Logros)",""))</f>
        <v/>
      </c>
      <c r="S158" s="20">
        <f>IF(OR(A158="",N158&lt;&gt;"Sí",N(L158)&lt;=0),"",(N(L158)*100000-MAX(0,ROUND((N(M158)-DATE(2026,10,1))*1440,0)))*1000-ROW())</f>
        <v/>
      </c>
    </row>
    <row r="159">
      <c r="A159" s="19" t="n"/>
      <c r="B159" s="19" t="n"/>
      <c r="C159" s="19" t="n"/>
      <c r="D159" s="21" t="n"/>
      <c r="E159" s="19" t="n"/>
      <c r="F159" s="19" t="n"/>
      <c r="G159" s="22" t="n"/>
      <c r="H159" s="19" t="n"/>
      <c r="I159" s="19" t="n"/>
      <c r="J159" s="19" t="n"/>
      <c r="K159" s="19" t="n"/>
      <c r="L159" s="16">
        <f>IF(A159="","",SUMIF(Movimientos!$B$2:$B$3001,A159,Movimientos!$F$2:$F$3001))</f>
        <v/>
      </c>
      <c r="M159" s="17">
        <f>IF(A159="","",IF(COUNTIF(Movimientos!$B$2:$B$3001,A159)=0,"",_xlfn.MAXIFS(Movimientos!$A$2:$A$3001,Movimientos!$B$2:$B$3001,A159)))</f>
        <v/>
      </c>
      <c r="N159" s="18">
        <f>IF(A159="","",IF(AND(H159="Sí",I159="Sí",K159&lt;&gt;"Sí"),"Sí","No"))</f>
        <v/>
      </c>
      <c r="O159" s="18">
        <f>IF(S159="","",1+COUNTIFS($N$2:$N$501,"Sí",$S$2:$S$501,"&gt;"&amp;S159))</f>
        <v/>
      </c>
      <c r="P159" s="18">
        <f>IF(A159="","",INDEX(Logros!$A$2:$A$6,MATCH(N(L159),Logros!$C$2:$C$6,1)))</f>
        <v/>
      </c>
      <c r="Q159" s="19" t="n"/>
      <c r="R159" s="18">
        <f>IF(OR(A159="",P159=""),"",IF(P159&gt;N(Q159),"Sí: entregar nivel "&amp;(N(Q159)+1)&amp;IF(P159&gt;N(Q159)+1," al "&amp;P159,"")&amp;" (ver Logros)",""))</f>
        <v/>
      </c>
      <c r="S159" s="20">
        <f>IF(OR(A159="",N159&lt;&gt;"Sí",N(L159)&lt;=0),"",(N(L159)*100000-MAX(0,ROUND((N(M159)-DATE(2026,10,1))*1440,0)))*1000-ROW())</f>
        <v/>
      </c>
    </row>
    <row r="160">
      <c r="A160" s="19" t="n"/>
      <c r="B160" s="19" t="n"/>
      <c r="C160" s="19" t="n"/>
      <c r="D160" s="21" t="n"/>
      <c r="E160" s="19" t="n"/>
      <c r="F160" s="19" t="n"/>
      <c r="G160" s="22" t="n"/>
      <c r="H160" s="19" t="n"/>
      <c r="I160" s="19" t="n"/>
      <c r="J160" s="19" t="n"/>
      <c r="K160" s="19" t="n"/>
      <c r="L160" s="16">
        <f>IF(A160="","",SUMIF(Movimientos!$B$2:$B$3001,A160,Movimientos!$F$2:$F$3001))</f>
        <v/>
      </c>
      <c r="M160" s="17">
        <f>IF(A160="","",IF(COUNTIF(Movimientos!$B$2:$B$3001,A160)=0,"",_xlfn.MAXIFS(Movimientos!$A$2:$A$3001,Movimientos!$B$2:$B$3001,A160)))</f>
        <v/>
      </c>
      <c r="N160" s="18">
        <f>IF(A160="","",IF(AND(H160="Sí",I160="Sí",K160&lt;&gt;"Sí"),"Sí","No"))</f>
        <v/>
      </c>
      <c r="O160" s="18">
        <f>IF(S160="","",1+COUNTIFS($N$2:$N$501,"Sí",$S$2:$S$501,"&gt;"&amp;S160))</f>
        <v/>
      </c>
      <c r="P160" s="18">
        <f>IF(A160="","",INDEX(Logros!$A$2:$A$6,MATCH(N(L160),Logros!$C$2:$C$6,1)))</f>
        <v/>
      </c>
      <c r="Q160" s="19" t="n"/>
      <c r="R160" s="18">
        <f>IF(OR(A160="",P160=""),"",IF(P160&gt;N(Q160),"Sí: entregar nivel "&amp;(N(Q160)+1)&amp;IF(P160&gt;N(Q160)+1," al "&amp;P160,"")&amp;" (ver Logros)",""))</f>
        <v/>
      </c>
      <c r="S160" s="20">
        <f>IF(OR(A160="",N160&lt;&gt;"Sí",N(L160)&lt;=0),"",(N(L160)*100000-MAX(0,ROUND((N(M160)-DATE(2026,10,1))*1440,0)))*1000-ROW())</f>
        <v/>
      </c>
    </row>
    <row r="161">
      <c r="A161" s="19" t="n"/>
      <c r="B161" s="19" t="n"/>
      <c r="C161" s="19" t="n"/>
      <c r="D161" s="21" t="n"/>
      <c r="E161" s="19" t="n"/>
      <c r="F161" s="19" t="n"/>
      <c r="G161" s="22" t="n"/>
      <c r="H161" s="19" t="n"/>
      <c r="I161" s="19" t="n"/>
      <c r="J161" s="19" t="n"/>
      <c r="K161" s="19" t="n"/>
      <c r="L161" s="16">
        <f>IF(A161="","",SUMIF(Movimientos!$B$2:$B$3001,A161,Movimientos!$F$2:$F$3001))</f>
        <v/>
      </c>
      <c r="M161" s="17">
        <f>IF(A161="","",IF(COUNTIF(Movimientos!$B$2:$B$3001,A161)=0,"",_xlfn.MAXIFS(Movimientos!$A$2:$A$3001,Movimientos!$B$2:$B$3001,A161)))</f>
        <v/>
      </c>
      <c r="N161" s="18">
        <f>IF(A161="","",IF(AND(H161="Sí",I161="Sí",K161&lt;&gt;"Sí"),"Sí","No"))</f>
        <v/>
      </c>
      <c r="O161" s="18">
        <f>IF(S161="","",1+COUNTIFS($N$2:$N$501,"Sí",$S$2:$S$501,"&gt;"&amp;S161))</f>
        <v/>
      </c>
      <c r="P161" s="18">
        <f>IF(A161="","",INDEX(Logros!$A$2:$A$6,MATCH(N(L161),Logros!$C$2:$C$6,1)))</f>
        <v/>
      </c>
      <c r="Q161" s="19" t="n"/>
      <c r="R161" s="18">
        <f>IF(OR(A161="",P161=""),"",IF(P161&gt;N(Q161),"Sí: entregar nivel "&amp;(N(Q161)+1)&amp;IF(P161&gt;N(Q161)+1," al "&amp;P161,"")&amp;" (ver Logros)",""))</f>
        <v/>
      </c>
      <c r="S161" s="20">
        <f>IF(OR(A161="",N161&lt;&gt;"Sí",N(L161)&lt;=0),"",(N(L161)*100000-MAX(0,ROUND((N(M161)-DATE(2026,10,1))*1440,0)))*1000-ROW())</f>
        <v/>
      </c>
    </row>
    <row r="162">
      <c r="A162" s="19" t="n"/>
      <c r="B162" s="19" t="n"/>
      <c r="C162" s="19" t="n"/>
      <c r="D162" s="21" t="n"/>
      <c r="E162" s="19" t="n"/>
      <c r="F162" s="19" t="n"/>
      <c r="G162" s="22" t="n"/>
      <c r="H162" s="19" t="n"/>
      <c r="I162" s="19" t="n"/>
      <c r="J162" s="19" t="n"/>
      <c r="K162" s="19" t="n"/>
      <c r="L162" s="16">
        <f>IF(A162="","",SUMIF(Movimientos!$B$2:$B$3001,A162,Movimientos!$F$2:$F$3001))</f>
        <v/>
      </c>
      <c r="M162" s="17">
        <f>IF(A162="","",IF(COUNTIF(Movimientos!$B$2:$B$3001,A162)=0,"",_xlfn.MAXIFS(Movimientos!$A$2:$A$3001,Movimientos!$B$2:$B$3001,A162)))</f>
        <v/>
      </c>
      <c r="N162" s="18">
        <f>IF(A162="","",IF(AND(H162="Sí",I162="Sí",K162&lt;&gt;"Sí"),"Sí","No"))</f>
        <v/>
      </c>
      <c r="O162" s="18">
        <f>IF(S162="","",1+COUNTIFS($N$2:$N$501,"Sí",$S$2:$S$501,"&gt;"&amp;S162))</f>
        <v/>
      </c>
      <c r="P162" s="18">
        <f>IF(A162="","",INDEX(Logros!$A$2:$A$6,MATCH(N(L162),Logros!$C$2:$C$6,1)))</f>
        <v/>
      </c>
      <c r="Q162" s="19" t="n"/>
      <c r="R162" s="18">
        <f>IF(OR(A162="",P162=""),"",IF(P162&gt;N(Q162),"Sí: entregar nivel "&amp;(N(Q162)+1)&amp;IF(P162&gt;N(Q162)+1," al "&amp;P162,"")&amp;" (ver Logros)",""))</f>
        <v/>
      </c>
      <c r="S162" s="20">
        <f>IF(OR(A162="",N162&lt;&gt;"Sí",N(L162)&lt;=0),"",(N(L162)*100000-MAX(0,ROUND((N(M162)-DATE(2026,10,1))*1440,0)))*1000-ROW())</f>
        <v/>
      </c>
    </row>
    <row r="163">
      <c r="A163" s="19" t="n"/>
      <c r="B163" s="19" t="n"/>
      <c r="C163" s="19" t="n"/>
      <c r="D163" s="21" t="n"/>
      <c r="E163" s="19" t="n"/>
      <c r="F163" s="19" t="n"/>
      <c r="G163" s="22" t="n"/>
      <c r="H163" s="19" t="n"/>
      <c r="I163" s="19" t="n"/>
      <c r="J163" s="19" t="n"/>
      <c r="K163" s="19" t="n"/>
      <c r="L163" s="16">
        <f>IF(A163="","",SUMIF(Movimientos!$B$2:$B$3001,A163,Movimientos!$F$2:$F$3001))</f>
        <v/>
      </c>
      <c r="M163" s="17">
        <f>IF(A163="","",IF(COUNTIF(Movimientos!$B$2:$B$3001,A163)=0,"",_xlfn.MAXIFS(Movimientos!$A$2:$A$3001,Movimientos!$B$2:$B$3001,A163)))</f>
        <v/>
      </c>
      <c r="N163" s="18">
        <f>IF(A163="","",IF(AND(H163="Sí",I163="Sí",K163&lt;&gt;"Sí"),"Sí","No"))</f>
        <v/>
      </c>
      <c r="O163" s="18">
        <f>IF(S163="","",1+COUNTIFS($N$2:$N$501,"Sí",$S$2:$S$501,"&gt;"&amp;S163))</f>
        <v/>
      </c>
      <c r="P163" s="18">
        <f>IF(A163="","",INDEX(Logros!$A$2:$A$6,MATCH(N(L163),Logros!$C$2:$C$6,1)))</f>
        <v/>
      </c>
      <c r="Q163" s="19" t="n"/>
      <c r="R163" s="18">
        <f>IF(OR(A163="",P163=""),"",IF(P163&gt;N(Q163),"Sí: entregar nivel "&amp;(N(Q163)+1)&amp;IF(P163&gt;N(Q163)+1," al "&amp;P163,"")&amp;" (ver Logros)",""))</f>
        <v/>
      </c>
      <c r="S163" s="20">
        <f>IF(OR(A163="",N163&lt;&gt;"Sí",N(L163)&lt;=0),"",(N(L163)*100000-MAX(0,ROUND((N(M163)-DATE(2026,10,1))*1440,0)))*1000-ROW())</f>
        <v/>
      </c>
    </row>
    <row r="164">
      <c r="A164" s="19" t="n"/>
      <c r="B164" s="19" t="n"/>
      <c r="C164" s="19" t="n"/>
      <c r="D164" s="21" t="n"/>
      <c r="E164" s="19" t="n"/>
      <c r="F164" s="19" t="n"/>
      <c r="G164" s="22" t="n"/>
      <c r="H164" s="19" t="n"/>
      <c r="I164" s="19" t="n"/>
      <c r="J164" s="19" t="n"/>
      <c r="K164" s="19" t="n"/>
      <c r="L164" s="16">
        <f>IF(A164="","",SUMIF(Movimientos!$B$2:$B$3001,A164,Movimientos!$F$2:$F$3001))</f>
        <v/>
      </c>
      <c r="M164" s="17">
        <f>IF(A164="","",IF(COUNTIF(Movimientos!$B$2:$B$3001,A164)=0,"",_xlfn.MAXIFS(Movimientos!$A$2:$A$3001,Movimientos!$B$2:$B$3001,A164)))</f>
        <v/>
      </c>
      <c r="N164" s="18">
        <f>IF(A164="","",IF(AND(H164="Sí",I164="Sí",K164&lt;&gt;"Sí"),"Sí","No"))</f>
        <v/>
      </c>
      <c r="O164" s="18">
        <f>IF(S164="","",1+COUNTIFS($N$2:$N$501,"Sí",$S$2:$S$501,"&gt;"&amp;S164))</f>
        <v/>
      </c>
      <c r="P164" s="18">
        <f>IF(A164="","",INDEX(Logros!$A$2:$A$6,MATCH(N(L164),Logros!$C$2:$C$6,1)))</f>
        <v/>
      </c>
      <c r="Q164" s="19" t="n"/>
      <c r="R164" s="18">
        <f>IF(OR(A164="",P164=""),"",IF(P164&gt;N(Q164),"Sí: entregar nivel "&amp;(N(Q164)+1)&amp;IF(P164&gt;N(Q164)+1," al "&amp;P164,"")&amp;" (ver Logros)",""))</f>
        <v/>
      </c>
      <c r="S164" s="20">
        <f>IF(OR(A164="",N164&lt;&gt;"Sí",N(L164)&lt;=0),"",(N(L164)*100000-MAX(0,ROUND((N(M164)-DATE(2026,10,1))*1440,0)))*1000-ROW())</f>
        <v/>
      </c>
    </row>
    <row r="165">
      <c r="A165" s="19" t="n"/>
      <c r="B165" s="19" t="n"/>
      <c r="C165" s="19" t="n"/>
      <c r="D165" s="21" t="n"/>
      <c r="E165" s="19" t="n"/>
      <c r="F165" s="19" t="n"/>
      <c r="G165" s="22" t="n"/>
      <c r="H165" s="19" t="n"/>
      <c r="I165" s="19" t="n"/>
      <c r="J165" s="19" t="n"/>
      <c r="K165" s="19" t="n"/>
      <c r="L165" s="16">
        <f>IF(A165="","",SUMIF(Movimientos!$B$2:$B$3001,A165,Movimientos!$F$2:$F$3001))</f>
        <v/>
      </c>
      <c r="M165" s="17">
        <f>IF(A165="","",IF(COUNTIF(Movimientos!$B$2:$B$3001,A165)=0,"",_xlfn.MAXIFS(Movimientos!$A$2:$A$3001,Movimientos!$B$2:$B$3001,A165)))</f>
        <v/>
      </c>
      <c r="N165" s="18">
        <f>IF(A165="","",IF(AND(H165="Sí",I165="Sí",K165&lt;&gt;"Sí"),"Sí","No"))</f>
        <v/>
      </c>
      <c r="O165" s="18">
        <f>IF(S165="","",1+COUNTIFS($N$2:$N$501,"Sí",$S$2:$S$501,"&gt;"&amp;S165))</f>
        <v/>
      </c>
      <c r="P165" s="18">
        <f>IF(A165="","",INDEX(Logros!$A$2:$A$6,MATCH(N(L165),Logros!$C$2:$C$6,1)))</f>
        <v/>
      </c>
      <c r="Q165" s="19" t="n"/>
      <c r="R165" s="18">
        <f>IF(OR(A165="",P165=""),"",IF(P165&gt;N(Q165),"Sí: entregar nivel "&amp;(N(Q165)+1)&amp;IF(P165&gt;N(Q165)+1," al "&amp;P165,"")&amp;" (ver Logros)",""))</f>
        <v/>
      </c>
      <c r="S165" s="20">
        <f>IF(OR(A165="",N165&lt;&gt;"Sí",N(L165)&lt;=0),"",(N(L165)*100000-MAX(0,ROUND((N(M165)-DATE(2026,10,1))*1440,0)))*1000-ROW())</f>
        <v/>
      </c>
    </row>
    <row r="166">
      <c r="A166" s="19" t="n"/>
      <c r="B166" s="19" t="n"/>
      <c r="C166" s="19" t="n"/>
      <c r="D166" s="21" t="n"/>
      <c r="E166" s="19" t="n"/>
      <c r="F166" s="19" t="n"/>
      <c r="G166" s="22" t="n"/>
      <c r="H166" s="19" t="n"/>
      <c r="I166" s="19" t="n"/>
      <c r="J166" s="19" t="n"/>
      <c r="K166" s="19" t="n"/>
      <c r="L166" s="16">
        <f>IF(A166="","",SUMIF(Movimientos!$B$2:$B$3001,A166,Movimientos!$F$2:$F$3001))</f>
        <v/>
      </c>
      <c r="M166" s="17">
        <f>IF(A166="","",IF(COUNTIF(Movimientos!$B$2:$B$3001,A166)=0,"",_xlfn.MAXIFS(Movimientos!$A$2:$A$3001,Movimientos!$B$2:$B$3001,A166)))</f>
        <v/>
      </c>
      <c r="N166" s="18">
        <f>IF(A166="","",IF(AND(H166="Sí",I166="Sí",K166&lt;&gt;"Sí"),"Sí","No"))</f>
        <v/>
      </c>
      <c r="O166" s="18">
        <f>IF(S166="","",1+COUNTIFS($N$2:$N$501,"Sí",$S$2:$S$501,"&gt;"&amp;S166))</f>
        <v/>
      </c>
      <c r="P166" s="18">
        <f>IF(A166="","",INDEX(Logros!$A$2:$A$6,MATCH(N(L166),Logros!$C$2:$C$6,1)))</f>
        <v/>
      </c>
      <c r="Q166" s="19" t="n"/>
      <c r="R166" s="18">
        <f>IF(OR(A166="",P166=""),"",IF(P166&gt;N(Q166),"Sí: entregar nivel "&amp;(N(Q166)+1)&amp;IF(P166&gt;N(Q166)+1," al "&amp;P166,"")&amp;" (ver Logros)",""))</f>
        <v/>
      </c>
      <c r="S166" s="20">
        <f>IF(OR(A166="",N166&lt;&gt;"Sí",N(L166)&lt;=0),"",(N(L166)*100000-MAX(0,ROUND((N(M166)-DATE(2026,10,1))*1440,0)))*1000-ROW())</f>
        <v/>
      </c>
    </row>
    <row r="167">
      <c r="A167" s="19" t="n"/>
      <c r="B167" s="19" t="n"/>
      <c r="C167" s="19" t="n"/>
      <c r="D167" s="21" t="n"/>
      <c r="E167" s="19" t="n"/>
      <c r="F167" s="19" t="n"/>
      <c r="G167" s="22" t="n"/>
      <c r="H167" s="19" t="n"/>
      <c r="I167" s="19" t="n"/>
      <c r="J167" s="19" t="n"/>
      <c r="K167" s="19" t="n"/>
      <c r="L167" s="16">
        <f>IF(A167="","",SUMIF(Movimientos!$B$2:$B$3001,A167,Movimientos!$F$2:$F$3001))</f>
        <v/>
      </c>
      <c r="M167" s="17">
        <f>IF(A167="","",IF(COUNTIF(Movimientos!$B$2:$B$3001,A167)=0,"",_xlfn.MAXIFS(Movimientos!$A$2:$A$3001,Movimientos!$B$2:$B$3001,A167)))</f>
        <v/>
      </c>
      <c r="N167" s="18">
        <f>IF(A167="","",IF(AND(H167="Sí",I167="Sí",K167&lt;&gt;"Sí"),"Sí","No"))</f>
        <v/>
      </c>
      <c r="O167" s="18">
        <f>IF(S167="","",1+COUNTIFS($N$2:$N$501,"Sí",$S$2:$S$501,"&gt;"&amp;S167))</f>
        <v/>
      </c>
      <c r="P167" s="18">
        <f>IF(A167="","",INDEX(Logros!$A$2:$A$6,MATCH(N(L167),Logros!$C$2:$C$6,1)))</f>
        <v/>
      </c>
      <c r="Q167" s="19" t="n"/>
      <c r="R167" s="18">
        <f>IF(OR(A167="",P167=""),"",IF(P167&gt;N(Q167),"Sí: entregar nivel "&amp;(N(Q167)+1)&amp;IF(P167&gt;N(Q167)+1," al "&amp;P167,"")&amp;" (ver Logros)",""))</f>
        <v/>
      </c>
      <c r="S167" s="20">
        <f>IF(OR(A167="",N167&lt;&gt;"Sí",N(L167)&lt;=0),"",(N(L167)*100000-MAX(0,ROUND((N(M167)-DATE(2026,10,1))*1440,0)))*1000-ROW())</f>
        <v/>
      </c>
    </row>
    <row r="168">
      <c r="A168" s="19" t="n"/>
      <c r="B168" s="19" t="n"/>
      <c r="C168" s="19" t="n"/>
      <c r="D168" s="21" t="n"/>
      <c r="E168" s="19" t="n"/>
      <c r="F168" s="19" t="n"/>
      <c r="G168" s="22" t="n"/>
      <c r="H168" s="19" t="n"/>
      <c r="I168" s="19" t="n"/>
      <c r="J168" s="19" t="n"/>
      <c r="K168" s="19" t="n"/>
      <c r="L168" s="16">
        <f>IF(A168="","",SUMIF(Movimientos!$B$2:$B$3001,A168,Movimientos!$F$2:$F$3001))</f>
        <v/>
      </c>
      <c r="M168" s="17">
        <f>IF(A168="","",IF(COUNTIF(Movimientos!$B$2:$B$3001,A168)=0,"",_xlfn.MAXIFS(Movimientos!$A$2:$A$3001,Movimientos!$B$2:$B$3001,A168)))</f>
        <v/>
      </c>
      <c r="N168" s="18">
        <f>IF(A168="","",IF(AND(H168="Sí",I168="Sí",K168&lt;&gt;"Sí"),"Sí","No"))</f>
        <v/>
      </c>
      <c r="O168" s="18">
        <f>IF(S168="","",1+COUNTIFS($N$2:$N$501,"Sí",$S$2:$S$501,"&gt;"&amp;S168))</f>
        <v/>
      </c>
      <c r="P168" s="18">
        <f>IF(A168="","",INDEX(Logros!$A$2:$A$6,MATCH(N(L168),Logros!$C$2:$C$6,1)))</f>
        <v/>
      </c>
      <c r="Q168" s="19" t="n"/>
      <c r="R168" s="18">
        <f>IF(OR(A168="",P168=""),"",IF(P168&gt;N(Q168),"Sí: entregar nivel "&amp;(N(Q168)+1)&amp;IF(P168&gt;N(Q168)+1," al "&amp;P168,"")&amp;" (ver Logros)",""))</f>
        <v/>
      </c>
      <c r="S168" s="20">
        <f>IF(OR(A168="",N168&lt;&gt;"Sí",N(L168)&lt;=0),"",(N(L168)*100000-MAX(0,ROUND((N(M168)-DATE(2026,10,1))*1440,0)))*1000-ROW())</f>
        <v/>
      </c>
    </row>
    <row r="169">
      <c r="A169" s="19" t="n"/>
      <c r="B169" s="19" t="n"/>
      <c r="C169" s="19" t="n"/>
      <c r="D169" s="21" t="n"/>
      <c r="E169" s="19" t="n"/>
      <c r="F169" s="19" t="n"/>
      <c r="G169" s="22" t="n"/>
      <c r="H169" s="19" t="n"/>
      <c r="I169" s="19" t="n"/>
      <c r="J169" s="19" t="n"/>
      <c r="K169" s="19" t="n"/>
      <c r="L169" s="16">
        <f>IF(A169="","",SUMIF(Movimientos!$B$2:$B$3001,A169,Movimientos!$F$2:$F$3001))</f>
        <v/>
      </c>
      <c r="M169" s="17">
        <f>IF(A169="","",IF(COUNTIF(Movimientos!$B$2:$B$3001,A169)=0,"",_xlfn.MAXIFS(Movimientos!$A$2:$A$3001,Movimientos!$B$2:$B$3001,A169)))</f>
        <v/>
      </c>
      <c r="N169" s="18">
        <f>IF(A169="","",IF(AND(H169="Sí",I169="Sí",K169&lt;&gt;"Sí"),"Sí","No"))</f>
        <v/>
      </c>
      <c r="O169" s="18">
        <f>IF(S169="","",1+COUNTIFS($N$2:$N$501,"Sí",$S$2:$S$501,"&gt;"&amp;S169))</f>
        <v/>
      </c>
      <c r="P169" s="18">
        <f>IF(A169="","",INDEX(Logros!$A$2:$A$6,MATCH(N(L169),Logros!$C$2:$C$6,1)))</f>
        <v/>
      </c>
      <c r="Q169" s="19" t="n"/>
      <c r="R169" s="18">
        <f>IF(OR(A169="",P169=""),"",IF(P169&gt;N(Q169),"Sí: entregar nivel "&amp;(N(Q169)+1)&amp;IF(P169&gt;N(Q169)+1," al "&amp;P169,"")&amp;" (ver Logros)",""))</f>
        <v/>
      </c>
      <c r="S169" s="20">
        <f>IF(OR(A169="",N169&lt;&gt;"Sí",N(L169)&lt;=0),"",(N(L169)*100000-MAX(0,ROUND((N(M169)-DATE(2026,10,1))*1440,0)))*1000-ROW())</f>
        <v/>
      </c>
    </row>
    <row r="170">
      <c r="A170" s="19" t="n"/>
      <c r="B170" s="19" t="n"/>
      <c r="C170" s="19" t="n"/>
      <c r="D170" s="21" t="n"/>
      <c r="E170" s="19" t="n"/>
      <c r="F170" s="19" t="n"/>
      <c r="G170" s="22" t="n"/>
      <c r="H170" s="19" t="n"/>
      <c r="I170" s="19" t="n"/>
      <c r="J170" s="19" t="n"/>
      <c r="K170" s="19" t="n"/>
      <c r="L170" s="16">
        <f>IF(A170="","",SUMIF(Movimientos!$B$2:$B$3001,A170,Movimientos!$F$2:$F$3001))</f>
        <v/>
      </c>
      <c r="M170" s="17">
        <f>IF(A170="","",IF(COUNTIF(Movimientos!$B$2:$B$3001,A170)=0,"",_xlfn.MAXIFS(Movimientos!$A$2:$A$3001,Movimientos!$B$2:$B$3001,A170)))</f>
        <v/>
      </c>
      <c r="N170" s="18">
        <f>IF(A170="","",IF(AND(H170="Sí",I170="Sí",K170&lt;&gt;"Sí"),"Sí","No"))</f>
        <v/>
      </c>
      <c r="O170" s="18">
        <f>IF(S170="","",1+COUNTIFS($N$2:$N$501,"Sí",$S$2:$S$501,"&gt;"&amp;S170))</f>
        <v/>
      </c>
      <c r="P170" s="18">
        <f>IF(A170="","",INDEX(Logros!$A$2:$A$6,MATCH(N(L170),Logros!$C$2:$C$6,1)))</f>
        <v/>
      </c>
      <c r="Q170" s="19" t="n"/>
      <c r="R170" s="18">
        <f>IF(OR(A170="",P170=""),"",IF(P170&gt;N(Q170),"Sí: entregar nivel "&amp;(N(Q170)+1)&amp;IF(P170&gt;N(Q170)+1," al "&amp;P170,"")&amp;" (ver Logros)",""))</f>
        <v/>
      </c>
      <c r="S170" s="20">
        <f>IF(OR(A170="",N170&lt;&gt;"Sí",N(L170)&lt;=0),"",(N(L170)*100000-MAX(0,ROUND((N(M170)-DATE(2026,10,1))*1440,0)))*1000-ROW())</f>
        <v/>
      </c>
    </row>
    <row r="171">
      <c r="A171" s="19" t="n"/>
      <c r="B171" s="19" t="n"/>
      <c r="C171" s="19" t="n"/>
      <c r="D171" s="21" t="n"/>
      <c r="E171" s="19" t="n"/>
      <c r="F171" s="19" t="n"/>
      <c r="G171" s="22" t="n"/>
      <c r="H171" s="19" t="n"/>
      <c r="I171" s="19" t="n"/>
      <c r="J171" s="19" t="n"/>
      <c r="K171" s="19" t="n"/>
      <c r="L171" s="16">
        <f>IF(A171="","",SUMIF(Movimientos!$B$2:$B$3001,A171,Movimientos!$F$2:$F$3001))</f>
        <v/>
      </c>
      <c r="M171" s="17">
        <f>IF(A171="","",IF(COUNTIF(Movimientos!$B$2:$B$3001,A171)=0,"",_xlfn.MAXIFS(Movimientos!$A$2:$A$3001,Movimientos!$B$2:$B$3001,A171)))</f>
        <v/>
      </c>
      <c r="N171" s="18">
        <f>IF(A171="","",IF(AND(H171="Sí",I171="Sí",K171&lt;&gt;"Sí"),"Sí","No"))</f>
        <v/>
      </c>
      <c r="O171" s="18">
        <f>IF(S171="","",1+COUNTIFS($N$2:$N$501,"Sí",$S$2:$S$501,"&gt;"&amp;S171))</f>
        <v/>
      </c>
      <c r="P171" s="18">
        <f>IF(A171="","",INDEX(Logros!$A$2:$A$6,MATCH(N(L171),Logros!$C$2:$C$6,1)))</f>
        <v/>
      </c>
      <c r="Q171" s="19" t="n"/>
      <c r="R171" s="18">
        <f>IF(OR(A171="",P171=""),"",IF(P171&gt;N(Q171),"Sí: entregar nivel "&amp;(N(Q171)+1)&amp;IF(P171&gt;N(Q171)+1," al "&amp;P171,"")&amp;" (ver Logros)",""))</f>
        <v/>
      </c>
      <c r="S171" s="20">
        <f>IF(OR(A171="",N171&lt;&gt;"Sí",N(L171)&lt;=0),"",(N(L171)*100000-MAX(0,ROUND((N(M171)-DATE(2026,10,1))*1440,0)))*1000-ROW())</f>
        <v/>
      </c>
    </row>
    <row r="172">
      <c r="A172" s="19" t="n"/>
      <c r="B172" s="19" t="n"/>
      <c r="C172" s="19" t="n"/>
      <c r="D172" s="21" t="n"/>
      <c r="E172" s="19" t="n"/>
      <c r="F172" s="19" t="n"/>
      <c r="G172" s="22" t="n"/>
      <c r="H172" s="19" t="n"/>
      <c r="I172" s="19" t="n"/>
      <c r="J172" s="19" t="n"/>
      <c r="K172" s="19" t="n"/>
      <c r="L172" s="16">
        <f>IF(A172="","",SUMIF(Movimientos!$B$2:$B$3001,A172,Movimientos!$F$2:$F$3001))</f>
        <v/>
      </c>
      <c r="M172" s="17">
        <f>IF(A172="","",IF(COUNTIF(Movimientos!$B$2:$B$3001,A172)=0,"",_xlfn.MAXIFS(Movimientos!$A$2:$A$3001,Movimientos!$B$2:$B$3001,A172)))</f>
        <v/>
      </c>
      <c r="N172" s="18">
        <f>IF(A172="","",IF(AND(H172="Sí",I172="Sí",K172&lt;&gt;"Sí"),"Sí","No"))</f>
        <v/>
      </c>
      <c r="O172" s="18">
        <f>IF(S172="","",1+COUNTIFS($N$2:$N$501,"Sí",$S$2:$S$501,"&gt;"&amp;S172))</f>
        <v/>
      </c>
      <c r="P172" s="18">
        <f>IF(A172="","",INDEX(Logros!$A$2:$A$6,MATCH(N(L172),Logros!$C$2:$C$6,1)))</f>
        <v/>
      </c>
      <c r="Q172" s="19" t="n"/>
      <c r="R172" s="18">
        <f>IF(OR(A172="",P172=""),"",IF(P172&gt;N(Q172),"Sí: entregar nivel "&amp;(N(Q172)+1)&amp;IF(P172&gt;N(Q172)+1," al "&amp;P172,"")&amp;" (ver Logros)",""))</f>
        <v/>
      </c>
      <c r="S172" s="20">
        <f>IF(OR(A172="",N172&lt;&gt;"Sí",N(L172)&lt;=0),"",(N(L172)*100000-MAX(0,ROUND((N(M172)-DATE(2026,10,1))*1440,0)))*1000-ROW())</f>
        <v/>
      </c>
    </row>
    <row r="173">
      <c r="A173" s="19" t="n"/>
      <c r="B173" s="19" t="n"/>
      <c r="C173" s="19" t="n"/>
      <c r="D173" s="21" t="n"/>
      <c r="E173" s="19" t="n"/>
      <c r="F173" s="19" t="n"/>
      <c r="G173" s="22" t="n"/>
      <c r="H173" s="19" t="n"/>
      <c r="I173" s="19" t="n"/>
      <c r="J173" s="19" t="n"/>
      <c r="K173" s="19" t="n"/>
      <c r="L173" s="16">
        <f>IF(A173="","",SUMIF(Movimientos!$B$2:$B$3001,A173,Movimientos!$F$2:$F$3001))</f>
        <v/>
      </c>
      <c r="M173" s="17">
        <f>IF(A173="","",IF(COUNTIF(Movimientos!$B$2:$B$3001,A173)=0,"",_xlfn.MAXIFS(Movimientos!$A$2:$A$3001,Movimientos!$B$2:$B$3001,A173)))</f>
        <v/>
      </c>
      <c r="N173" s="18">
        <f>IF(A173="","",IF(AND(H173="Sí",I173="Sí",K173&lt;&gt;"Sí"),"Sí","No"))</f>
        <v/>
      </c>
      <c r="O173" s="18">
        <f>IF(S173="","",1+COUNTIFS($N$2:$N$501,"Sí",$S$2:$S$501,"&gt;"&amp;S173))</f>
        <v/>
      </c>
      <c r="P173" s="18">
        <f>IF(A173="","",INDEX(Logros!$A$2:$A$6,MATCH(N(L173),Logros!$C$2:$C$6,1)))</f>
        <v/>
      </c>
      <c r="Q173" s="19" t="n"/>
      <c r="R173" s="18">
        <f>IF(OR(A173="",P173=""),"",IF(P173&gt;N(Q173),"Sí: entregar nivel "&amp;(N(Q173)+1)&amp;IF(P173&gt;N(Q173)+1," al "&amp;P173,"")&amp;" (ver Logros)",""))</f>
        <v/>
      </c>
      <c r="S173" s="20">
        <f>IF(OR(A173="",N173&lt;&gt;"Sí",N(L173)&lt;=0),"",(N(L173)*100000-MAX(0,ROUND((N(M173)-DATE(2026,10,1))*1440,0)))*1000-ROW())</f>
        <v/>
      </c>
    </row>
    <row r="174">
      <c r="A174" s="19" t="n"/>
      <c r="B174" s="19" t="n"/>
      <c r="C174" s="19" t="n"/>
      <c r="D174" s="21" t="n"/>
      <c r="E174" s="19" t="n"/>
      <c r="F174" s="19" t="n"/>
      <c r="G174" s="22" t="n"/>
      <c r="H174" s="19" t="n"/>
      <c r="I174" s="19" t="n"/>
      <c r="J174" s="19" t="n"/>
      <c r="K174" s="19" t="n"/>
      <c r="L174" s="16">
        <f>IF(A174="","",SUMIF(Movimientos!$B$2:$B$3001,A174,Movimientos!$F$2:$F$3001))</f>
        <v/>
      </c>
      <c r="M174" s="17">
        <f>IF(A174="","",IF(COUNTIF(Movimientos!$B$2:$B$3001,A174)=0,"",_xlfn.MAXIFS(Movimientos!$A$2:$A$3001,Movimientos!$B$2:$B$3001,A174)))</f>
        <v/>
      </c>
      <c r="N174" s="18">
        <f>IF(A174="","",IF(AND(H174="Sí",I174="Sí",K174&lt;&gt;"Sí"),"Sí","No"))</f>
        <v/>
      </c>
      <c r="O174" s="18">
        <f>IF(S174="","",1+COUNTIFS($N$2:$N$501,"Sí",$S$2:$S$501,"&gt;"&amp;S174))</f>
        <v/>
      </c>
      <c r="P174" s="18">
        <f>IF(A174="","",INDEX(Logros!$A$2:$A$6,MATCH(N(L174),Logros!$C$2:$C$6,1)))</f>
        <v/>
      </c>
      <c r="Q174" s="19" t="n"/>
      <c r="R174" s="18">
        <f>IF(OR(A174="",P174=""),"",IF(P174&gt;N(Q174),"Sí: entregar nivel "&amp;(N(Q174)+1)&amp;IF(P174&gt;N(Q174)+1," al "&amp;P174,"")&amp;" (ver Logros)",""))</f>
        <v/>
      </c>
      <c r="S174" s="20">
        <f>IF(OR(A174="",N174&lt;&gt;"Sí",N(L174)&lt;=0),"",(N(L174)*100000-MAX(0,ROUND((N(M174)-DATE(2026,10,1))*1440,0)))*1000-ROW())</f>
        <v/>
      </c>
    </row>
    <row r="175">
      <c r="A175" s="19" t="n"/>
      <c r="B175" s="19" t="n"/>
      <c r="C175" s="19" t="n"/>
      <c r="D175" s="21" t="n"/>
      <c r="E175" s="19" t="n"/>
      <c r="F175" s="19" t="n"/>
      <c r="G175" s="22" t="n"/>
      <c r="H175" s="19" t="n"/>
      <c r="I175" s="19" t="n"/>
      <c r="J175" s="19" t="n"/>
      <c r="K175" s="19" t="n"/>
      <c r="L175" s="16">
        <f>IF(A175="","",SUMIF(Movimientos!$B$2:$B$3001,A175,Movimientos!$F$2:$F$3001))</f>
        <v/>
      </c>
      <c r="M175" s="17">
        <f>IF(A175="","",IF(COUNTIF(Movimientos!$B$2:$B$3001,A175)=0,"",_xlfn.MAXIFS(Movimientos!$A$2:$A$3001,Movimientos!$B$2:$B$3001,A175)))</f>
        <v/>
      </c>
      <c r="N175" s="18">
        <f>IF(A175="","",IF(AND(H175="Sí",I175="Sí",K175&lt;&gt;"Sí"),"Sí","No"))</f>
        <v/>
      </c>
      <c r="O175" s="18">
        <f>IF(S175="","",1+COUNTIFS($N$2:$N$501,"Sí",$S$2:$S$501,"&gt;"&amp;S175))</f>
        <v/>
      </c>
      <c r="P175" s="18">
        <f>IF(A175="","",INDEX(Logros!$A$2:$A$6,MATCH(N(L175),Logros!$C$2:$C$6,1)))</f>
        <v/>
      </c>
      <c r="Q175" s="19" t="n"/>
      <c r="R175" s="18">
        <f>IF(OR(A175="",P175=""),"",IF(P175&gt;N(Q175),"Sí: entregar nivel "&amp;(N(Q175)+1)&amp;IF(P175&gt;N(Q175)+1," al "&amp;P175,"")&amp;" (ver Logros)",""))</f>
        <v/>
      </c>
      <c r="S175" s="20">
        <f>IF(OR(A175="",N175&lt;&gt;"Sí",N(L175)&lt;=0),"",(N(L175)*100000-MAX(0,ROUND((N(M175)-DATE(2026,10,1))*1440,0)))*1000-ROW())</f>
        <v/>
      </c>
    </row>
    <row r="176">
      <c r="A176" s="19" t="n"/>
      <c r="B176" s="19" t="n"/>
      <c r="C176" s="19" t="n"/>
      <c r="D176" s="21" t="n"/>
      <c r="E176" s="19" t="n"/>
      <c r="F176" s="19" t="n"/>
      <c r="G176" s="22" t="n"/>
      <c r="H176" s="19" t="n"/>
      <c r="I176" s="19" t="n"/>
      <c r="J176" s="19" t="n"/>
      <c r="K176" s="19" t="n"/>
      <c r="L176" s="16">
        <f>IF(A176="","",SUMIF(Movimientos!$B$2:$B$3001,A176,Movimientos!$F$2:$F$3001))</f>
        <v/>
      </c>
      <c r="M176" s="17">
        <f>IF(A176="","",IF(COUNTIF(Movimientos!$B$2:$B$3001,A176)=0,"",_xlfn.MAXIFS(Movimientos!$A$2:$A$3001,Movimientos!$B$2:$B$3001,A176)))</f>
        <v/>
      </c>
      <c r="N176" s="18">
        <f>IF(A176="","",IF(AND(H176="Sí",I176="Sí",K176&lt;&gt;"Sí"),"Sí","No"))</f>
        <v/>
      </c>
      <c r="O176" s="18">
        <f>IF(S176="","",1+COUNTIFS($N$2:$N$501,"Sí",$S$2:$S$501,"&gt;"&amp;S176))</f>
        <v/>
      </c>
      <c r="P176" s="18">
        <f>IF(A176="","",INDEX(Logros!$A$2:$A$6,MATCH(N(L176),Logros!$C$2:$C$6,1)))</f>
        <v/>
      </c>
      <c r="Q176" s="19" t="n"/>
      <c r="R176" s="18">
        <f>IF(OR(A176="",P176=""),"",IF(P176&gt;N(Q176),"Sí: entregar nivel "&amp;(N(Q176)+1)&amp;IF(P176&gt;N(Q176)+1," al "&amp;P176,"")&amp;" (ver Logros)",""))</f>
        <v/>
      </c>
      <c r="S176" s="20">
        <f>IF(OR(A176="",N176&lt;&gt;"Sí",N(L176)&lt;=0),"",(N(L176)*100000-MAX(0,ROUND((N(M176)-DATE(2026,10,1))*1440,0)))*1000-ROW())</f>
        <v/>
      </c>
    </row>
    <row r="177">
      <c r="A177" s="19" t="n"/>
      <c r="B177" s="19" t="n"/>
      <c r="C177" s="19" t="n"/>
      <c r="D177" s="21" t="n"/>
      <c r="E177" s="19" t="n"/>
      <c r="F177" s="19" t="n"/>
      <c r="G177" s="22" t="n"/>
      <c r="H177" s="19" t="n"/>
      <c r="I177" s="19" t="n"/>
      <c r="J177" s="19" t="n"/>
      <c r="K177" s="19" t="n"/>
      <c r="L177" s="16">
        <f>IF(A177="","",SUMIF(Movimientos!$B$2:$B$3001,A177,Movimientos!$F$2:$F$3001))</f>
        <v/>
      </c>
      <c r="M177" s="17">
        <f>IF(A177="","",IF(COUNTIF(Movimientos!$B$2:$B$3001,A177)=0,"",_xlfn.MAXIFS(Movimientos!$A$2:$A$3001,Movimientos!$B$2:$B$3001,A177)))</f>
        <v/>
      </c>
      <c r="N177" s="18">
        <f>IF(A177="","",IF(AND(H177="Sí",I177="Sí",K177&lt;&gt;"Sí"),"Sí","No"))</f>
        <v/>
      </c>
      <c r="O177" s="18">
        <f>IF(S177="","",1+COUNTIFS($N$2:$N$501,"Sí",$S$2:$S$501,"&gt;"&amp;S177))</f>
        <v/>
      </c>
      <c r="P177" s="18">
        <f>IF(A177="","",INDEX(Logros!$A$2:$A$6,MATCH(N(L177),Logros!$C$2:$C$6,1)))</f>
        <v/>
      </c>
      <c r="Q177" s="19" t="n"/>
      <c r="R177" s="18">
        <f>IF(OR(A177="",P177=""),"",IF(P177&gt;N(Q177),"Sí: entregar nivel "&amp;(N(Q177)+1)&amp;IF(P177&gt;N(Q177)+1," al "&amp;P177,"")&amp;" (ver Logros)",""))</f>
        <v/>
      </c>
      <c r="S177" s="20">
        <f>IF(OR(A177="",N177&lt;&gt;"Sí",N(L177)&lt;=0),"",(N(L177)*100000-MAX(0,ROUND((N(M177)-DATE(2026,10,1))*1440,0)))*1000-ROW())</f>
        <v/>
      </c>
    </row>
    <row r="178">
      <c r="A178" s="19" t="n"/>
      <c r="B178" s="19" t="n"/>
      <c r="C178" s="19" t="n"/>
      <c r="D178" s="21" t="n"/>
      <c r="E178" s="19" t="n"/>
      <c r="F178" s="19" t="n"/>
      <c r="G178" s="22" t="n"/>
      <c r="H178" s="19" t="n"/>
      <c r="I178" s="19" t="n"/>
      <c r="J178" s="19" t="n"/>
      <c r="K178" s="19" t="n"/>
      <c r="L178" s="16">
        <f>IF(A178="","",SUMIF(Movimientos!$B$2:$B$3001,A178,Movimientos!$F$2:$F$3001))</f>
        <v/>
      </c>
      <c r="M178" s="17">
        <f>IF(A178="","",IF(COUNTIF(Movimientos!$B$2:$B$3001,A178)=0,"",_xlfn.MAXIFS(Movimientos!$A$2:$A$3001,Movimientos!$B$2:$B$3001,A178)))</f>
        <v/>
      </c>
      <c r="N178" s="18">
        <f>IF(A178="","",IF(AND(H178="Sí",I178="Sí",K178&lt;&gt;"Sí"),"Sí","No"))</f>
        <v/>
      </c>
      <c r="O178" s="18">
        <f>IF(S178="","",1+COUNTIFS($N$2:$N$501,"Sí",$S$2:$S$501,"&gt;"&amp;S178))</f>
        <v/>
      </c>
      <c r="P178" s="18">
        <f>IF(A178="","",INDEX(Logros!$A$2:$A$6,MATCH(N(L178),Logros!$C$2:$C$6,1)))</f>
        <v/>
      </c>
      <c r="Q178" s="19" t="n"/>
      <c r="R178" s="18">
        <f>IF(OR(A178="",P178=""),"",IF(P178&gt;N(Q178),"Sí: entregar nivel "&amp;(N(Q178)+1)&amp;IF(P178&gt;N(Q178)+1," al "&amp;P178,"")&amp;" (ver Logros)",""))</f>
        <v/>
      </c>
      <c r="S178" s="20">
        <f>IF(OR(A178="",N178&lt;&gt;"Sí",N(L178)&lt;=0),"",(N(L178)*100000-MAX(0,ROUND((N(M178)-DATE(2026,10,1))*1440,0)))*1000-ROW())</f>
        <v/>
      </c>
    </row>
    <row r="179">
      <c r="A179" s="19" t="n"/>
      <c r="B179" s="19" t="n"/>
      <c r="C179" s="19" t="n"/>
      <c r="D179" s="21" t="n"/>
      <c r="E179" s="19" t="n"/>
      <c r="F179" s="19" t="n"/>
      <c r="G179" s="22" t="n"/>
      <c r="H179" s="19" t="n"/>
      <c r="I179" s="19" t="n"/>
      <c r="J179" s="19" t="n"/>
      <c r="K179" s="19" t="n"/>
      <c r="L179" s="16">
        <f>IF(A179="","",SUMIF(Movimientos!$B$2:$B$3001,A179,Movimientos!$F$2:$F$3001))</f>
        <v/>
      </c>
      <c r="M179" s="17">
        <f>IF(A179="","",IF(COUNTIF(Movimientos!$B$2:$B$3001,A179)=0,"",_xlfn.MAXIFS(Movimientos!$A$2:$A$3001,Movimientos!$B$2:$B$3001,A179)))</f>
        <v/>
      </c>
      <c r="N179" s="18">
        <f>IF(A179="","",IF(AND(H179="Sí",I179="Sí",K179&lt;&gt;"Sí"),"Sí","No"))</f>
        <v/>
      </c>
      <c r="O179" s="18">
        <f>IF(S179="","",1+COUNTIFS($N$2:$N$501,"Sí",$S$2:$S$501,"&gt;"&amp;S179))</f>
        <v/>
      </c>
      <c r="P179" s="18">
        <f>IF(A179="","",INDEX(Logros!$A$2:$A$6,MATCH(N(L179),Logros!$C$2:$C$6,1)))</f>
        <v/>
      </c>
      <c r="Q179" s="19" t="n"/>
      <c r="R179" s="18">
        <f>IF(OR(A179="",P179=""),"",IF(P179&gt;N(Q179),"Sí: entregar nivel "&amp;(N(Q179)+1)&amp;IF(P179&gt;N(Q179)+1," al "&amp;P179,"")&amp;" (ver Logros)",""))</f>
        <v/>
      </c>
      <c r="S179" s="20">
        <f>IF(OR(A179="",N179&lt;&gt;"Sí",N(L179)&lt;=0),"",(N(L179)*100000-MAX(0,ROUND((N(M179)-DATE(2026,10,1))*1440,0)))*1000-ROW())</f>
        <v/>
      </c>
    </row>
    <row r="180">
      <c r="A180" s="19" t="n"/>
      <c r="B180" s="19" t="n"/>
      <c r="C180" s="19" t="n"/>
      <c r="D180" s="21" t="n"/>
      <c r="E180" s="19" t="n"/>
      <c r="F180" s="19" t="n"/>
      <c r="G180" s="22" t="n"/>
      <c r="H180" s="19" t="n"/>
      <c r="I180" s="19" t="n"/>
      <c r="J180" s="19" t="n"/>
      <c r="K180" s="19" t="n"/>
      <c r="L180" s="16">
        <f>IF(A180="","",SUMIF(Movimientos!$B$2:$B$3001,A180,Movimientos!$F$2:$F$3001))</f>
        <v/>
      </c>
      <c r="M180" s="17">
        <f>IF(A180="","",IF(COUNTIF(Movimientos!$B$2:$B$3001,A180)=0,"",_xlfn.MAXIFS(Movimientos!$A$2:$A$3001,Movimientos!$B$2:$B$3001,A180)))</f>
        <v/>
      </c>
      <c r="N180" s="18">
        <f>IF(A180="","",IF(AND(H180="Sí",I180="Sí",K180&lt;&gt;"Sí"),"Sí","No"))</f>
        <v/>
      </c>
      <c r="O180" s="18">
        <f>IF(S180="","",1+COUNTIFS($N$2:$N$501,"Sí",$S$2:$S$501,"&gt;"&amp;S180))</f>
        <v/>
      </c>
      <c r="P180" s="18">
        <f>IF(A180="","",INDEX(Logros!$A$2:$A$6,MATCH(N(L180),Logros!$C$2:$C$6,1)))</f>
        <v/>
      </c>
      <c r="Q180" s="19" t="n"/>
      <c r="R180" s="18">
        <f>IF(OR(A180="",P180=""),"",IF(P180&gt;N(Q180),"Sí: entregar nivel "&amp;(N(Q180)+1)&amp;IF(P180&gt;N(Q180)+1," al "&amp;P180,"")&amp;" (ver Logros)",""))</f>
        <v/>
      </c>
      <c r="S180" s="20">
        <f>IF(OR(A180="",N180&lt;&gt;"Sí",N(L180)&lt;=0),"",(N(L180)*100000-MAX(0,ROUND((N(M180)-DATE(2026,10,1))*1440,0)))*1000-ROW())</f>
        <v/>
      </c>
    </row>
    <row r="181">
      <c r="A181" s="19" t="n"/>
      <c r="B181" s="19" t="n"/>
      <c r="C181" s="19" t="n"/>
      <c r="D181" s="21" t="n"/>
      <c r="E181" s="19" t="n"/>
      <c r="F181" s="19" t="n"/>
      <c r="G181" s="22" t="n"/>
      <c r="H181" s="19" t="n"/>
      <c r="I181" s="19" t="n"/>
      <c r="J181" s="19" t="n"/>
      <c r="K181" s="19" t="n"/>
      <c r="L181" s="16">
        <f>IF(A181="","",SUMIF(Movimientos!$B$2:$B$3001,A181,Movimientos!$F$2:$F$3001))</f>
        <v/>
      </c>
      <c r="M181" s="17">
        <f>IF(A181="","",IF(COUNTIF(Movimientos!$B$2:$B$3001,A181)=0,"",_xlfn.MAXIFS(Movimientos!$A$2:$A$3001,Movimientos!$B$2:$B$3001,A181)))</f>
        <v/>
      </c>
      <c r="N181" s="18">
        <f>IF(A181="","",IF(AND(H181="Sí",I181="Sí",K181&lt;&gt;"Sí"),"Sí","No"))</f>
        <v/>
      </c>
      <c r="O181" s="18">
        <f>IF(S181="","",1+COUNTIFS($N$2:$N$501,"Sí",$S$2:$S$501,"&gt;"&amp;S181))</f>
        <v/>
      </c>
      <c r="P181" s="18">
        <f>IF(A181="","",INDEX(Logros!$A$2:$A$6,MATCH(N(L181),Logros!$C$2:$C$6,1)))</f>
        <v/>
      </c>
      <c r="Q181" s="19" t="n"/>
      <c r="R181" s="18">
        <f>IF(OR(A181="",P181=""),"",IF(P181&gt;N(Q181),"Sí: entregar nivel "&amp;(N(Q181)+1)&amp;IF(P181&gt;N(Q181)+1," al "&amp;P181,"")&amp;" (ver Logros)",""))</f>
        <v/>
      </c>
      <c r="S181" s="20">
        <f>IF(OR(A181="",N181&lt;&gt;"Sí",N(L181)&lt;=0),"",(N(L181)*100000-MAX(0,ROUND((N(M181)-DATE(2026,10,1))*1440,0)))*1000-ROW())</f>
        <v/>
      </c>
    </row>
    <row r="182">
      <c r="A182" s="19" t="n"/>
      <c r="B182" s="19" t="n"/>
      <c r="C182" s="19" t="n"/>
      <c r="D182" s="21" t="n"/>
      <c r="E182" s="19" t="n"/>
      <c r="F182" s="19" t="n"/>
      <c r="G182" s="22" t="n"/>
      <c r="H182" s="19" t="n"/>
      <c r="I182" s="19" t="n"/>
      <c r="J182" s="19" t="n"/>
      <c r="K182" s="19" t="n"/>
      <c r="L182" s="16">
        <f>IF(A182="","",SUMIF(Movimientos!$B$2:$B$3001,A182,Movimientos!$F$2:$F$3001))</f>
        <v/>
      </c>
      <c r="M182" s="17">
        <f>IF(A182="","",IF(COUNTIF(Movimientos!$B$2:$B$3001,A182)=0,"",_xlfn.MAXIFS(Movimientos!$A$2:$A$3001,Movimientos!$B$2:$B$3001,A182)))</f>
        <v/>
      </c>
      <c r="N182" s="18">
        <f>IF(A182="","",IF(AND(H182="Sí",I182="Sí",K182&lt;&gt;"Sí"),"Sí","No"))</f>
        <v/>
      </c>
      <c r="O182" s="18">
        <f>IF(S182="","",1+COUNTIFS($N$2:$N$501,"Sí",$S$2:$S$501,"&gt;"&amp;S182))</f>
        <v/>
      </c>
      <c r="P182" s="18">
        <f>IF(A182="","",INDEX(Logros!$A$2:$A$6,MATCH(N(L182),Logros!$C$2:$C$6,1)))</f>
        <v/>
      </c>
      <c r="Q182" s="19" t="n"/>
      <c r="R182" s="18">
        <f>IF(OR(A182="",P182=""),"",IF(P182&gt;N(Q182),"Sí: entregar nivel "&amp;(N(Q182)+1)&amp;IF(P182&gt;N(Q182)+1," al "&amp;P182,"")&amp;" (ver Logros)",""))</f>
        <v/>
      </c>
      <c r="S182" s="20">
        <f>IF(OR(A182="",N182&lt;&gt;"Sí",N(L182)&lt;=0),"",(N(L182)*100000-MAX(0,ROUND((N(M182)-DATE(2026,10,1))*1440,0)))*1000-ROW())</f>
        <v/>
      </c>
    </row>
    <row r="183">
      <c r="A183" s="19" t="n"/>
      <c r="B183" s="19" t="n"/>
      <c r="C183" s="19" t="n"/>
      <c r="D183" s="21" t="n"/>
      <c r="E183" s="19" t="n"/>
      <c r="F183" s="19" t="n"/>
      <c r="G183" s="22" t="n"/>
      <c r="H183" s="19" t="n"/>
      <c r="I183" s="19" t="n"/>
      <c r="J183" s="19" t="n"/>
      <c r="K183" s="19" t="n"/>
      <c r="L183" s="16">
        <f>IF(A183="","",SUMIF(Movimientos!$B$2:$B$3001,A183,Movimientos!$F$2:$F$3001))</f>
        <v/>
      </c>
      <c r="M183" s="17">
        <f>IF(A183="","",IF(COUNTIF(Movimientos!$B$2:$B$3001,A183)=0,"",_xlfn.MAXIFS(Movimientos!$A$2:$A$3001,Movimientos!$B$2:$B$3001,A183)))</f>
        <v/>
      </c>
      <c r="N183" s="18">
        <f>IF(A183="","",IF(AND(H183="Sí",I183="Sí",K183&lt;&gt;"Sí"),"Sí","No"))</f>
        <v/>
      </c>
      <c r="O183" s="18">
        <f>IF(S183="","",1+COUNTIFS($N$2:$N$501,"Sí",$S$2:$S$501,"&gt;"&amp;S183))</f>
        <v/>
      </c>
      <c r="P183" s="18">
        <f>IF(A183="","",INDEX(Logros!$A$2:$A$6,MATCH(N(L183),Logros!$C$2:$C$6,1)))</f>
        <v/>
      </c>
      <c r="Q183" s="19" t="n"/>
      <c r="R183" s="18">
        <f>IF(OR(A183="",P183=""),"",IF(P183&gt;N(Q183),"Sí: entregar nivel "&amp;(N(Q183)+1)&amp;IF(P183&gt;N(Q183)+1," al "&amp;P183,"")&amp;" (ver Logros)",""))</f>
        <v/>
      </c>
      <c r="S183" s="20">
        <f>IF(OR(A183="",N183&lt;&gt;"Sí",N(L183)&lt;=0),"",(N(L183)*100000-MAX(0,ROUND((N(M183)-DATE(2026,10,1))*1440,0)))*1000-ROW())</f>
        <v/>
      </c>
    </row>
    <row r="184">
      <c r="A184" s="19" t="n"/>
      <c r="B184" s="19" t="n"/>
      <c r="C184" s="19" t="n"/>
      <c r="D184" s="21" t="n"/>
      <c r="E184" s="19" t="n"/>
      <c r="F184" s="19" t="n"/>
      <c r="G184" s="22" t="n"/>
      <c r="H184" s="19" t="n"/>
      <c r="I184" s="19" t="n"/>
      <c r="J184" s="19" t="n"/>
      <c r="K184" s="19" t="n"/>
      <c r="L184" s="16">
        <f>IF(A184="","",SUMIF(Movimientos!$B$2:$B$3001,A184,Movimientos!$F$2:$F$3001))</f>
        <v/>
      </c>
      <c r="M184" s="17">
        <f>IF(A184="","",IF(COUNTIF(Movimientos!$B$2:$B$3001,A184)=0,"",_xlfn.MAXIFS(Movimientos!$A$2:$A$3001,Movimientos!$B$2:$B$3001,A184)))</f>
        <v/>
      </c>
      <c r="N184" s="18">
        <f>IF(A184="","",IF(AND(H184="Sí",I184="Sí",K184&lt;&gt;"Sí"),"Sí","No"))</f>
        <v/>
      </c>
      <c r="O184" s="18">
        <f>IF(S184="","",1+COUNTIFS($N$2:$N$501,"Sí",$S$2:$S$501,"&gt;"&amp;S184))</f>
        <v/>
      </c>
      <c r="P184" s="18">
        <f>IF(A184="","",INDEX(Logros!$A$2:$A$6,MATCH(N(L184),Logros!$C$2:$C$6,1)))</f>
        <v/>
      </c>
      <c r="Q184" s="19" t="n"/>
      <c r="R184" s="18">
        <f>IF(OR(A184="",P184=""),"",IF(P184&gt;N(Q184),"Sí: entregar nivel "&amp;(N(Q184)+1)&amp;IF(P184&gt;N(Q184)+1," al "&amp;P184,"")&amp;" (ver Logros)",""))</f>
        <v/>
      </c>
      <c r="S184" s="20">
        <f>IF(OR(A184="",N184&lt;&gt;"Sí",N(L184)&lt;=0),"",(N(L184)*100000-MAX(0,ROUND((N(M184)-DATE(2026,10,1))*1440,0)))*1000-ROW())</f>
        <v/>
      </c>
    </row>
    <row r="185">
      <c r="A185" s="19" t="n"/>
      <c r="B185" s="19" t="n"/>
      <c r="C185" s="19" t="n"/>
      <c r="D185" s="21" t="n"/>
      <c r="E185" s="19" t="n"/>
      <c r="F185" s="19" t="n"/>
      <c r="G185" s="22" t="n"/>
      <c r="H185" s="19" t="n"/>
      <c r="I185" s="19" t="n"/>
      <c r="J185" s="19" t="n"/>
      <c r="K185" s="19" t="n"/>
      <c r="L185" s="16">
        <f>IF(A185="","",SUMIF(Movimientos!$B$2:$B$3001,A185,Movimientos!$F$2:$F$3001))</f>
        <v/>
      </c>
      <c r="M185" s="17">
        <f>IF(A185="","",IF(COUNTIF(Movimientos!$B$2:$B$3001,A185)=0,"",_xlfn.MAXIFS(Movimientos!$A$2:$A$3001,Movimientos!$B$2:$B$3001,A185)))</f>
        <v/>
      </c>
      <c r="N185" s="18">
        <f>IF(A185="","",IF(AND(H185="Sí",I185="Sí",K185&lt;&gt;"Sí"),"Sí","No"))</f>
        <v/>
      </c>
      <c r="O185" s="18">
        <f>IF(S185="","",1+COUNTIFS($N$2:$N$501,"Sí",$S$2:$S$501,"&gt;"&amp;S185))</f>
        <v/>
      </c>
      <c r="P185" s="18">
        <f>IF(A185="","",INDEX(Logros!$A$2:$A$6,MATCH(N(L185),Logros!$C$2:$C$6,1)))</f>
        <v/>
      </c>
      <c r="Q185" s="19" t="n"/>
      <c r="R185" s="18">
        <f>IF(OR(A185="",P185=""),"",IF(P185&gt;N(Q185),"Sí: entregar nivel "&amp;(N(Q185)+1)&amp;IF(P185&gt;N(Q185)+1," al "&amp;P185,"")&amp;" (ver Logros)",""))</f>
        <v/>
      </c>
      <c r="S185" s="20">
        <f>IF(OR(A185="",N185&lt;&gt;"Sí",N(L185)&lt;=0),"",(N(L185)*100000-MAX(0,ROUND((N(M185)-DATE(2026,10,1))*1440,0)))*1000-ROW())</f>
        <v/>
      </c>
    </row>
    <row r="186">
      <c r="A186" s="19" t="n"/>
      <c r="B186" s="19" t="n"/>
      <c r="C186" s="19" t="n"/>
      <c r="D186" s="21" t="n"/>
      <c r="E186" s="19" t="n"/>
      <c r="F186" s="19" t="n"/>
      <c r="G186" s="22" t="n"/>
      <c r="H186" s="19" t="n"/>
      <c r="I186" s="19" t="n"/>
      <c r="J186" s="19" t="n"/>
      <c r="K186" s="19" t="n"/>
      <c r="L186" s="16">
        <f>IF(A186="","",SUMIF(Movimientos!$B$2:$B$3001,A186,Movimientos!$F$2:$F$3001))</f>
        <v/>
      </c>
      <c r="M186" s="17">
        <f>IF(A186="","",IF(COUNTIF(Movimientos!$B$2:$B$3001,A186)=0,"",_xlfn.MAXIFS(Movimientos!$A$2:$A$3001,Movimientos!$B$2:$B$3001,A186)))</f>
        <v/>
      </c>
      <c r="N186" s="18">
        <f>IF(A186="","",IF(AND(H186="Sí",I186="Sí",K186&lt;&gt;"Sí"),"Sí","No"))</f>
        <v/>
      </c>
      <c r="O186" s="18">
        <f>IF(S186="","",1+COUNTIFS($N$2:$N$501,"Sí",$S$2:$S$501,"&gt;"&amp;S186))</f>
        <v/>
      </c>
      <c r="P186" s="18">
        <f>IF(A186="","",INDEX(Logros!$A$2:$A$6,MATCH(N(L186),Logros!$C$2:$C$6,1)))</f>
        <v/>
      </c>
      <c r="Q186" s="19" t="n"/>
      <c r="R186" s="18">
        <f>IF(OR(A186="",P186=""),"",IF(P186&gt;N(Q186),"Sí: entregar nivel "&amp;(N(Q186)+1)&amp;IF(P186&gt;N(Q186)+1," al "&amp;P186,"")&amp;" (ver Logros)",""))</f>
        <v/>
      </c>
      <c r="S186" s="20">
        <f>IF(OR(A186="",N186&lt;&gt;"Sí",N(L186)&lt;=0),"",(N(L186)*100000-MAX(0,ROUND((N(M186)-DATE(2026,10,1))*1440,0)))*1000-ROW())</f>
        <v/>
      </c>
    </row>
    <row r="187">
      <c r="A187" s="19" t="n"/>
      <c r="B187" s="19" t="n"/>
      <c r="C187" s="19" t="n"/>
      <c r="D187" s="21" t="n"/>
      <c r="E187" s="19" t="n"/>
      <c r="F187" s="19" t="n"/>
      <c r="G187" s="22" t="n"/>
      <c r="H187" s="19" t="n"/>
      <c r="I187" s="19" t="n"/>
      <c r="J187" s="19" t="n"/>
      <c r="K187" s="19" t="n"/>
      <c r="L187" s="16">
        <f>IF(A187="","",SUMIF(Movimientos!$B$2:$B$3001,A187,Movimientos!$F$2:$F$3001))</f>
        <v/>
      </c>
      <c r="M187" s="17">
        <f>IF(A187="","",IF(COUNTIF(Movimientos!$B$2:$B$3001,A187)=0,"",_xlfn.MAXIFS(Movimientos!$A$2:$A$3001,Movimientos!$B$2:$B$3001,A187)))</f>
        <v/>
      </c>
      <c r="N187" s="18">
        <f>IF(A187="","",IF(AND(H187="Sí",I187="Sí",K187&lt;&gt;"Sí"),"Sí","No"))</f>
        <v/>
      </c>
      <c r="O187" s="18">
        <f>IF(S187="","",1+COUNTIFS($N$2:$N$501,"Sí",$S$2:$S$501,"&gt;"&amp;S187))</f>
        <v/>
      </c>
      <c r="P187" s="18">
        <f>IF(A187="","",INDEX(Logros!$A$2:$A$6,MATCH(N(L187),Logros!$C$2:$C$6,1)))</f>
        <v/>
      </c>
      <c r="Q187" s="19" t="n"/>
      <c r="R187" s="18">
        <f>IF(OR(A187="",P187=""),"",IF(P187&gt;N(Q187),"Sí: entregar nivel "&amp;(N(Q187)+1)&amp;IF(P187&gt;N(Q187)+1," al "&amp;P187,"")&amp;" (ver Logros)",""))</f>
        <v/>
      </c>
      <c r="S187" s="20">
        <f>IF(OR(A187="",N187&lt;&gt;"Sí",N(L187)&lt;=0),"",(N(L187)*100000-MAX(0,ROUND((N(M187)-DATE(2026,10,1))*1440,0)))*1000-ROW())</f>
        <v/>
      </c>
    </row>
    <row r="188">
      <c r="A188" s="19" t="n"/>
      <c r="B188" s="19" t="n"/>
      <c r="C188" s="19" t="n"/>
      <c r="D188" s="21" t="n"/>
      <c r="E188" s="19" t="n"/>
      <c r="F188" s="19" t="n"/>
      <c r="G188" s="22" t="n"/>
      <c r="H188" s="19" t="n"/>
      <c r="I188" s="19" t="n"/>
      <c r="J188" s="19" t="n"/>
      <c r="K188" s="19" t="n"/>
      <c r="L188" s="16">
        <f>IF(A188="","",SUMIF(Movimientos!$B$2:$B$3001,A188,Movimientos!$F$2:$F$3001))</f>
        <v/>
      </c>
      <c r="M188" s="17">
        <f>IF(A188="","",IF(COUNTIF(Movimientos!$B$2:$B$3001,A188)=0,"",_xlfn.MAXIFS(Movimientos!$A$2:$A$3001,Movimientos!$B$2:$B$3001,A188)))</f>
        <v/>
      </c>
      <c r="N188" s="18">
        <f>IF(A188="","",IF(AND(H188="Sí",I188="Sí",K188&lt;&gt;"Sí"),"Sí","No"))</f>
        <v/>
      </c>
      <c r="O188" s="18">
        <f>IF(S188="","",1+COUNTIFS($N$2:$N$501,"Sí",$S$2:$S$501,"&gt;"&amp;S188))</f>
        <v/>
      </c>
      <c r="P188" s="18">
        <f>IF(A188="","",INDEX(Logros!$A$2:$A$6,MATCH(N(L188),Logros!$C$2:$C$6,1)))</f>
        <v/>
      </c>
      <c r="Q188" s="19" t="n"/>
      <c r="R188" s="18">
        <f>IF(OR(A188="",P188=""),"",IF(P188&gt;N(Q188),"Sí: entregar nivel "&amp;(N(Q188)+1)&amp;IF(P188&gt;N(Q188)+1," al "&amp;P188,"")&amp;" (ver Logros)",""))</f>
        <v/>
      </c>
      <c r="S188" s="20">
        <f>IF(OR(A188="",N188&lt;&gt;"Sí",N(L188)&lt;=0),"",(N(L188)*100000-MAX(0,ROUND((N(M188)-DATE(2026,10,1))*1440,0)))*1000-ROW())</f>
        <v/>
      </c>
    </row>
    <row r="189">
      <c r="A189" s="19" t="n"/>
      <c r="B189" s="19" t="n"/>
      <c r="C189" s="19" t="n"/>
      <c r="D189" s="21" t="n"/>
      <c r="E189" s="19" t="n"/>
      <c r="F189" s="19" t="n"/>
      <c r="G189" s="22" t="n"/>
      <c r="H189" s="19" t="n"/>
      <c r="I189" s="19" t="n"/>
      <c r="J189" s="19" t="n"/>
      <c r="K189" s="19" t="n"/>
      <c r="L189" s="16">
        <f>IF(A189="","",SUMIF(Movimientos!$B$2:$B$3001,A189,Movimientos!$F$2:$F$3001))</f>
        <v/>
      </c>
      <c r="M189" s="17">
        <f>IF(A189="","",IF(COUNTIF(Movimientos!$B$2:$B$3001,A189)=0,"",_xlfn.MAXIFS(Movimientos!$A$2:$A$3001,Movimientos!$B$2:$B$3001,A189)))</f>
        <v/>
      </c>
      <c r="N189" s="18">
        <f>IF(A189="","",IF(AND(H189="Sí",I189="Sí",K189&lt;&gt;"Sí"),"Sí","No"))</f>
        <v/>
      </c>
      <c r="O189" s="18">
        <f>IF(S189="","",1+COUNTIFS($N$2:$N$501,"Sí",$S$2:$S$501,"&gt;"&amp;S189))</f>
        <v/>
      </c>
      <c r="P189" s="18">
        <f>IF(A189="","",INDEX(Logros!$A$2:$A$6,MATCH(N(L189),Logros!$C$2:$C$6,1)))</f>
        <v/>
      </c>
      <c r="Q189" s="19" t="n"/>
      <c r="R189" s="18">
        <f>IF(OR(A189="",P189=""),"",IF(P189&gt;N(Q189),"Sí: entregar nivel "&amp;(N(Q189)+1)&amp;IF(P189&gt;N(Q189)+1," al "&amp;P189,"")&amp;" (ver Logros)",""))</f>
        <v/>
      </c>
      <c r="S189" s="20">
        <f>IF(OR(A189="",N189&lt;&gt;"Sí",N(L189)&lt;=0),"",(N(L189)*100000-MAX(0,ROUND((N(M189)-DATE(2026,10,1))*1440,0)))*1000-ROW())</f>
        <v/>
      </c>
    </row>
    <row r="190">
      <c r="A190" s="19" t="n"/>
      <c r="B190" s="19" t="n"/>
      <c r="C190" s="19" t="n"/>
      <c r="D190" s="21" t="n"/>
      <c r="E190" s="19" t="n"/>
      <c r="F190" s="19" t="n"/>
      <c r="G190" s="22" t="n"/>
      <c r="H190" s="19" t="n"/>
      <c r="I190" s="19" t="n"/>
      <c r="J190" s="19" t="n"/>
      <c r="K190" s="19" t="n"/>
      <c r="L190" s="16">
        <f>IF(A190="","",SUMIF(Movimientos!$B$2:$B$3001,A190,Movimientos!$F$2:$F$3001))</f>
        <v/>
      </c>
      <c r="M190" s="17">
        <f>IF(A190="","",IF(COUNTIF(Movimientos!$B$2:$B$3001,A190)=0,"",_xlfn.MAXIFS(Movimientos!$A$2:$A$3001,Movimientos!$B$2:$B$3001,A190)))</f>
        <v/>
      </c>
      <c r="N190" s="18">
        <f>IF(A190="","",IF(AND(H190="Sí",I190="Sí",K190&lt;&gt;"Sí"),"Sí","No"))</f>
        <v/>
      </c>
      <c r="O190" s="18">
        <f>IF(S190="","",1+COUNTIFS($N$2:$N$501,"Sí",$S$2:$S$501,"&gt;"&amp;S190))</f>
        <v/>
      </c>
      <c r="P190" s="18">
        <f>IF(A190="","",INDEX(Logros!$A$2:$A$6,MATCH(N(L190),Logros!$C$2:$C$6,1)))</f>
        <v/>
      </c>
      <c r="Q190" s="19" t="n"/>
      <c r="R190" s="18">
        <f>IF(OR(A190="",P190=""),"",IF(P190&gt;N(Q190),"Sí: entregar nivel "&amp;(N(Q190)+1)&amp;IF(P190&gt;N(Q190)+1," al "&amp;P190,"")&amp;" (ver Logros)",""))</f>
        <v/>
      </c>
      <c r="S190" s="20">
        <f>IF(OR(A190="",N190&lt;&gt;"Sí",N(L190)&lt;=0),"",(N(L190)*100000-MAX(0,ROUND((N(M190)-DATE(2026,10,1))*1440,0)))*1000-ROW())</f>
        <v/>
      </c>
    </row>
    <row r="191">
      <c r="A191" s="19" t="n"/>
      <c r="B191" s="19" t="n"/>
      <c r="C191" s="19" t="n"/>
      <c r="D191" s="21" t="n"/>
      <c r="E191" s="19" t="n"/>
      <c r="F191" s="19" t="n"/>
      <c r="G191" s="22" t="n"/>
      <c r="H191" s="19" t="n"/>
      <c r="I191" s="19" t="n"/>
      <c r="J191" s="19" t="n"/>
      <c r="K191" s="19" t="n"/>
      <c r="L191" s="16">
        <f>IF(A191="","",SUMIF(Movimientos!$B$2:$B$3001,A191,Movimientos!$F$2:$F$3001))</f>
        <v/>
      </c>
      <c r="M191" s="17">
        <f>IF(A191="","",IF(COUNTIF(Movimientos!$B$2:$B$3001,A191)=0,"",_xlfn.MAXIFS(Movimientos!$A$2:$A$3001,Movimientos!$B$2:$B$3001,A191)))</f>
        <v/>
      </c>
      <c r="N191" s="18">
        <f>IF(A191="","",IF(AND(H191="Sí",I191="Sí",K191&lt;&gt;"Sí"),"Sí","No"))</f>
        <v/>
      </c>
      <c r="O191" s="18">
        <f>IF(S191="","",1+COUNTIFS($N$2:$N$501,"Sí",$S$2:$S$501,"&gt;"&amp;S191))</f>
        <v/>
      </c>
      <c r="P191" s="18">
        <f>IF(A191="","",INDEX(Logros!$A$2:$A$6,MATCH(N(L191),Logros!$C$2:$C$6,1)))</f>
        <v/>
      </c>
      <c r="Q191" s="19" t="n"/>
      <c r="R191" s="18">
        <f>IF(OR(A191="",P191=""),"",IF(P191&gt;N(Q191),"Sí: entregar nivel "&amp;(N(Q191)+1)&amp;IF(P191&gt;N(Q191)+1," al "&amp;P191,"")&amp;" (ver Logros)",""))</f>
        <v/>
      </c>
      <c r="S191" s="20">
        <f>IF(OR(A191="",N191&lt;&gt;"Sí",N(L191)&lt;=0),"",(N(L191)*100000-MAX(0,ROUND((N(M191)-DATE(2026,10,1))*1440,0)))*1000-ROW())</f>
        <v/>
      </c>
    </row>
    <row r="192">
      <c r="A192" s="19" t="n"/>
      <c r="B192" s="19" t="n"/>
      <c r="C192" s="19" t="n"/>
      <c r="D192" s="21" t="n"/>
      <c r="E192" s="19" t="n"/>
      <c r="F192" s="19" t="n"/>
      <c r="G192" s="22" t="n"/>
      <c r="H192" s="19" t="n"/>
      <c r="I192" s="19" t="n"/>
      <c r="J192" s="19" t="n"/>
      <c r="K192" s="19" t="n"/>
      <c r="L192" s="16">
        <f>IF(A192="","",SUMIF(Movimientos!$B$2:$B$3001,A192,Movimientos!$F$2:$F$3001))</f>
        <v/>
      </c>
      <c r="M192" s="17">
        <f>IF(A192="","",IF(COUNTIF(Movimientos!$B$2:$B$3001,A192)=0,"",_xlfn.MAXIFS(Movimientos!$A$2:$A$3001,Movimientos!$B$2:$B$3001,A192)))</f>
        <v/>
      </c>
      <c r="N192" s="18">
        <f>IF(A192="","",IF(AND(H192="Sí",I192="Sí",K192&lt;&gt;"Sí"),"Sí","No"))</f>
        <v/>
      </c>
      <c r="O192" s="18">
        <f>IF(S192="","",1+COUNTIFS($N$2:$N$501,"Sí",$S$2:$S$501,"&gt;"&amp;S192))</f>
        <v/>
      </c>
      <c r="P192" s="18">
        <f>IF(A192="","",INDEX(Logros!$A$2:$A$6,MATCH(N(L192),Logros!$C$2:$C$6,1)))</f>
        <v/>
      </c>
      <c r="Q192" s="19" t="n"/>
      <c r="R192" s="18">
        <f>IF(OR(A192="",P192=""),"",IF(P192&gt;N(Q192),"Sí: entregar nivel "&amp;(N(Q192)+1)&amp;IF(P192&gt;N(Q192)+1," al "&amp;P192,"")&amp;" (ver Logros)",""))</f>
        <v/>
      </c>
      <c r="S192" s="20">
        <f>IF(OR(A192="",N192&lt;&gt;"Sí",N(L192)&lt;=0),"",(N(L192)*100000-MAX(0,ROUND((N(M192)-DATE(2026,10,1))*1440,0)))*1000-ROW())</f>
        <v/>
      </c>
    </row>
    <row r="193">
      <c r="A193" s="19" t="n"/>
      <c r="B193" s="19" t="n"/>
      <c r="C193" s="19" t="n"/>
      <c r="D193" s="21" t="n"/>
      <c r="E193" s="19" t="n"/>
      <c r="F193" s="19" t="n"/>
      <c r="G193" s="22" t="n"/>
      <c r="H193" s="19" t="n"/>
      <c r="I193" s="19" t="n"/>
      <c r="J193" s="19" t="n"/>
      <c r="K193" s="19" t="n"/>
      <c r="L193" s="16">
        <f>IF(A193="","",SUMIF(Movimientos!$B$2:$B$3001,A193,Movimientos!$F$2:$F$3001))</f>
        <v/>
      </c>
      <c r="M193" s="17">
        <f>IF(A193="","",IF(COUNTIF(Movimientos!$B$2:$B$3001,A193)=0,"",_xlfn.MAXIFS(Movimientos!$A$2:$A$3001,Movimientos!$B$2:$B$3001,A193)))</f>
        <v/>
      </c>
      <c r="N193" s="18">
        <f>IF(A193="","",IF(AND(H193="Sí",I193="Sí",K193&lt;&gt;"Sí"),"Sí","No"))</f>
        <v/>
      </c>
      <c r="O193" s="18">
        <f>IF(S193="","",1+COUNTIFS($N$2:$N$501,"Sí",$S$2:$S$501,"&gt;"&amp;S193))</f>
        <v/>
      </c>
      <c r="P193" s="18">
        <f>IF(A193="","",INDEX(Logros!$A$2:$A$6,MATCH(N(L193),Logros!$C$2:$C$6,1)))</f>
        <v/>
      </c>
      <c r="Q193" s="19" t="n"/>
      <c r="R193" s="18">
        <f>IF(OR(A193="",P193=""),"",IF(P193&gt;N(Q193),"Sí: entregar nivel "&amp;(N(Q193)+1)&amp;IF(P193&gt;N(Q193)+1," al "&amp;P193,"")&amp;" (ver Logros)",""))</f>
        <v/>
      </c>
      <c r="S193" s="20">
        <f>IF(OR(A193="",N193&lt;&gt;"Sí",N(L193)&lt;=0),"",(N(L193)*100000-MAX(0,ROUND((N(M193)-DATE(2026,10,1))*1440,0)))*1000-ROW())</f>
        <v/>
      </c>
    </row>
    <row r="194">
      <c r="A194" s="19" t="n"/>
      <c r="B194" s="19" t="n"/>
      <c r="C194" s="19" t="n"/>
      <c r="D194" s="21" t="n"/>
      <c r="E194" s="19" t="n"/>
      <c r="F194" s="19" t="n"/>
      <c r="G194" s="22" t="n"/>
      <c r="H194" s="19" t="n"/>
      <c r="I194" s="19" t="n"/>
      <c r="J194" s="19" t="n"/>
      <c r="K194" s="19" t="n"/>
      <c r="L194" s="16">
        <f>IF(A194="","",SUMIF(Movimientos!$B$2:$B$3001,A194,Movimientos!$F$2:$F$3001))</f>
        <v/>
      </c>
      <c r="M194" s="17">
        <f>IF(A194="","",IF(COUNTIF(Movimientos!$B$2:$B$3001,A194)=0,"",_xlfn.MAXIFS(Movimientos!$A$2:$A$3001,Movimientos!$B$2:$B$3001,A194)))</f>
        <v/>
      </c>
      <c r="N194" s="18">
        <f>IF(A194="","",IF(AND(H194="Sí",I194="Sí",K194&lt;&gt;"Sí"),"Sí","No"))</f>
        <v/>
      </c>
      <c r="O194" s="18">
        <f>IF(S194="","",1+COUNTIFS($N$2:$N$501,"Sí",$S$2:$S$501,"&gt;"&amp;S194))</f>
        <v/>
      </c>
      <c r="P194" s="18">
        <f>IF(A194="","",INDEX(Logros!$A$2:$A$6,MATCH(N(L194),Logros!$C$2:$C$6,1)))</f>
        <v/>
      </c>
      <c r="Q194" s="19" t="n"/>
      <c r="R194" s="18">
        <f>IF(OR(A194="",P194=""),"",IF(P194&gt;N(Q194),"Sí: entregar nivel "&amp;(N(Q194)+1)&amp;IF(P194&gt;N(Q194)+1," al "&amp;P194,"")&amp;" (ver Logros)",""))</f>
        <v/>
      </c>
      <c r="S194" s="20">
        <f>IF(OR(A194="",N194&lt;&gt;"Sí",N(L194)&lt;=0),"",(N(L194)*100000-MAX(0,ROUND((N(M194)-DATE(2026,10,1))*1440,0)))*1000-ROW())</f>
        <v/>
      </c>
    </row>
    <row r="195">
      <c r="A195" s="19" t="n"/>
      <c r="B195" s="19" t="n"/>
      <c r="C195" s="19" t="n"/>
      <c r="D195" s="21" t="n"/>
      <c r="E195" s="19" t="n"/>
      <c r="F195" s="19" t="n"/>
      <c r="G195" s="22" t="n"/>
      <c r="H195" s="19" t="n"/>
      <c r="I195" s="19" t="n"/>
      <c r="J195" s="19" t="n"/>
      <c r="K195" s="19" t="n"/>
      <c r="L195" s="16">
        <f>IF(A195="","",SUMIF(Movimientos!$B$2:$B$3001,A195,Movimientos!$F$2:$F$3001))</f>
        <v/>
      </c>
      <c r="M195" s="17">
        <f>IF(A195="","",IF(COUNTIF(Movimientos!$B$2:$B$3001,A195)=0,"",_xlfn.MAXIFS(Movimientos!$A$2:$A$3001,Movimientos!$B$2:$B$3001,A195)))</f>
        <v/>
      </c>
      <c r="N195" s="18">
        <f>IF(A195="","",IF(AND(H195="Sí",I195="Sí",K195&lt;&gt;"Sí"),"Sí","No"))</f>
        <v/>
      </c>
      <c r="O195" s="18">
        <f>IF(S195="","",1+COUNTIFS($N$2:$N$501,"Sí",$S$2:$S$501,"&gt;"&amp;S195))</f>
        <v/>
      </c>
      <c r="P195" s="18">
        <f>IF(A195="","",INDEX(Logros!$A$2:$A$6,MATCH(N(L195),Logros!$C$2:$C$6,1)))</f>
        <v/>
      </c>
      <c r="Q195" s="19" t="n"/>
      <c r="R195" s="18">
        <f>IF(OR(A195="",P195=""),"",IF(P195&gt;N(Q195),"Sí: entregar nivel "&amp;(N(Q195)+1)&amp;IF(P195&gt;N(Q195)+1," al "&amp;P195,"")&amp;" (ver Logros)",""))</f>
        <v/>
      </c>
      <c r="S195" s="20">
        <f>IF(OR(A195="",N195&lt;&gt;"Sí",N(L195)&lt;=0),"",(N(L195)*100000-MAX(0,ROUND((N(M195)-DATE(2026,10,1))*1440,0)))*1000-ROW())</f>
        <v/>
      </c>
    </row>
    <row r="196">
      <c r="A196" s="19" t="n"/>
      <c r="B196" s="19" t="n"/>
      <c r="C196" s="19" t="n"/>
      <c r="D196" s="21" t="n"/>
      <c r="E196" s="19" t="n"/>
      <c r="F196" s="19" t="n"/>
      <c r="G196" s="22" t="n"/>
      <c r="H196" s="19" t="n"/>
      <c r="I196" s="19" t="n"/>
      <c r="J196" s="19" t="n"/>
      <c r="K196" s="19" t="n"/>
      <c r="L196" s="16">
        <f>IF(A196="","",SUMIF(Movimientos!$B$2:$B$3001,A196,Movimientos!$F$2:$F$3001))</f>
        <v/>
      </c>
      <c r="M196" s="17">
        <f>IF(A196="","",IF(COUNTIF(Movimientos!$B$2:$B$3001,A196)=0,"",_xlfn.MAXIFS(Movimientos!$A$2:$A$3001,Movimientos!$B$2:$B$3001,A196)))</f>
        <v/>
      </c>
      <c r="N196" s="18">
        <f>IF(A196="","",IF(AND(H196="Sí",I196="Sí",K196&lt;&gt;"Sí"),"Sí","No"))</f>
        <v/>
      </c>
      <c r="O196" s="18">
        <f>IF(S196="","",1+COUNTIFS($N$2:$N$501,"Sí",$S$2:$S$501,"&gt;"&amp;S196))</f>
        <v/>
      </c>
      <c r="P196" s="18">
        <f>IF(A196="","",INDEX(Logros!$A$2:$A$6,MATCH(N(L196),Logros!$C$2:$C$6,1)))</f>
        <v/>
      </c>
      <c r="Q196" s="19" t="n"/>
      <c r="R196" s="18">
        <f>IF(OR(A196="",P196=""),"",IF(P196&gt;N(Q196),"Sí: entregar nivel "&amp;(N(Q196)+1)&amp;IF(P196&gt;N(Q196)+1," al "&amp;P196,"")&amp;" (ver Logros)",""))</f>
        <v/>
      </c>
      <c r="S196" s="20">
        <f>IF(OR(A196="",N196&lt;&gt;"Sí",N(L196)&lt;=0),"",(N(L196)*100000-MAX(0,ROUND((N(M196)-DATE(2026,10,1))*1440,0)))*1000-ROW())</f>
        <v/>
      </c>
    </row>
    <row r="197">
      <c r="A197" s="19" t="n"/>
      <c r="B197" s="19" t="n"/>
      <c r="C197" s="19" t="n"/>
      <c r="D197" s="21" t="n"/>
      <c r="E197" s="19" t="n"/>
      <c r="F197" s="19" t="n"/>
      <c r="G197" s="22" t="n"/>
      <c r="H197" s="19" t="n"/>
      <c r="I197" s="19" t="n"/>
      <c r="J197" s="19" t="n"/>
      <c r="K197" s="19" t="n"/>
      <c r="L197" s="16">
        <f>IF(A197="","",SUMIF(Movimientos!$B$2:$B$3001,A197,Movimientos!$F$2:$F$3001))</f>
        <v/>
      </c>
      <c r="M197" s="17">
        <f>IF(A197="","",IF(COUNTIF(Movimientos!$B$2:$B$3001,A197)=0,"",_xlfn.MAXIFS(Movimientos!$A$2:$A$3001,Movimientos!$B$2:$B$3001,A197)))</f>
        <v/>
      </c>
      <c r="N197" s="18">
        <f>IF(A197="","",IF(AND(H197="Sí",I197="Sí",K197&lt;&gt;"Sí"),"Sí","No"))</f>
        <v/>
      </c>
      <c r="O197" s="18">
        <f>IF(S197="","",1+COUNTIFS($N$2:$N$501,"Sí",$S$2:$S$501,"&gt;"&amp;S197))</f>
        <v/>
      </c>
      <c r="P197" s="18">
        <f>IF(A197="","",INDEX(Logros!$A$2:$A$6,MATCH(N(L197),Logros!$C$2:$C$6,1)))</f>
        <v/>
      </c>
      <c r="Q197" s="19" t="n"/>
      <c r="R197" s="18">
        <f>IF(OR(A197="",P197=""),"",IF(P197&gt;N(Q197),"Sí: entregar nivel "&amp;(N(Q197)+1)&amp;IF(P197&gt;N(Q197)+1," al "&amp;P197,"")&amp;" (ver Logros)",""))</f>
        <v/>
      </c>
      <c r="S197" s="20">
        <f>IF(OR(A197="",N197&lt;&gt;"Sí",N(L197)&lt;=0),"",(N(L197)*100000-MAX(0,ROUND((N(M197)-DATE(2026,10,1))*1440,0)))*1000-ROW())</f>
        <v/>
      </c>
    </row>
    <row r="198">
      <c r="A198" s="19" t="n"/>
      <c r="B198" s="19" t="n"/>
      <c r="C198" s="19" t="n"/>
      <c r="D198" s="21" t="n"/>
      <c r="E198" s="19" t="n"/>
      <c r="F198" s="19" t="n"/>
      <c r="G198" s="22" t="n"/>
      <c r="H198" s="19" t="n"/>
      <c r="I198" s="19" t="n"/>
      <c r="J198" s="19" t="n"/>
      <c r="K198" s="19" t="n"/>
      <c r="L198" s="16">
        <f>IF(A198="","",SUMIF(Movimientos!$B$2:$B$3001,A198,Movimientos!$F$2:$F$3001))</f>
        <v/>
      </c>
      <c r="M198" s="17">
        <f>IF(A198="","",IF(COUNTIF(Movimientos!$B$2:$B$3001,A198)=0,"",_xlfn.MAXIFS(Movimientos!$A$2:$A$3001,Movimientos!$B$2:$B$3001,A198)))</f>
        <v/>
      </c>
      <c r="N198" s="18">
        <f>IF(A198="","",IF(AND(H198="Sí",I198="Sí",K198&lt;&gt;"Sí"),"Sí","No"))</f>
        <v/>
      </c>
      <c r="O198" s="18">
        <f>IF(S198="","",1+COUNTIFS($N$2:$N$501,"Sí",$S$2:$S$501,"&gt;"&amp;S198))</f>
        <v/>
      </c>
      <c r="P198" s="18">
        <f>IF(A198="","",INDEX(Logros!$A$2:$A$6,MATCH(N(L198),Logros!$C$2:$C$6,1)))</f>
        <v/>
      </c>
      <c r="Q198" s="19" t="n"/>
      <c r="R198" s="18">
        <f>IF(OR(A198="",P198=""),"",IF(P198&gt;N(Q198),"Sí: entregar nivel "&amp;(N(Q198)+1)&amp;IF(P198&gt;N(Q198)+1," al "&amp;P198,"")&amp;" (ver Logros)",""))</f>
        <v/>
      </c>
      <c r="S198" s="20">
        <f>IF(OR(A198="",N198&lt;&gt;"Sí",N(L198)&lt;=0),"",(N(L198)*100000-MAX(0,ROUND((N(M198)-DATE(2026,10,1))*1440,0)))*1000-ROW())</f>
        <v/>
      </c>
    </row>
    <row r="199">
      <c r="A199" s="19" t="n"/>
      <c r="B199" s="19" t="n"/>
      <c r="C199" s="19" t="n"/>
      <c r="D199" s="21" t="n"/>
      <c r="E199" s="19" t="n"/>
      <c r="F199" s="19" t="n"/>
      <c r="G199" s="22" t="n"/>
      <c r="H199" s="19" t="n"/>
      <c r="I199" s="19" t="n"/>
      <c r="J199" s="19" t="n"/>
      <c r="K199" s="19" t="n"/>
      <c r="L199" s="16">
        <f>IF(A199="","",SUMIF(Movimientos!$B$2:$B$3001,A199,Movimientos!$F$2:$F$3001))</f>
        <v/>
      </c>
      <c r="M199" s="17">
        <f>IF(A199="","",IF(COUNTIF(Movimientos!$B$2:$B$3001,A199)=0,"",_xlfn.MAXIFS(Movimientos!$A$2:$A$3001,Movimientos!$B$2:$B$3001,A199)))</f>
        <v/>
      </c>
      <c r="N199" s="18">
        <f>IF(A199="","",IF(AND(H199="Sí",I199="Sí",K199&lt;&gt;"Sí"),"Sí","No"))</f>
        <v/>
      </c>
      <c r="O199" s="18">
        <f>IF(S199="","",1+COUNTIFS($N$2:$N$501,"Sí",$S$2:$S$501,"&gt;"&amp;S199))</f>
        <v/>
      </c>
      <c r="P199" s="18">
        <f>IF(A199="","",INDEX(Logros!$A$2:$A$6,MATCH(N(L199),Logros!$C$2:$C$6,1)))</f>
        <v/>
      </c>
      <c r="Q199" s="19" t="n"/>
      <c r="R199" s="18">
        <f>IF(OR(A199="",P199=""),"",IF(P199&gt;N(Q199),"Sí: entregar nivel "&amp;(N(Q199)+1)&amp;IF(P199&gt;N(Q199)+1," al "&amp;P199,"")&amp;" (ver Logros)",""))</f>
        <v/>
      </c>
      <c r="S199" s="20">
        <f>IF(OR(A199="",N199&lt;&gt;"Sí",N(L199)&lt;=0),"",(N(L199)*100000-MAX(0,ROUND((N(M199)-DATE(2026,10,1))*1440,0)))*1000-ROW())</f>
        <v/>
      </c>
    </row>
    <row r="200">
      <c r="A200" s="19" t="n"/>
      <c r="B200" s="19" t="n"/>
      <c r="C200" s="19" t="n"/>
      <c r="D200" s="21" t="n"/>
      <c r="E200" s="19" t="n"/>
      <c r="F200" s="19" t="n"/>
      <c r="G200" s="22" t="n"/>
      <c r="H200" s="19" t="n"/>
      <c r="I200" s="19" t="n"/>
      <c r="J200" s="19" t="n"/>
      <c r="K200" s="19" t="n"/>
      <c r="L200" s="16">
        <f>IF(A200="","",SUMIF(Movimientos!$B$2:$B$3001,A200,Movimientos!$F$2:$F$3001))</f>
        <v/>
      </c>
      <c r="M200" s="17">
        <f>IF(A200="","",IF(COUNTIF(Movimientos!$B$2:$B$3001,A200)=0,"",_xlfn.MAXIFS(Movimientos!$A$2:$A$3001,Movimientos!$B$2:$B$3001,A200)))</f>
        <v/>
      </c>
      <c r="N200" s="18">
        <f>IF(A200="","",IF(AND(H200="Sí",I200="Sí",K200&lt;&gt;"Sí"),"Sí","No"))</f>
        <v/>
      </c>
      <c r="O200" s="18">
        <f>IF(S200="","",1+COUNTIFS($N$2:$N$501,"Sí",$S$2:$S$501,"&gt;"&amp;S200))</f>
        <v/>
      </c>
      <c r="P200" s="18">
        <f>IF(A200="","",INDEX(Logros!$A$2:$A$6,MATCH(N(L200),Logros!$C$2:$C$6,1)))</f>
        <v/>
      </c>
      <c r="Q200" s="19" t="n"/>
      <c r="R200" s="18">
        <f>IF(OR(A200="",P200=""),"",IF(P200&gt;N(Q200),"Sí: entregar nivel "&amp;(N(Q200)+1)&amp;IF(P200&gt;N(Q200)+1," al "&amp;P200,"")&amp;" (ver Logros)",""))</f>
        <v/>
      </c>
      <c r="S200" s="20">
        <f>IF(OR(A200="",N200&lt;&gt;"Sí",N(L200)&lt;=0),"",(N(L200)*100000-MAX(0,ROUND((N(M200)-DATE(2026,10,1))*1440,0)))*1000-ROW())</f>
        <v/>
      </c>
    </row>
    <row r="201">
      <c r="A201" s="19" t="n"/>
      <c r="B201" s="19" t="n"/>
      <c r="C201" s="19" t="n"/>
      <c r="D201" s="21" t="n"/>
      <c r="E201" s="19" t="n"/>
      <c r="F201" s="19" t="n"/>
      <c r="G201" s="22" t="n"/>
      <c r="H201" s="19" t="n"/>
      <c r="I201" s="19" t="n"/>
      <c r="J201" s="19" t="n"/>
      <c r="K201" s="19" t="n"/>
      <c r="L201" s="16">
        <f>IF(A201="","",SUMIF(Movimientos!$B$2:$B$3001,A201,Movimientos!$F$2:$F$3001))</f>
        <v/>
      </c>
      <c r="M201" s="17">
        <f>IF(A201="","",IF(COUNTIF(Movimientos!$B$2:$B$3001,A201)=0,"",_xlfn.MAXIFS(Movimientos!$A$2:$A$3001,Movimientos!$B$2:$B$3001,A201)))</f>
        <v/>
      </c>
      <c r="N201" s="18">
        <f>IF(A201="","",IF(AND(H201="Sí",I201="Sí",K201&lt;&gt;"Sí"),"Sí","No"))</f>
        <v/>
      </c>
      <c r="O201" s="18">
        <f>IF(S201="","",1+COUNTIFS($N$2:$N$501,"Sí",$S$2:$S$501,"&gt;"&amp;S201))</f>
        <v/>
      </c>
      <c r="P201" s="18">
        <f>IF(A201="","",INDEX(Logros!$A$2:$A$6,MATCH(N(L201),Logros!$C$2:$C$6,1)))</f>
        <v/>
      </c>
      <c r="Q201" s="19" t="n"/>
      <c r="R201" s="18">
        <f>IF(OR(A201="",P201=""),"",IF(P201&gt;N(Q201),"Sí: entregar nivel "&amp;(N(Q201)+1)&amp;IF(P201&gt;N(Q201)+1," al "&amp;P201,"")&amp;" (ver Logros)",""))</f>
        <v/>
      </c>
      <c r="S201" s="20">
        <f>IF(OR(A201="",N201&lt;&gt;"Sí",N(L201)&lt;=0),"",(N(L201)*100000-MAX(0,ROUND((N(M201)-DATE(2026,10,1))*1440,0)))*1000-ROW())</f>
        <v/>
      </c>
    </row>
    <row r="202">
      <c r="A202" s="19" t="n"/>
      <c r="B202" s="19" t="n"/>
      <c r="C202" s="19" t="n"/>
      <c r="D202" s="21" t="n"/>
      <c r="E202" s="19" t="n"/>
      <c r="F202" s="19" t="n"/>
      <c r="G202" s="22" t="n"/>
      <c r="H202" s="19" t="n"/>
      <c r="I202" s="19" t="n"/>
      <c r="J202" s="19" t="n"/>
      <c r="K202" s="19" t="n"/>
      <c r="L202" s="16">
        <f>IF(A202="","",SUMIF(Movimientos!$B$2:$B$3001,A202,Movimientos!$F$2:$F$3001))</f>
        <v/>
      </c>
      <c r="M202" s="17">
        <f>IF(A202="","",IF(COUNTIF(Movimientos!$B$2:$B$3001,A202)=0,"",_xlfn.MAXIFS(Movimientos!$A$2:$A$3001,Movimientos!$B$2:$B$3001,A202)))</f>
        <v/>
      </c>
      <c r="N202" s="18">
        <f>IF(A202="","",IF(AND(H202="Sí",I202="Sí",K202&lt;&gt;"Sí"),"Sí","No"))</f>
        <v/>
      </c>
      <c r="O202" s="18">
        <f>IF(S202="","",1+COUNTIFS($N$2:$N$501,"Sí",$S$2:$S$501,"&gt;"&amp;S202))</f>
        <v/>
      </c>
      <c r="P202" s="18">
        <f>IF(A202="","",INDEX(Logros!$A$2:$A$6,MATCH(N(L202),Logros!$C$2:$C$6,1)))</f>
        <v/>
      </c>
      <c r="Q202" s="19" t="n"/>
      <c r="R202" s="18">
        <f>IF(OR(A202="",P202=""),"",IF(P202&gt;N(Q202),"Sí: entregar nivel "&amp;(N(Q202)+1)&amp;IF(P202&gt;N(Q202)+1," al "&amp;P202,"")&amp;" (ver Logros)",""))</f>
        <v/>
      </c>
      <c r="S202" s="20">
        <f>IF(OR(A202="",N202&lt;&gt;"Sí",N(L202)&lt;=0),"",(N(L202)*100000-MAX(0,ROUND((N(M202)-DATE(2026,10,1))*1440,0)))*1000-ROW())</f>
        <v/>
      </c>
    </row>
    <row r="203">
      <c r="A203" s="19" t="n"/>
      <c r="B203" s="19" t="n"/>
      <c r="C203" s="19" t="n"/>
      <c r="D203" s="21" t="n"/>
      <c r="E203" s="19" t="n"/>
      <c r="F203" s="19" t="n"/>
      <c r="G203" s="22" t="n"/>
      <c r="H203" s="19" t="n"/>
      <c r="I203" s="19" t="n"/>
      <c r="J203" s="19" t="n"/>
      <c r="K203" s="19" t="n"/>
      <c r="L203" s="16">
        <f>IF(A203="","",SUMIF(Movimientos!$B$2:$B$3001,A203,Movimientos!$F$2:$F$3001))</f>
        <v/>
      </c>
      <c r="M203" s="17">
        <f>IF(A203="","",IF(COUNTIF(Movimientos!$B$2:$B$3001,A203)=0,"",_xlfn.MAXIFS(Movimientos!$A$2:$A$3001,Movimientos!$B$2:$B$3001,A203)))</f>
        <v/>
      </c>
      <c r="N203" s="18">
        <f>IF(A203="","",IF(AND(H203="Sí",I203="Sí",K203&lt;&gt;"Sí"),"Sí","No"))</f>
        <v/>
      </c>
      <c r="O203" s="18">
        <f>IF(S203="","",1+COUNTIFS($N$2:$N$501,"Sí",$S$2:$S$501,"&gt;"&amp;S203))</f>
        <v/>
      </c>
      <c r="P203" s="18">
        <f>IF(A203="","",INDEX(Logros!$A$2:$A$6,MATCH(N(L203),Logros!$C$2:$C$6,1)))</f>
        <v/>
      </c>
      <c r="Q203" s="19" t="n"/>
      <c r="R203" s="18">
        <f>IF(OR(A203="",P203=""),"",IF(P203&gt;N(Q203),"Sí: entregar nivel "&amp;(N(Q203)+1)&amp;IF(P203&gt;N(Q203)+1," al "&amp;P203,"")&amp;" (ver Logros)",""))</f>
        <v/>
      </c>
      <c r="S203" s="20">
        <f>IF(OR(A203="",N203&lt;&gt;"Sí",N(L203)&lt;=0),"",(N(L203)*100000-MAX(0,ROUND((N(M203)-DATE(2026,10,1))*1440,0)))*1000-ROW())</f>
        <v/>
      </c>
    </row>
    <row r="204">
      <c r="A204" s="19" t="n"/>
      <c r="B204" s="19" t="n"/>
      <c r="C204" s="19" t="n"/>
      <c r="D204" s="21" t="n"/>
      <c r="E204" s="19" t="n"/>
      <c r="F204" s="19" t="n"/>
      <c r="G204" s="22" t="n"/>
      <c r="H204" s="19" t="n"/>
      <c r="I204" s="19" t="n"/>
      <c r="J204" s="19" t="n"/>
      <c r="K204" s="19" t="n"/>
      <c r="L204" s="16">
        <f>IF(A204="","",SUMIF(Movimientos!$B$2:$B$3001,A204,Movimientos!$F$2:$F$3001))</f>
        <v/>
      </c>
      <c r="M204" s="17">
        <f>IF(A204="","",IF(COUNTIF(Movimientos!$B$2:$B$3001,A204)=0,"",_xlfn.MAXIFS(Movimientos!$A$2:$A$3001,Movimientos!$B$2:$B$3001,A204)))</f>
        <v/>
      </c>
      <c r="N204" s="18">
        <f>IF(A204="","",IF(AND(H204="Sí",I204="Sí",K204&lt;&gt;"Sí"),"Sí","No"))</f>
        <v/>
      </c>
      <c r="O204" s="18">
        <f>IF(S204="","",1+COUNTIFS($N$2:$N$501,"Sí",$S$2:$S$501,"&gt;"&amp;S204))</f>
        <v/>
      </c>
      <c r="P204" s="18">
        <f>IF(A204="","",INDEX(Logros!$A$2:$A$6,MATCH(N(L204),Logros!$C$2:$C$6,1)))</f>
        <v/>
      </c>
      <c r="Q204" s="19" t="n"/>
      <c r="R204" s="18">
        <f>IF(OR(A204="",P204=""),"",IF(P204&gt;N(Q204),"Sí: entregar nivel "&amp;(N(Q204)+1)&amp;IF(P204&gt;N(Q204)+1," al "&amp;P204,"")&amp;" (ver Logros)",""))</f>
        <v/>
      </c>
      <c r="S204" s="20">
        <f>IF(OR(A204="",N204&lt;&gt;"Sí",N(L204)&lt;=0),"",(N(L204)*100000-MAX(0,ROUND((N(M204)-DATE(2026,10,1))*1440,0)))*1000-ROW())</f>
        <v/>
      </c>
    </row>
    <row r="205">
      <c r="A205" s="19" t="n"/>
      <c r="B205" s="19" t="n"/>
      <c r="C205" s="19" t="n"/>
      <c r="D205" s="21" t="n"/>
      <c r="E205" s="19" t="n"/>
      <c r="F205" s="19" t="n"/>
      <c r="G205" s="22" t="n"/>
      <c r="H205" s="19" t="n"/>
      <c r="I205" s="19" t="n"/>
      <c r="J205" s="19" t="n"/>
      <c r="K205" s="19" t="n"/>
      <c r="L205" s="16">
        <f>IF(A205="","",SUMIF(Movimientos!$B$2:$B$3001,A205,Movimientos!$F$2:$F$3001))</f>
        <v/>
      </c>
      <c r="M205" s="17">
        <f>IF(A205="","",IF(COUNTIF(Movimientos!$B$2:$B$3001,A205)=0,"",_xlfn.MAXIFS(Movimientos!$A$2:$A$3001,Movimientos!$B$2:$B$3001,A205)))</f>
        <v/>
      </c>
      <c r="N205" s="18">
        <f>IF(A205="","",IF(AND(H205="Sí",I205="Sí",K205&lt;&gt;"Sí"),"Sí","No"))</f>
        <v/>
      </c>
      <c r="O205" s="18">
        <f>IF(S205="","",1+COUNTIFS($N$2:$N$501,"Sí",$S$2:$S$501,"&gt;"&amp;S205))</f>
        <v/>
      </c>
      <c r="P205" s="18">
        <f>IF(A205="","",INDEX(Logros!$A$2:$A$6,MATCH(N(L205),Logros!$C$2:$C$6,1)))</f>
        <v/>
      </c>
      <c r="Q205" s="19" t="n"/>
      <c r="R205" s="18">
        <f>IF(OR(A205="",P205=""),"",IF(P205&gt;N(Q205),"Sí: entregar nivel "&amp;(N(Q205)+1)&amp;IF(P205&gt;N(Q205)+1," al "&amp;P205,"")&amp;" (ver Logros)",""))</f>
        <v/>
      </c>
      <c r="S205" s="20">
        <f>IF(OR(A205="",N205&lt;&gt;"Sí",N(L205)&lt;=0),"",(N(L205)*100000-MAX(0,ROUND((N(M205)-DATE(2026,10,1))*1440,0)))*1000-ROW())</f>
        <v/>
      </c>
    </row>
    <row r="206">
      <c r="A206" s="19" t="n"/>
      <c r="B206" s="19" t="n"/>
      <c r="C206" s="19" t="n"/>
      <c r="D206" s="21" t="n"/>
      <c r="E206" s="19" t="n"/>
      <c r="F206" s="19" t="n"/>
      <c r="G206" s="22" t="n"/>
      <c r="H206" s="19" t="n"/>
      <c r="I206" s="19" t="n"/>
      <c r="J206" s="19" t="n"/>
      <c r="K206" s="19" t="n"/>
      <c r="L206" s="16">
        <f>IF(A206="","",SUMIF(Movimientos!$B$2:$B$3001,A206,Movimientos!$F$2:$F$3001))</f>
        <v/>
      </c>
      <c r="M206" s="17">
        <f>IF(A206="","",IF(COUNTIF(Movimientos!$B$2:$B$3001,A206)=0,"",_xlfn.MAXIFS(Movimientos!$A$2:$A$3001,Movimientos!$B$2:$B$3001,A206)))</f>
        <v/>
      </c>
      <c r="N206" s="18">
        <f>IF(A206="","",IF(AND(H206="Sí",I206="Sí",K206&lt;&gt;"Sí"),"Sí","No"))</f>
        <v/>
      </c>
      <c r="O206" s="18">
        <f>IF(S206="","",1+COUNTIFS($N$2:$N$501,"Sí",$S$2:$S$501,"&gt;"&amp;S206))</f>
        <v/>
      </c>
      <c r="P206" s="18">
        <f>IF(A206="","",INDEX(Logros!$A$2:$A$6,MATCH(N(L206),Logros!$C$2:$C$6,1)))</f>
        <v/>
      </c>
      <c r="Q206" s="19" t="n"/>
      <c r="R206" s="18">
        <f>IF(OR(A206="",P206=""),"",IF(P206&gt;N(Q206),"Sí: entregar nivel "&amp;(N(Q206)+1)&amp;IF(P206&gt;N(Q206)+1," al "&amp;P206,"")&amp;" (ver Logros)",""))</f>
        <v/>
      </c>
      <c r="S206" s="20">
        <f>IF(OR(A206="",N206&lt;&gt;"Sí",N(L206)&lt;=0),"",(N(L206)*100000-MAX(0,ROUND((N(M206)-DATE(2026,10,1))*1440,0)))*1000-ROW())</f>
        <v/>
      </c>
    </row>
    <row r="207">
      <c r="A207" s="19" t="n"/>
      <c r="B207" s="19" t="n"/>
      <c r="C207" s="19" t="n"/>
      <c r="D207" s="21" t="n"/>
      <c r="E207" s="19" t="n"/>
      <c r="F207" s="19" t="n"/>
      <c r="G207" s="22" t="n"/>
      <c r="H207" s="19" t="n"/>
      <c r="I207" s="19" t="n"/>
      <c r="J207" s="19" t="n"/>
      <c r="K207" s="19" t="n"/>
      <c r="L207" s="16">
        <f>IF(A207="","",SUMIF(Movimientos!$B$2:$B$3001,A207,Movimientos!$F$2:$F$3001))</f>
        <v/>
      </c>
      <c r="M207" s="17">
        <f>IF(A207="","",IF(COUNTIF(Movimientos!$B$2:$B$3001,A207)=0,"",_xlfn.MAXIFS(Movimientos!$A$2:$A$3001,Movimientos!$B$2:$B$3001,A207)))</f>
        <v/>
      </c>
      <c r="N207" s="18">
        <f>IF(A207="","",IF(AND(H207="Sí",I207="Sí",K207&lt;&gt;"Sí"),"Sí","No"))</f>
        <v/>
      </c>
      <c r="O207" s="18">
        <f>IF(S207="","",1+COUNTIFS($N$2:$N$501,"Sí",$S$2:$S$501,"&gt;"&amp;S207))</f>
        <v/>
      </c>
      <c r="P207" s="18">
        <f>IF(A207="","",INDEX(Logros!$A$2:$A$6,MATCH(N(L207),Logros!$C$2:$C$6,1)))</f>
        <v/>
      </c>
      <c r="Q207" s="19" t="n"/>
      <c r="R207" s="18">
        <f>IF(OR(A207="",P207=""),"",IF(P207&gt;N(Q207),"Sí: entregar nivel "&amp;(N(Q207)+1)&amp;IF(P207&gt;N(Q207)+1," al "&amp;P207,"")&amp;" (ver Logros)",""))</f>
        <v/>
      </c>
      <c r="S207" s="20">
        <f>IF(OR(A207="",N207&lt;&gt;"Sí",N(L207)&lt;=0),"",(N(L207)*100000-MAX(0,ROUND((N(M207)-DATE(2026,10,1))*1440,0)))*1000-ROW())</f>
        <v/>
      </c>
    </row>
    <row r="208">
      <c r="A208" s="19" t="n"/>
      <c r="B208" s="19" t="n"/>
      <c r="C208" s="19" t="n"/>
      <c r="D208" s="21" t="n"/>
      <c r="E208" s="19" t="n"/>
      <c r="F208" s="19" t="n"/>
      <c r="G208" s="22" t="n"/>
      <c r="H208" s="19" t="n"/>
      <c r="I208" s="19" t="n"/>
      <c r="J208" s="19" t="n"/>
      <c r="K208" s="19" t="n"/>
      <c r="L208" s="16">
        <f>IF(A208="","",SUMIF(Movimientos!$B$2:$B$3001,A208,Movimientos!$F$2:$F$3001))</f>
        <v/>
      </c>
      <c r="M208" s="17">
        <f>IF(A208="","",IF(COUNTIF(Movimientos!$B$2:$B$3001,A208)=0,"",_xlfn.MAXIFS(Movimientos!$A$2:$A$3001,Movimientos!$B$2:$B$3001,A208)))</f>
        <v/>
      </c>
      <c r="N208" s="18">
        <f>IF(A208="","",IF(AND(H208="Sí",I208="Sí",K208&lt;&gt;"Sí"),"Sí","No"))</f>
        <v/>
      </c>
      <c r="O208" s="18">
        <f>IF(S208="","",1+COUNTIFS($N$2:$N$501,"Sí",$S$2:$S$501,"&gt;"&amp;S208))</f>
        <v/>
      </c>
      <c r="P208" s="18">
        <f>IF(A208="","",INDEX(Logros!$A$2:$A$6,MATCH(N(L208),Logros!$C$2:$C$6,1)))</f>
        <v/>
      </c>
      <c r="Q208" s="19" t="n"/>
      <c r="R208" s="18">
        <f>IF(OR(A208="",P208=""),"",IF(P208&gt;N(Q208),"Sí: entregar nivel "&amp;(N(Q208)+1)&amp;IF(P208&gt;N(Q208)+1," al "&amp;P208,"")&amp;" (ver Logros)",""))</f>
        <v/>
      </c>
      <c r="S208" s="20">
        <f>IF(OR(A208="",N208&lt;&gt;"Sí",N(L208)&lt;=0),"",(N(L208)*100000-MAX(0,ROUND((N(M208)-DATE(2026,10,1))*1440,0)))*1000-ROW())</f>
        <v/>
      </c>
    </row>
    <row r="209">
      <c r="A209" s="19" t="n"/>
      <c r="B209" s="19" t="n"/>
      <c r="C209" s="19" t="n"/>
      <c r="D209" s="21" t="n"/>
      <c r="E209" s="19" t="n"/>
      <c r="F209" s="19" t="n"/>
      <c r="G209" s="22" t="n"/>
      <c r="H209" s="19" t="n"/>
      <c r="I209" s="19" t="n"/>
      <c r="J209" s="19" t="n"/>
      <c r="K209" s="19" t="n"/>
      <c r="L209" s="16">
        <f>IF(A209="","",SUMIF(Movimientos!$B$2:$B$3001,A209,Movimientos!$F$2:$F$3001))</f>
        <v/>
      </c>
      <c r="M209" s="17">
        <f>IF(A209="","",IF(COUNTIF(Movimientos!$B$2:$B$3001,A209)=0,"",_xlfn.MAXIFS(Movimientos!$A$2:$A$3001,Movimientos!$B$2:$B$3001,A209)))</f>
        <v/>
      </c>
      <c r="N209" s="18">
        <f>IF(A209="","",IF(AND(H209="Sí",I209="Sí",K209&lt;&gt;"Sí"),"Sí","No"))</f>
        <v/>
      </c>
      <c r="O209" s="18">
        <f>IF(S209="","",1+COUNTIFS($N$2:$N$501,"Sí",$S$2:$S$501,"&gt;"&amp;S209))</f>
        <v/>
      </c>
      <c r="P209" s="18">
        <f>IF(A209="","",INDEX(Logros!$A$2:$A$6,MATCH(N(L209),Logros!$C$2:$C$6,1)))</f>
        <v/>
      </c>
      <c r="Q209" s="19" t="n"/>
      <c r="R209" s="18">
        <f>IF(OR(A209="",P209=""),"",IF(P209&gt;N(Q209),"Sí: entregar nivel "&amp;(N(Q209)+1)&amp;IF(P209&gt;N(Q209)+1," al "&amp;P209,"")&amp;" (ver Logros)",""))</f>
        <v/>
      </c>
      <c r="S209" s="20">
        <f>IF(OR(A209="",N209&lt;&gt;"Sí",N(L209)&lt;=0),"",(N(L209)*100000-MAX(0,ROUND((N(M209)-DATE(2026,10,1))*1440,0)))*1000-ROW())</f>
        <v/>
      </c>
    </row>
    <row r="210">
      <c r="A210" s="19" t="n"/>
      <c r="B210" s="19" t="n"/>
      <c r="C210" s="19" t="n"/>
      <c r="D210" s="21" t="n"/>
      <c r="E210" s="19" t="n"/>
      <c r="F210" s="19" t="n"/>
      <c r="G210" s="22" t="n"/>
      <c r="H210" s="19" t="n"/>
      <c r="I210" s="19" t="n"/>
      <c r="J210" s="19" t="n"/>
      <c r="K210" s="19" t="n"/>
      <c r="L210" s="16">
        <f>IF(A210="","",SUMIF(Movimientos!$B$2:$B$3001,A210,Movimientos!$F$2:$F$3001))</f>
        <v/>
      </c>
      <c r="M210" s="17">
        <f>IF(A210="","",IF(COUNTIF(Movimientos!$B$2:$B$3001,A210)=0,"",_xlfn.MAXIFS(Movimientos!$A$2:$A$3001,Movimientos!$B$2:$B$3001,A210)))</f>
        <v/>
      </c>
      <c r="N210" s="18">
        <f>IF(A210="","",IF(AND(H210="Sí",I210="Sí",K210&lt;&gt;"Sí"),"Sí","No"))</f>
        <v/>
      </c>
      <c r="O210" s="18">
        <f>IF(S210="","",1+COUNTIFS($N$2:$N$501,"Sí",$S$2:$S$501,"&gt;"&amp;S210))</f>
        <v/>
      </c>
      <c r="P210" s="18">
        <f>IF(A210="","",INDEX(Logros!$A$2:$A$6,MATCH(N(L210),Logros!$C$2:$C$6,1)))</f>
        <v/>
      </c>
      <c r="Q210" s="19" t="n"/>
      <c r="R210" s="18">
        <f>IF(OR(A210="",P210=""),"",IF(P210&gt;N(Q210),"Sí: entregar nivel "&amp;(N(Q210)+1)&amp;IF(P210&gt;N(Q210)+1," al "&amp;P210,"")&amp;" (ver Logros)",""))</f>
        <v/>
      </c>
      <c r="S210" s="20">
        <f>IF(OR(A210="",N210&lt;&gt;"Sí",N(L210)&lt;=0),"",(N(L210)*100000-MAX(0,ROUND((N(M210)-DATE(2026,10,1))*1440,0)))*1000-ROW())</f>
        <v/>
      </c>
    </row>
    <row r="211">
      <c r="A211" s="19" t="n"/>
      <c r="B211" s="19" t="n"/>
      <c r="C211" s="19" t="n"/>
      <c r="D211" s="21" t="n"/>
      <c r="E211" s="19" t="n"/>
      <c r="F211" s="19" t="n"/>
      <c r="G211" s="22" t="n"/>
      <c r="H211" s="19" t="n"/>
      <c r="I211" s="19" t="n"/>
      <c r="J211" s="19" t="n"/>
      <c r="K211" s="19" t="n"/>
      <c r="L211" s="16">
        <f>IF(A211="","",SUMIF(Movimientos!$B$2:$B$3001,A211,Movimientos!$F$2:$F$3001))</f>
        <v/>
      </c>
      <c r="M211" s="17">
        <f>IF(A211="","",IF(COUNTIF(Movimientos!$B$2:$B$3001,A211)=0,"",_xlfn.MAXIFS(Movimientos!$A$2:$A$3001,Movimientos!$B$2:$B$3001,A211)))</f>
        <v/>
      </c>
      <c r="N211" s="18">
        <f>IF(A211="","",IF(AND(H211="Sí",I211="Sí",K211&lt;&gt;"Sí"),"Sí","No"))</f>
        <v/>
      </c>
      <c r="O211" s="18">
        <f>IF(S211="","",1+COUNTIFS($N$2:$N$501,"Sí",$S$2:$S$501,"&gt;"&amp;S211))</f>
        <v/>
      </c>
      <c r="P211" s="18">
        <f>IF(A211="","",INDEX(Logros!$A$2:$A$6,MATCH(N(L211),Logros!$C$2:$C$6,1)))</f>
        <v/>
      </c>
      <c r="Q211" s="19" t="n"/>
      <c r="R211" s="18">
        <f>IF(OR(A211="",P211=""),"",IF(P211&gt;N(Q211),"Sí: entregar nivel "&amp;(N(Q211)+1)&amp;IF(P211&gt;N(Q211)+1," al "&amp;P211,"")&amp;" (ver Logros)",""))</f>
        <v/>
      </c>
      <c r="S211" s="20">
        <f>IF(OR(A211="",N211&lt;&gt;"Sí",N(L211)&lt;=0),"",(N(L211)*100000-MAX(0,ROUND((N(M211)-DATE(2026,10,1))*1440,0)))*1000-ROW())</f>
        <v/>
      </c>
    </row>
    <row r="212">
      <c r="A212" s="19" t="n"/>
      <c r="B212" s="19" t="n"/>
      <c r="C212" s="19" t="n"/>
      <c r="D212" s="21" t="n"/>
      <c r="E212" s="19" t="n"/>
      <c r="F212" s="19" t="n"/>
      <c r="G212" s="22" t="n"/>
      <c r="H212" s="19" t="n"/>
      <c r="I212" s="19" t="n"/>
      <c r="J212" s="19" t="n"/>
      <c r="K212" s="19" t="n"/>
      <c r="L212" s="16">
        <f>IF(A212="","",SUMIF(Movimientos!$B$2:$B$3001,A212,Movimientos!$F$2:$F$3001))</f>
        <v/>
      </c>
      <c r="M212" s="17">
        <f>IF(A212="","",IF(COUNTIF(Movimientos!$B$2:$B$3001,A212)=0,"",_xlfn.MAXIFS(Movimientos!$A$2:$A$3001,Movimientos!$B$2:$B$3001,A212)))</f>
        <v/>
      </c>
      <c r="N212" s="18">
        <f>IF(A212="","",IF(AND(H212="Sí",I212="Sí",K212&lt;&gt;"Sí"),"Sí","No"))</f>
        <v/>
      </c>
      <c r="O212" s="18">
        <f>IF(S212="","",1+COUNTIFS($N$2:$N$501,"Sí",$S$2:$S$501,"&gt;"&amp;S212))</f>
        <v/>
      </c>
      <c r="P212" s="18">
        <f>IF(A212="","",INDEX(Logros!$A$2:$A$6,MATCH(N(L212),Logros!$C$2:$C$6,1)))</f>
        <v/>
      </c>
      <c r="Q212" s="19" t="n"/>
      <c r="R212" s="18">
        <f>IF(OR(A212="",P212=""),"",IF(P212&gt;N(Q212),"Sí: entregar nivel "&amp;(N(Q212)+1)&amp;IF(P212&gt;N(Q212)+1," al "&amp;P212,"")&amp;" (ver Logros)",""))</f>
        <v/>
      </c>
      <c r="S212" s="20">
        <f>IF(OR(A212="",N212&lt;&gt;"Sí",N(L212)&lt;=0),"",(N(L212)*100000-MAX(0,ROUND((N(M212)-DATE(2026,10,1))*1440,0)))*1000-ROW())</f>
        <v/>
      </c>
    </row>
    <row r="213">
      <c r="A213" s="19" t="n"/>
      <c r="B213" s="19" t="n"/>
      <c r="C213" s="19" t="n"/>
      <c r="D213" s="21" t="n"/>
      <c r="E213" s="19" t="n"/>
      <c r="F213" s="19" t="n"/>
      <c r="G213" s="22" t="n"/>
      <c r="H213" s="19" t="n"/>
      <c r="I213" s="19" t="n"/>
      <c r="J213" s="19" t="n"/>
      <c r="K213" s="19" t="n"/>
      <c r="L213" s="16">
        <f>IF(A213="","",SUMIF(Movimientos!$B$2:$B$3001,A213,Movimientos!$F$2:$F$3001))</f>
        <v/>
      </c>
      <c r="M213" s="17">
        <f>IF(A213="","",IF(COUNTIF(Movimientos!$B$2:$B$3001,A213)=0,"",_xlfn.MAXIFS(Movimientos!$A$2:$A$3001,Movimientos!$B$2:$B$3001,A213)))</f>
        <v/>
      </c>
      <c r="N213" s="18">
        <f>IF(A213="","",IF(AND(H213="Sí",I213="Sí",K213&lt;&gt;"Sí"),"Sí","No"))</f>
        <v/>
      </c>
      <c r="O213" s="18">
        <f>IF(S213="","",1+COUNTIFS($N$2:$N$501,"Sí",$S$2:$S$501,"&gt;"&amp;S213))</f>
        <v/>
      </c>
      <c r="P213" s="18">
        <f>IF(A213="","",INDEX(Logros!$A$2:$A$6,MATCH(N(L213),Logros!$C$2:$C$6,1)))</f>
        <v/>
      </c>
      <c r="Q213" s="19" t="n"/>
      <c r="R213" s="18">
        <f>IF(OR(A213="",P213=""),"",IF(P213&gt;N(Q213),"Sí: entregar nivel "&amp;(N(Q213)+1)&amp;IF(P213&gt;N(Q213)+1," al "&amp;P213,"")&amp;" (ver Logros)",""))</f>
        <v/>
      </c>
      <c r="S213" s="20">
        <f>IF(OR(A213="",N213&lt;&gt;"Sí",N(L213)&lt;=0),"",(N(L213)*100000-MAX(0,ROUND((N(M213)-DATE(2026,10,1))*1440,0)))*1000-ROW())</f>
        <v/>
      </c>
    </row>
    <row r="214">
      <c r="A214" s="19" t="n"/>
      <c r="B214" s="19" t="n"/>
      <c r="C214" s="19" t="n"/>
      <c r="D214" s="21" t="n"/>
      <c r="E214" s="19" t="n"/>
      <c r="F214" s="19" t="n"/>
      <c r="G214" s="22" t="n"/>
      <c r="H214" s="19" t="n"/>
      <c r="I214" s="19" t="n"/>
      <c r="J214" s="19" t="n"/>
      <c r="K214" s="19" t="n"/>
      <c r="L214" s="16">
        <f>IF(A214="","",SUMIF(Movimientos!$B$2:$B$3001,A214,Movimientos!$F$2:$F$3001))</f>
        <v/>
      </c>
      <c r="M214" s="17">
        <f>IF(A214="","",IF(COUNTIF(Movimientos!$B$2:$B$3001,A214)=0,"",_xlfn.MAXIFS(Movimientos!$A$2:$A$3001,Movimientos!$B$2:$B$3001,A214)))</f>
        <v/>
      </c>
      <c r="N214" s="18">
        <f>IF(A214="","",IF(AND(H214="Sí",I214="Sí",K214&lt;&gt;"Sí"),"Sí","No"))</f>
        <v/>
      </c>
      <c r="O214" s="18">
        <f>IF(S214="","",1+COUNTIFS($N$2:$N$501,"Sí",$S$2:$S$501,"&gt;"&amp;S214))</f>
        <v/>
      </c>
      <c r="P214" s="18">
        <f>IF(A214="","",INDEX(Logros!$A$2:$A$6,MATCH(N(L214),Logros!$C$2:$C$6,1)))</f>
        <v/>
      </c>
      <c r="Q214" s="19" t="n"/>
      <c r="R214" s="18">
        <f>IF(OR(A214="",P214=""),"",IF(P214&gt;N(Q214),"Sí: entregar nivel "&amp;(N(Q214)+1)&amp;IF(P214&gt;N(Q214)+1," al "&amp;P214,"")&amp;" (ver Logros)",""))</f>
        <v/>
      </c>
      <c r="S214" s="20">
        <f>IF(OR(A214="",N214&lt;&gt;"Sí",N(L214)&lt;=0),"",(N(L214)*100000-MAX(0,ROUND((N(M214)-DATE(2026,10,1))*1440,0)))*1000-ROW())</f>
        <v/>
      </c>
    </row>
    <row r="215">
      <c r="A215" s="19" t="n"/>
      <c r="B215" s="19" t="n"/>
      <c r="C215" s="19" t="n"/>
      <c r="D215" s="21" t="n"/>
      <c r="E215" s="19" t="n"/>
      <c r="F215" s="19" t="n"/>
      <c r="G215" s="22" t="n"/>
      <c r="H215" s="19" t="n"/>
      <c r="I215" s="19" t="n"/>
      <c r="J215" s="19" t="n"/>
      <c r="K215" s="19" t="n"/>
      <c r="L215" s="16">
        <f>IF(A215="","",SUMIF(Movimientos!$B$2:$B$3001,A215,Movimientos!$F$2:$F$3001))</f>
        <v/>
      </c>
      <c r="M215" s="17">
        <f>IF(A215="","",IF(COUNTIF(Movimientos!$B$2:$B$3001,A215)=0,"",_xlfn.MAXIFS(Movimientos!$A$2:$A$3001,Movimientos!$B$2:$B$3001,A215)))</f>
        <v/>
      </c>
      <c r="N215" s="18">
        <f>IF(A215="","",IF(AND(H215="Sí",I215="Sí",K215&lt;&gt;"Sí"),"Sí","No"))</f>
        <v/>
      </c>
      <c r="O215" s="18">
        <f>IF(S215="","",1+COUNTIFS($N$2:$N$501,"Sí",$S$2:$S$501,"&gt;"&amp;S215))</f>
        <v/>
      </c>
      <c r="P215" s="18">
        <f>IF(A215="","",INDEX(Logros!$A$2:$A$6,MATCH(N(L215),Logros!$C$2:$C$6,1)))</f>
        <v/>
      </c>
      <c r="Q215" s="19" t="n"/>
      <c r="R215" s="18">
        <f>IF(OR(A215="",P215=""),"",IF(P215&gt;N(Q215),"Sí: entregar nivel "&amp;(N(Q215)+1)&amp;IF(P215&gt;N(Q215)+1," al "&amp;P215,"")&amp;" (ver Logros)",""))</f>
        <v/>
      </c>
      <c r="S215" s="20">
        <f>IF(OR(A215="",N215&lt;&gt;"Sí",N(L215)&lt;=0),"",(N(L215)*100000-MAX(0,ROUND((N(M215)-DATE(2026,10,1))*1440,0)))*1000-ROW())</f>
        <v/>
      </c>
    </row>
    <row r="216">
      <c r="A216" s="19" t="n"/>
      <c r="B216" s="19" t="n"/>
      <c r="C216" s="19" t="n"/>
      <c r="D216" s="21" t="n"/>
      <c r="E216" s="19" t="n"/>
      <c r="F216" s="19" t="n"/>
      <c r="G216" s="22" t="n"/>
      <c r="H216" s="19" t="n"/>
      <c r="I216" s="19" t="n"/>
      <c r="J216" s="19" t="n"/>
      <c r="K216" s="19" t="n"/>
      <c r="L216" s="16">
        <f>IF(A216="","",SUMIF(Movimientos!$B$2:$B$3001,A216,Movimientos!$F$2:$F$3001))</f>
        <v/>
      </c>
      <c r="M216" s="17">
        <f>IF(A216="","",IF(COUNTIF(Movimientos!$B$2:$B$3001,A216)=0,"",_xlfn.MAXIFS(Movimientos!$A$2:$A$3001,Movimientos!$B$2:$B$3001,A216)))</f>
        <v/>
      </c>
      <c r="N216" s="18">
        <f>IF(A216="","",IF(AND(H216="Sí",I216="Sí",K216&lt;&gt;"Sí"),"Sí","No"))</f>
        <v/>
      </c>
      <c r="O216" s="18">
        <f>IF(S216="","",1+COUNTIFS($N$2:$N$501,"Sí",$S$2:$S$501,"&gt;"&amp;S216))</f>
        <v/>
      </c>
      <c r="P216" s="18">
        <f>IF(A216="","",INDEX(Logros!$A$2:$A$6,MATCH(N(L216),Logros!$C$2:$C$6,1)))</f>
        <v/>
      </c>
      <c r="Q216" s="19" t="n"/>
      <c r="R216" s="18">
        <f>IF(OR(A216="",P216=""),"",IF(P216&gt;N(Q216),"Sí: entregar nivel "&amp;(N(Q216)+1)&amp;IF(P216&gt;N(Q216)+1," al "&amp;P216,"")&amp;" (ver Logros)",""))</f>
        <v/>
      </c>
      <c r="S216" s="20">
        <f>IF(OR(A216="",N216&lt;&gt;"Sí",N(L216)&lt;=0),"",(N(L216)*100000-MAX(0,ROUND((N(M216)-DATE(2026,10,1))*1440,0)))*1000-ROW())</f>
        <v/>
      </c>
    </row>
    <row r="217">
      <c r="A217" s="19" t="n"/>
      <c r="B217" s="19" t="n"/>
      <c r="C217" s="19" t="n"/>
      <c r="D217" s="21" t="n"/>
      <c r="E217" s="19" t="n"/>
      <c r="F217" s="19" t="n"/>
      <c r="G217" s="22" t="n"/>
      <c r="H217" s="19" t="n"/>
      <c r="I217" s="19" t="n"/>
      <c r="J217" s="19" t="n"/>
      <c r="K217" s="19" t="n"/>
      <c r="L217" s="16">
        <f>IF(A217="","",SUMIF(Movimientos!$B$2:$B$3001,A217,Movimientos!$F$2:$F$3001))</f>
        <v/>
      </c>
      <c r="M217" s="17">
        <f>IF(A217="","",IF(COUNTIF(Movimientos!$B$2:$B$3001,A217)=0,"",_xlfn.MAXIFS(Movimientos!$A$2:$A$3001,Movimientos!$B$2:$B$3001,A217)))</f>
        <v/>
      </c>
      <c r="N217" s="18">
        <f>IF(A217="","",IF(AND(H217="Sí",I217="Sí",K217&lt;&gt;"Sí"),"Sí","No"))</f>
        <v/>
      </c>
      <c r="O217" s="18">
        <f>IF(S217="","",1+COUNTIFS($N$2:$N$501,"Sí",$S$2:$S$501,"&gt;"&amp;S217))</f>
        <v/>
      </c>
      <c r="P217" s="18">
        <f>IF(A217="","",INDEX(Logros!$A$2:$A$6,MATCH(N(L217),Logros!$C$2:$C$6,1)))</f>
        <v/>
      </c>
      <c r="Q217" s="19" t="n"/>
      <c r="R217" s="18">
        <f>IF(OR(A217="",P217=""),"",IF(P217&gt;N(Q217),"Sí: entregar nivel "&amp;(N(Q217)+1)&amp;IF(P217&gt;N(Q217)+1," al "&amp;P217,"")&amp;" (ver Logros)",""))</f>
        <v/>
      </c>
      <c r="S217" s="20">
        <f>IF(OR(A217="",N217&lt;&gt;"Sí",N(L217)&lt;=0),"",(N(L217)*100000-MAX(0,ROUND((N(M217)-DATE(2026,10,1))*1440,0)))*1000-ROW())</f>
        <v/>
      </c>
    </row>
    <row r="218">
      <c r="A218" s="19" t="n"/>
      <c r="B218" s="19" t="n"/>
      <c r="C218" s="19" t="n"/>
      <c r="D218" s="21" t="n"/>
      <c r="E218" s="19" t="n"/>
      <c r="F218" s="19" t="n"/>
      <c r="G218" s="22" t="n"/>
      <c r="H218" s="19" t="n"/>
      <c r="I218" s="19" t="n"/>
      <c r="J218" s="19" t="n"/>
      <c r="K218" s="19" t="n"/>
      <c r="L218" s="16">
        <f>IF(A218="","",SUMIF(Movimientos!$B$2:$B$3001,A218,Movimientos!$F$2:$F$3001))</f>
        <v/>
      </c>
      <c r="M218" s="17">
        <f>IF(A218="","",IF(COUNTIF(Movimientos!$B$2:$B$3001,A218)=0,"",_xlfn.MAXIFS(Movimientos!$A$2:$A$3001,Movimientos!$B$2:$B$3001,A218)))</f>
        <v/>
      </c>
      <c r="N218" s="18">
        <f>IF(A218="","",IF(AND(H218="Sí",I218="Sí",K218&lt;&gt;"Sí"),"Sí","No"))</f>
        <v/>
      </c>
      <c r="O218" s="18">
        <f>IF(S218="","",1+COUNTIFS($N$2:$N$501,"Sí",$S$2:$S$501,"&gt;"&amp;S218))</f>
        <v/>
      </c>
      <c r="P218" s="18">
        <f>IF(A218="","",INDEX(Logros!$A$2:$A$6,MATCH(N(L218),Logros!$C$2:$C$6,1)))</f>
        <v/>
      </c>
      <c r="Q218" s="19" t="n"/>
      <c r="R218" s="18">
        <f>IF(OR(A218="",P218=""),"",IF(P218&gt;N(Q218),"Sí: entregar nivel "&amp;(N(Q218)+1)&amp;IF(P218&gt;N(Q218)+1," al "&amp;P218,"")&amp;" (ver Logros)",""))</f>
        <v/>
      </c>
      <c r="S218" s="20">
        <f>IF(OR(A218="",N218&lt;&gt;"Sí",N(L218)&lt;=0),"",(N(L218)*100000-MAX(0,ROUND((N(M218)-DATE(2026,10,1))*1440,0)))*1000-ROW())</f>
        <v/>
      </c>
    </row>
    <row r="219">
      <c r="A219" s="19" t="n"/>
      <c r="B219" s="19" t="n"/>
      <c r="C219" s="19" t="n"/>
      <c r="D219" s="21" t="n"/>
      <c r="E219" s="19" t="n"/>
      <c r="F219" s="19" t="n"/>
      <c r="G219" s="22" t="n"/>
      <c r="H219" s="19" t="n"/>
      <c r="I219" s="19" t="n"/>
      <c r="J219" s="19" t="n"/>
      <c r="K219" s="19" t="n"/>
      <c r="L219" s="16">
        <f>IF(A219="","",SUMIF(Movimientos!$B$2:$B$3001,A219,Movimientos!$F$2:$F$3001))</f>
        <v/>
      </c>
      <c r="M219" s="17">
        <f>IF(A219="","",IF(COUNTIF(Movimientos!$B$2:$B$3001,A219)=0,"",_xlfn.MAXIFS(Movimientos!$A$2:$A$3001,Movimientos!$B$2:$B$3001,A219)))</f>
        <v/>
      </c>
      <c r="N219" s="18">
        <f>IF(A219="","",IF(AND(H219="Sí",I219="Sí",K219&lt;&gt;"Sí"),"Sí","No"))</f>
        <v/>
      </c>
      <c r="O219" s="18">
        <f>IF(S219="","",1+COUNTIFS($N$2:$N$501,"Sí",$S$2:$S$501,"&gt;"&amp;S219))</f>
        <v/>
      </c>
      <c r="P219" s="18">
        <f>IF(A219="","",INDEX(Logros!$A$2:$A$6,MATCH(N(L219),Logros!$C$2:$C$6,1)))</f>
        <v/>
      </c>
      <c r="Q219" s="19" t="n"/>
      <c r="R219" s="18">
        <f>IF(OR(A219="",P219=""),"",IF(P219&gt;N(Q219),"Sí: entregar nivel "&amp;(N(Q219)+1)&amp;IF(P219&gt;N(Q219)+1," al "&amp;P219,"")&amp;" (ver Logros)",""))</f>
        <v/>
      </c>
      <c r="S219" s="20">
        <f>IF(OR(A219="",N219&lt;&gt;"Sí",N(L219)&lt;=0),"",(N(L219)*100000-MAX(0,ROUND((N(M219)-DATE(2026,10,1))*1440,0)))*1000-ROW())</f>
        <v/>
      </c>
    </row>
    <row r="220">
      <c r="A220" s="19" t="n"/>
      <c r="B220" s="19" t="n"/>
      <c r="C220" s="19" t="n"/>
      <c r="D220" s="21" t="n"/>
      <c r="E220" s="19" t="n"/>
      <c r="F220" s="19" t="n"/>
      <c r="G220" s="22" t="n"/>
      <c r="H220" s="19" t="n"/>
      <c r="I220" s="19" t="n"/>
      <c r="J220" s="19" t="n"/>
      <c r="K220" s="19" t="n"/>
      <c r="L220" s="16">
        <f>IF(A220="","",SUMIF(Movimientos!$B$2:$B$3001,A220,Movimientos!$F$2:$F$3001))</f>
        <v/>
      </c>
      <c r="M220" s="17">
        <f>IF(A220="","",IF(COUNTIF(Movimientos!$B$2:$B$3001,A220)=0,"",_xlfn.MAXIFS(Movimientos!$A$2:$A$3001,Movimientos!$B$2:$B$3001,A220)))</f>
        <v/>
      </c>
      <c r="N220" s="18">
        <f>IF(A220="","",IF(AND(H220="Sí",I220="Sí",K220&lt;&gt;"Sí"),"Sí","No"))</f>
        <v/>
      </c>
      <c r="O220" s="18">
        <f>IF(S220="","",1+COUNTIFS($N$2:$N$501,"Sí",$S$2:$S$501,"&gt;"&amp;S220))</f>
        <v/>
      </c>
      <c r="P220" s="18">
        <f>IF(A220="","",INDEX(Logros!$A$2:$A$6,MATCH(N(L220),Logros!$C$2:$C$6,1)))</f>
        <v/>
      </c>
      <c r="Q220" s="19" t="n"/>
      <c r="R220" s="18">
        <f>IF(OR(A220="",P220=""),"",IF(P220&gt;N(Q220),"Sí: entregar nivel "&amp;(N(Q220)+1)&amp;IF(P220&gt;N(Q220)+1," al "&amp;P220,"")&amp;" (ver Logros)",""))</f>
        <v/>
      </c>
      <c r="S220" s="20">
        <f>IF(OR(A220="",N220&lt;&gt;"Sí",N(L220)&lt;=0),"",(N(L220)*100000-MAX(0,ROUND((N(M220)-DATE(2026,10,1))*1440,0)))*1000-ROW())</f>
        <v/>
      </c>
    </row>
    <row r="221">
      <c r="A221" s="19" t="n"/>
      <c r="B221" s="19" t="n"/>
      <c r="C221" s="19" t="n"/>
      <c r="D221" s="21" t="n"/>
      <c r="E221" s="19" t="n"/>
      <c r="F221" s="19" t="n"/>
      <c r="G221" s="22" t="n"/>
      <c r="H221" s="19" t="n"/>
      <c r="I221" s="19" t="n"/>
      <c r="J221" s="19" t="n"/>
      <c r="K221" s="19" t="n"/>
      <c r="L221" s="16">
        <f>IF(A221="","",SUMIF(Movimientos!$B$2:$B$3001,A221,Movimientos!$F$2:$F$3001))</f>
        <v/>
      </c>
      <c r="M221" s="17">
        <f>IF(A221="","",IF(COUNTIF(Movimientos!$B$2:$B$3001,A221)=0,"",_xlfn.MAXIFS(Movimientos!$A$2:$A$3001,Movimientos!$B$2:$B$3001,A221)))</f>
        <v/>
      </c>
      <c r="N221" s="18">
        <f>IF(A221="","",IF(AND(H221="Sí",I221="Sí",K221&lt;&gt;"Sí"),"Sí","No"))</f>
        <v/>
      </c>
      <c r="O221" s="18">
        <f>IF(S221="","",1+COUNTIFS($N$2:$N$501,"Sí",$S$2:$S$501,"&gt;"&amp;S221))</f>
        <v/>
      </c>
      <c r="P221" s="18">
        <f>IF(A221="","",INDEX(Logros!$A$2:$A$6,MATCH(N(L221),Logros!$C$2:$C$6,1)))</f>
        <v/>
      </c>
      <c r="Q221" s="19" t="n"/>
      <c r="R221" s="18">
        <f>IF(OR(A221="",P221=""),"",IF(P221&gt;N(Q221),"Sí: entregar nivel "&amp;(N(Q221)+1)&amp;IF(P221&gt;N(Q221)+1," al "&amp;P221,"")&amp;" (ver Logros)",""))</f>
        <v/>
      </c>
      <c r="S221" s="20">
        <f>IF(OR(A221="",N221&lt;&gt;"Sí",N(L221)&lt;=0),"",(N(L221)*100000-MAX(0,ROUND((N(M221)-DATE(2026,10,1))*1440,0)))*1000-ROW())</f>
        <v/>
      </c>
    </row>
    <row r="222">
      <c r="A222" s="19" t="n"/>
      <c r="B222" s="19" t="n"/>
      <c r="C222" s="19" t="n"/>
      <c r="D222" s="21" t="n"/>
      <c r="E222" s="19" t="n"/>
      <c r="F222" s="19" t="n"/>
      <c r="G222" s="22" t="n"/>
      <c r="H222" s="19" t="n"/>
      <c r="I222" s="19" t="n"/>
      <c r="J222" s="19" t="n"/>
      <c r="K222" s="19" t="n"/>
      <c r="L222" s="16">
        <f>IF(A222="","",SUMIF(Movimientos!$B$2:$B$3001,A222,Movimientos!$F$2:$F$3001))</f>
        <v/>
      </c>
      <c r="M222" s="17">
        <f>IF(A222="","",IF(COUNTIF(Movimientos!$B$2:$B$3001,A222)=0,"",_xlfn.MAXIFS(Movimientos!$A$2:$A$3001,Movimientos!$B$2:$B$3001,A222)))</f>
        <v/>
      </c>
      <c r="N222" s="18">
        <f>IF(A222="","",IF(AND(H222="Sí",I222="Sí",K222&lt;&gt;"Sí"),"Sí","No"))</f>
        <v/>
      </c>
      <c r="O222" s="18">
        <f>IF(S222="","",1+COUNTIFS($N$2:$N$501,"Sí",$S$2:$S$501,"&gt;"&amp;S222))</f>
        <v/>
      </c>
      <c r="P222" s="18">
        <f>IF(A222="","",INDEX(Logros!$A$2:$A$6,MATCH(N(L222),Logros!$C$2:$C$6,1)))</f>
        <v/>
      </c>
      <c r="Q222" s="19" t="n"/>
      <c r="R222" s="18">
        <f>IF(OR(A222="",P222=""),"",IF(P222&gt;N(Q222),"Sí: entregar nivel "&amp;(N(Q222)+1)&amp;IF(P222&gt;N(Q222)+1," al "&amp;P222,"")&amp;" (ver Logros)",""))</f>
        <v/>
      </c>
      <c r="S222" s="20">
        <f>IF(OR(A222="",N222&lt;&gt;"Sí",N(L222)&lt;=0),"",(N(L222)*100000-MAX(0,ROUND((N(M222)-DATE(2026,10,1))*1440,0)))*1000-ROW())</f>
        <v/>
      </c>
    </row>
    <row r="223">
      <c r="A223" s="19" t="n"/>
      <c r="B223" s="19" t="n"/>
      <c r="C223" s="19" t="n"/>
      <c r="D223" s="21" t="n"/>
      <c r="E223" s="19" t="n"/>
      <c r="F223" s="19" t="n"/>
      <c r="G223" s="22" t="n"/>
      <c r="H223" s="19" t="n"/>
      <c r="I223" s="19" t="n"/>
      <c r="J223" s="19" t="n"/>
      <c r="K223" s="19" t="n"/>
      <c r="L223" s="16">
        <f>IF(A223="","",SUMIF(Movimientos!$B$2:$B$3001,A223,Movimientos!$F$2:$F$3001))</f>
        <v/>
      </c>
      <c r="M223" s="17">
        <f>IF(A223="","",IF(COUNTIF(Movimientos!$B$2:$B$3001,A223)=0,"",_xlfn.MAXIFS(Movimientos!$A$2:$A$3001,Movimientos!$B$2:$B$3001,A223)))</f>
        <v/>
      </c>
      <c r="N223" s="18">
        <f>IF(A223="","",IF(AND(H223="Sí",I223="Sí",K223&lt;&gt;"Sí"),"Sí","No"))</f>
        <v/>
      </c>
      <c r="O223" s="18">
        <f>IF(S223="","",1+COUNTIFS($N$2:$N$501,"Sí",$S$2:$S$501,"&gt;"&amp;S223))</f>
        <v/>
      </c>
      <c r="P223" s="18">
        <f>IF(A223="","",INDEX(Logros!$A$2:$A$6,MATCH(N(L223),Logros!$C$2:$C$6,1)))</f>
        <v/>
      </c>
      <c r="Q223" s="19" t="n"/>
      <c r="R223" s="18">
        <f>IF(OR(A223="",P223=""),"",IF(P223&gt;N(Q223),"Sí: entregar nivel "&amp;(N(Q223)+1)&amp;IF(P223&gt;N(Q223)+1," al "&amp;P223,"")&amp;" (ver Logros)",""))</f>
        <v/>
      </c>
      <c r="S223" s="20">
        <f>IF(OR(A223="",N223&lt;&gt;"Sí",N(L223)&lt;=0),"",(N(L223)*100000-MAX(0,ROUND((N(M223)-DATE(2026,10,1))*1440,0)))*1000-ROW())</f>
        <v/>
      </c>
    </row>
    <row r="224">
      <c r="A224" s="19" t="n"/>
      <c r="B224" s="19" t="n"/>
      <c r="C224" s="19" t="n"/>
      <c r="D224" s="21" t="n"/>
      <c r="E224" s="19" t="n"/>
      <c r="F224" s="19" t="n"/>
      <c r="G224" s="22" t="n"/>
      <c r="H224" s="19" t="n"/>
      <c r="I224" s="19" t="n"/>
      <c r="J224" s="19" t="n"/>
      <c r="K224" s="19" t="n"/>
      <c r="L224" s="16">
        <f>IF(A224="","",SUMIF(Movimientos!$B$2:$B$3001,A224,Movimientos!$F$2:$F$3001))</f>
        <v/>
      </c>
      <c r="M224" s="17">
        <f>IF(A224="","",IF(COUNTIF(Movimientos!$B$2:$B$3001,A224)=0,"",_xlfn.MAXIFS(Movimientos!$A$2:$A$3001,Movimientos!$B$2:$B$3001,A224)))</f>
        <v/>
      </c>
      <c r="N224" s="18">
        <f>IF(A224="","",IF(AND(H224="Sí",I224="Sí",K224&lt;&gt;"Sí"),"Sí","No"))</f>
        <v/>
      </c>
      <c r="O224" s="18">
        <f>IF(S224="","",1+COUNTIFS($N$2:$N$501,"Sí",$S$2:$S$501,"&gt;"&amp;S224))</f>
        <v/>
      </c>
      <c r="P224" s="18">
        <f>IF(A224="","",INDEX(Logros!$A$2:$A$6,MATCH(N(L224),Logros!$C$2:$C$6,1)))</f>
        <v/>
      </c>
      <c r="Q224" s="19" t="n"/>
      <c r="R224" s="18">
        <f>IF(OR(A224="",P224=""),"",IF(P224&gt;N(Q224),"Sí: entregar nivel "&amp;(N(Q224)+1)&amp;IF(P224&gt;N(Q224)+1," al "&amp;P224,"")&amp;" (ver Logros)",""))</f>
        <v/>
      </c>
      <c r="S224" s="20">
        <f>IF(OR(A224="",N224&lt;&gt;"Sí",N(L224)&lt;=0),"",(N(L224)*100000-MAX(0,ROUND((N(M224)-DATE(2026,10,1))*1440,0)))*1000-ROW())</f>
        <v/>
      </c>
    </row>
    <row r="225">
      <c r="A225" s="19" t="n"/>
      <c r="B225" s="19" t="n"/>
      <c r="C225" s="19" t="n"/>
      <c r="D225" s="21" t="n"/>
      <c r="E225" s="19" t="n"/>
      <c r="F225" s="19" t="n"/>
      <c r="G225" s="22" t="n"/>
      <c r="H225" s="19" t="n"/>
      <c r="I225" s="19" t="n"/>
      <c r="J225" s="19" t="n"/>
      <c r="K225" s="19" t="n"/>
      <c r="L225" s="16">
        <f>IF(A225="","",SUMIF(Movimientos!$B$2:$B$3001,A225,Movimientos!$F$2:$F$3001))</f>
        <v/>
      </c>
      <c r="M225" s="17">
        <f>IF(A225="","",IF(COUNTIF(Movimientos!$B$2:$B$3001,A225)=0,"",_xlfn.MAXIFS(Movimientos!$A$2:$A$3001,Movimientos!$B$2:$B$3001,A225)))</f>
        <v/>
      </c>
      <c r="N225" s="18">
        <f>IF(A225="","",IF(AND(H225="Sí",I225="Sí",K225&lt;&gt;"Sí"),"Sí","No"))</f>
        <v/>
      </c>
      <c r="O225" s="18">
        <f>IF(S225="","",1+COUNTIFS($N$2:$N$501,"Sí",$S$2:$S$501,"&gt;"&amp;S225))</f>
        <v/>
      </c>
      <c r="P225" s="18">
        <f>IF(A225="","",INDEX(Logros!$A$2:$A$6,MATCH(N(L225),Logros!$C$2:$C$6,1)))</f>
        <v/>
      </c>
      <c r="Q225" s="19" t="n"/>
      <c r="R225" s="18">
        <f>IF(OR(A225="",P225=""),"",IF(P225&gt;N(Q225),"Sí: entregar nivel "&amp;(N(Q225)+1)&amp;IF(P225&gt;N(Q225)+1," al "&amp;P225,"")&amp;" (ver Logros)",""))</f>
        <v/>
      </c>
      <c r="S225" s="20">
        <f>IF(OR(A225="",N225&lt;&gt;"Sí",N(L225)&lt;=0),"",(N(L225)*100000-MAX(0,ROUND((N(M225)-DATE(2026,10,1))*1440,0)))*1000-ROW())</f>
        <v/>
      </c>
    </row>
    <row r="226">
      <c r="A226" s="19" t="n"/>
      <c r="B226" s="19" t="n"/>
      <c r="C226" s="19" t="n"/>
      <c r="D226" s="21" t="n"/>
      <c r="E226" s="19" t="n"/>
      <c r="F226" s="19" t="n"/>
      <c r="G226" s="22" t="n"/>
      <c r="H226" s="19" t="n"/>
      <c r="I226" s="19" t="n"/>
      <c r="J226" s="19" t="n"/>
      <c r="K226" s="19" t="n"/>
      <c r="L226" s="16">
        <f>IF(A226="","",SUMIF(Movimientos!$B$2:$B$3001,A226,Movimientos!$F$2:$F$3001))</f>
        <v/>
      </c>
      <c r="M226" s="17">
        <f>IF(A226="","",IF(COUNTIF(Movimientos!$B$2:$B$3001,A226)=0,"",_xlfn.MAXIFS(Movimientos!$A$2:$A$3001,Movimientos!$B$2:$B$3001,A226)))</f>
        <v/>
      </c>
      <c r="N226" s="18">
        <f>IF(A226="","",IF(AND(H226="Sí",I226="Sí",K226&lt;&gt;"Sí"),"Sí","No"))</f>
        <v/>
      </c>
      <c r="O226" s="18">
        <f>IF(S226="","",1+COUNTIFS($N$2:$N$501,"Sí",$S$2:$S$501,"&gt;"&amp;S226))</f>
        <v/>
      </c>
      <c r="P226" s="18">
        <f>IF(A226="","",INDEX(Logros!$A$2:$A$6,MATCH(N(L226),Logros!$C$2:$C$6,1)))</f>
        <v/>
      </c>
      <c r="Q226" s="19" t="n"/>
      <c r="R226" s="18">
        <f>IF(OR(A226="",P226=""),"",IF(P226&gt;N(Q226),"Sí: entregar nivel "&amp;(N(Q226)+1)&amp;IF(P226&gt;N(Q226)+1," al "&amp;P226,"")&amp;" (ver Logros)",""))</f>
        <v/>
      </c>
      <c r="S226" s="20">
        <f>IF(OR(A226="",N226&lt;&gt;"Sí",N(L226)&lt;=0),"",(N(L226)*100000-MAX(0,ROUND((N(M226)-DATE(2026,10,1))*1440,0)))*1000-ROW())</f>
        <v/>
      </c>
    </row>
    <row r="227">
      <c r="A227" s="19" t="n"/>
      <c r="B227" s="19" t="n"/>
      <c r="C227" s="19" t="n"/>
      <c r="D227" s="21" t="n"/>
      <c r="E227" s="19" t="n"/>
      <c r="F227" s="19" t="n"/>
      <c r="G227" s="22" t="n"/>
      <c r="H227" s="19" t="n"/>
      <c r="I227" s="19" t="n"/>
      <c r="J227" s="19" t="n"/>
      <c r="K227" s="19" t="n"/>
      <c r="L227" s="16">
        <f>IF(A227="","",SUMIF(Movimientos!$B$2:$B$3001,A227,Movimientos!$F$2:$F$3001))</f>
        <v/>
      </c>
      <c r="M227" s="17">
        <f>IF(A227="","",IF(COUNTIF(Movimientos!$B$2:$B$3001,A227)=0,"",_xlfn.MAXIFS(Movimientos!$A$2:$A$3001,Movimientos!$B$2:$B$3001,A227)))</f>
        <v/>
      </c>
      <c r="N227" s="18">
        <f>IF(A227="","",IF(AND(H227="Sí",I227="Sí",K227&lt;&gt;"Sí"),"Sí","No"))</f>
        <v/>
      </c>
      <c r="O227" s="18">
        <f>IF(S227="","",1+COUNTIFS($N$2:$N$501,"Sí",$S$2:$S$501,"&gt;"&amp;S227))</f>
        <v/>
      </c>
      <c r="P227" s="18">
        <f>IF(A227="","",INDEX(Logros!$A$2:$A$6,MATCH(N(L227),Logros!$C$2:$C$6,1)))</f>
        <v/>
      </c>
      <c r="Q227" s="19" t="n"/>
      <c r="R227" s="18">
        <f>IF(OR(A227="",P227=""),"",IF(P227&gt;N(Q227),"Sí: entregar nivel "&amp;(N(Q227)+1)&amp;IF(P227&gt;N(Q227)+1," al "&amp;P227,"")&amp;" (ver Logros)",""))</f>
        <v/>
      </c>
      <c r="S227" s="20">
        <f>IF(OR(A227="",N227&lt;&gt;"Sí",N(L227)&lt;=0),"",(N(L227)*100000-MAX(0,ROUND((N(M227)-DATE(2026,10,1))*1440,0)))*1000-ROW())</f>
        <v/>
      </c>
    </row>
    <row r="228">
      <c r="A228" s="19" t="n"/>
      <c r="B228" s="19" t="n"/>
      <c r="C228" s="19" t="n"/>
      <c r="D228" s="21" t="n"/>
      <c r="E228" s="19" t="n"/>
      <c r="F228" s="19" t="n"/>
      <c r="G228" s="22" t="n"/>
      <c r="H228" s="19" t="n"/>
      <c r="I228" s="19" t="n"/>
      <c r="J228" s="19" t="n"/>
      <c r="K228" s="19" t="n"/>
      <c r="L228" s="16">
        <f>IF(A228="","",SUMIF(Movimientos!$B$2:$B$3001,A228,Movimientos!$F$2:$F$3001))</f>
        <v/>
      </c>
      <c r="M228" s="17">
        <f>IF(A228="","",IF(COUNTIF(Movimientos!$B$2:$B$3001,A228)=0,"",_xlfn.MAXIFS(Movimientos!$A$2:$A$3001,Movimientos!$B$2:$B$3001,A228)))</f>
        <v/>
      </c>
      <c r="N228" s="18">
        <f>IF(A228="","",IF(AND(H228="Sí",I228="Sí",K228&lt;&gt;"Sí"),"Sí","No"))</f>
        <v/>
      </c>
      <c r="O228" s="18">
        <f>IF(S228="","",1+COUNTIFS($N$2:$N$501,"Sí",$S$2:$S$501,"&gt;"&amp;S228))</f>
        <v/>
      </c>
      <c r="P228" s="18">
        <f>IF(A228="","",INDEX(Logros!$A$2:$A$6,MATCH(N(L228),Logros!$C$2:$C$6,1)))</f>
        <v/>
      </c>
      <c r="Q228" s="19" t="n"/>
      <c r="R228" s="18">
        <f>IF(OR(A228="",P228=""),"",IF(P228&gt;N(Q228),"Sí: entregar nivel "&amp;(N(Q228)+1)&amp;IF(P228&gt;N(Q228)+1," al "&amp;P228,"")&amp;" (ver Logros)",""))</f>
        <v/>
      </c>
      <c r="S228" s="20">
        <f>IF(OR(A228="",N228&lt;&gt;"Sí",N(L228)&lt;=0),"",(N(L228)*100000-MAX(0,ROUND((N(M228)-DATE(2026,10,1))*1440,0)))*1000-ROW())</f>
        <v/>
      </c>
    </row>
    <row r="229">
      <c r="A229" s="19" t="n"/>
      <c r="B229" s="19" t="n"/>
      <c r="C229" s="19" t="n"/>
      <c r="D229" s="21" t="n"/>
      <c r="E229" s="19" t="n"/>
      <c r="F229" s="19" t="n"/>
      <c r="G229" s="22" t="n"/>
      <c r="H229" s="19" t="n"/>
      <c r="I229" s="19" t="n"/>
      <c r="J229" s="19" t="n"/>
      <c r="K229" s="19" t="n"/>
      <c r="L229" s="16">
        <f>IF(A229="","",SUMIF(Movimientos!$B$2:$B$3001,A229,Movimientos!$F$2:$F$3001))</f>
        <v/>
      </c>
      <c r="M229" s="17">
        <f>IF(A229="","",IF(COUNTIF(Movimientos!$B$2:$B$3001,A229)=0,"",_xlfn.MAXIFS(Movimientos!$A$2:$A$3001,Movimientos!$B$2:$B$3001,A229)))</f>
        <v/>
      </c>
      <c r="N229" s="18">
        <f>IF(A229="","",IF(AND(H229="Sí",I229="Sí",K229&lt;&gt;"Sí"),"Sí","No"))</f>
        <v/>
      </c>
      <c r="O229" s="18">
        <f>IF(S229="","",1+COUNTIFS($N$2:$N$501,"Sí",$S$2:$S$501,"&gt;"&amp;S229))</f>
        <v/>
      </c>
      <c r="P229" s="18">
        <f>IF(A229="","",INDEX(Logros!$A$2:$A$6,MATCH(N(L229),Logros!$C$2:$C$6,1)))</f>
        <v/>
      </c>
      <c r="Q229" s="19" t="n"/>
      <c r="R229" s="18">
        <f>IF(OR(A229="",P229=""),"",IF(P229&gt;N(Q229),"Sí: entregar nivel "&amp;(N(Q229)+1)&amp;IF(P229&gt;N(Q229)+1," al "&amp;P229,"")&amp;" (ver Logros)",""))</f>
        <v/>
      </c>
      <c r="S229" s="20">
        <f>IF(OR(A229="",N229&lt;&gt;"Sí",N(L229)&lt;=0),"",(N(L229)*100000-MAX(0,ROUND((N(M229)-DATE(2026,10,1))*1440,0)))*1000-ROW())</f>
        <v/>
      </c>
    </row>
    <row r="230">
      <c r="A230" s="19" t="n"/>
      <c r="B230" s="19" t="n"/>
      <c r="C230" s="19" t="n"/>
      <c r="D230" s="21" t="n"/>
      <c r="E230" s="19" t="n"/>
      <c r="F230" s="19" t="n"/>
      <c r="G230" s="22" t="n"/>
      <c r="H230" s="19" t="n"/>
      <c r="I230" s="19" t="n"/>
      <c r="J230" s="19" t="n"/>
      <c r="K230" s="19" t="n"/>
      <c r="L230" s="16">
        <f>IF(A230="","",SUMIF(Movimientos!$B$2:$B$3001,A230,Movimientos!$F$2:$F$3001))</f>
        <v/>
      </c>
      <c r="M230" s="17">
        <f>IF(A230="","",IF(COUNTIF(Movimientos!$B$2:$B$3001,A230)=0,"",_xlfn.MAXIFS(Movimientos!$A$2:$A$3001,Movimientos!$B$2:$B$3001,A230)))</f>
        <v/>
      </c>
      <c r="N230" s="18">
        <f>IF(A230="","",IF(AND(H230="Sí",I230="Sí",K230&lt;&gt;"Sí"),"Sí","No"))</f>
        <v/>
      </c>
      <c r="O230" s="18">
        <f>IF(S230="","",1+COUNTIFS($N$2:$N$501,"Sí",$S$2:$S$501,"&gt;"&amp;S230))</f>
        <v/>
      </c>
      <c r="P230" s="18">
        <f>IF(A230="","",INDEX(Logros!$A$2:$A$6,MATCH(N(L230),Logros!$C$2:$C$6,1)))</f>
        <v/>
      </c>
      <c r="Q230" s="19" t="n"/>
      <c r="R230" s="18">
        <f>IF(OR(A230="",P230=""),"",IF(P230&gt;N(Q230),"Sí: entregar nivel "&amp;(N(Q230)+1)&amp;IF(P230&gt;N(Q230)+1," al "&amp;P230,"")&amp;" (ver Logros)",""))</f>
        <v/>
      </c>
      <c r="S230" s="20">
        <f>IF(OR(A230="",N230&lt;&gt;"Sí",N(L230)&lt;=0),"",(N(L230)*100000-MAX(0,ROUND((N(M230)-DATE(2026,10,1))*1440,0)))*1000-ROW())</f>
        <v/>
      </c>
    </row>
    <row r="231">
      <c r="A231" s="19" t="n"/>
      <c r="B231" s="19" t="n"/>
      <c r="C231" s="19" t="n"/>
      <c r="D231" s="21" t="n"/>
      <c r="E231" s="19" t="n"/>
      <c r="F231" s="19" t="n"/>
      <c r="G231" s="22" t="n"/>
      <c r="H231" s="19" t="n"/>
      <c r="I231" s="19" t="n"/>
      <c r="J231" s="19" t="n"/>
      <c r="K231" s="19" t="n"/>
      <c r="L231" s="16">
        <f>IF(A231="","",SUMIF(Movimientos!$B$2:$B$3001,A231,Movimientos!$F$2:$F$3001))</f>
        <v/>
      </c>
      <c r="M231" s="17">
        <f>IF(A231="","",IF(COUNTIF(Movimientos!$B$2:$B$3001,A231)=0,"",_xlfn.MAXIFS(Movimientos!$A$2:$A$3001,Movimientos!$B$2:$B$3001,A231)))</f>
        <v/>
      </c>
      <c r="N231" s="18">
        <f>IF(A231="","",IF(AND(H231="Sí",I231="Sí",K231&lt;&gt;"Sí"),"Sí","No"))</f>
        <v/>
      </c>
      <c r="O231" s="18">
        <f>IF(S231="","",1+COUNTIFS($N$2:$N$501,"Sí",$S$2:$S$501,"&gt;"&amp;S231))</f>
        <v/>
      </c>
      <c r="P231" s="18">
        <f>IF(A231="","",INDEX(Logros!$A$2:$A$6,MATCH(N(L231),Logros!$C$2:$C$6,1)))</f>
        <v/>
      </c>
      <c r="Q231" s="19" t="n"/>
      <c r="R231" s="18">
        <f>IF(OR(A231="",P231=""),"",IF(P231&gt;N(Q231),"Sí: entregar nivel "&amp;(N(Q231)+1)&amp;IF(P231&gt;N(Q231)+1," al "&amp;P231,"")&amp;" (ver Logros)",""))</f>
        <v/>
      </c>
      <c r="S231" s="20">
        <f>IF(OR(A231="",N231&lt;&gt;"Sí",N(L231)&lt;=0),"",(N(L231)*100000-MAX(0,ROUND((N(M231)-DATE(2026,10,1))*1440,0)))*1000-ROW())</f>
        <v/>
      </c>
    </row>
    <row r="232">
      <c r="A232" s="19" t="n"/>
      <c r="B232" s="19" t="n"/>
      <c r="C232" s="19" t="n"/>
      <c r="D232" s="21" t="n"/>
      <c r="E232" s="19" t="n"/>
      <c r="F232" s="19" t="n"/>
      <c r="G232" s="22" t="n"/>
      <c r="H232" s="19" t="n"/>
      <c r="I232" s="19" t="n"/>
      <c r="J232" s="19" t="n"/>
      <c r="K232" s="19" t="n"/>
      <c r="L232" s="16">
        <f>IF(A232="","",SUMIF(Movimientos!$B$2:$B$3001,A232,Movimientos!$F$2:$F$3001))</f>
        <v/>
      </c>
      <c r="M232" s="17">
        <f>IF(A232="","",IF(COUNTIF(Movimientos!$B$2:$B$3001,A232)=0,"",_xlfn.MAXIFS(Movimientos!$A$2:$A$3001,Movimientos!$B$2:$B$3001,A232)))</f>
        <v/>
      </c>
      <c r="N232" s="18">
        <f>IF(A232="","",IF(AND(H232="Sí",I232="Sí",K232&lt;&gt;"Sí"),"Sí","No"))</f>
        <v/>
      </c>
      <c r="O232" s="18">
        <f>IF(S232="","",1+COUNTIFS($N$2:$N$501,"Sí",$S$2:$S$501,"&gt;"&amp;S232))</f>
        <v/>
      </c>
      <c r="P232" s="18">
        <f>IF(A232="","",INDEX(Logros!$A$2:$A$6,MATCH(N(L232),Logros!$C$2:$C$6,1)))</f>
        <v/>
      </c>
      <c r="Q232" s="19" t="n"/>
      <c r="R232" s="18">
        <f>IF(OR(A232="",P232=""),"",IF(P232&gt;N(Q232),"Sí: entregar nivel "&amp;(N(Q232)+1)&amp;IF(P232&gt;N(Q232)+1," al "&amp;P232,"")&amp;" (ver Logros)",""))</f>
        <v/>
      </c>
      <c r="S232" s="20">
        <f>IF(OR(A232="",N232&lt;&gt;"Sí",N(L232)&lt;=0),"",(N(L232)*100000-MAX(0,ROUND((N(M232)-DATE(2026,10,1))*1440,0)))*1000-ROW())</f>
        <v/>
      </c>
    </row>
    <row r="233">
      <c r="A233" s="19" t="n"/>
      <c r="B233" s="19" t="n"/>
      <c r="C233" s="19" t="n"/>
      <c r="D233" s="21" t="n"/>
      <c r="E233" s="19" t="n"/>
      <c r="F233" s="19" t="n"/>
      <c r="G233" s="22" t="n"/>
      <c r="H233" s="19" t="n"/>
      <c r="I233" s="19" t="n"/>
      <c r="J233" s="19" t="n"/>
      <c r="K233" s="19" t="n"/>
      <c r="L233" s="16">
        <f>IF(A233="","",SUMIF(Movimientos!$B$2:$B$3001,A233,Movimientos!$F$2:$F$3001))</f>
        <v/>
      </c>
      <c r="M233" s="17">
        <f>IF(A233="","",IF(COUNTIF(Movimientos!$B$2:$B$3001,A233)=0,"",_xlfn.MAXIFS(Movimientos!$A$2:$A$3001,Movimientos!$B$2:$B$3001,A233)))</f>
        <v/>
      </c>
      <c r="N233" s="18">
        <f>IF(A233="","",IF(AND(H233="Sí",I233="Sí",K233&lt;&gt;"Sí"),"Sí","No"))</f>
        <v/>
      </c>
      <c r="O233" s="18">
        <f>IF(S233="","",1+COUNTIFS($N$2:$N$501,"Sí",$S$2:$S$501,"&gt;"&amp;S233))</f>
        <v/>
      </c>
      <c r="P233" s="18">
        <f>IF(A233="","",INDEX(Logros!$A$2:$A$6,MATCH(N(L233),Logros!$C$2:$C$6,1)))</f>
        <v/>
      </c>
      <c r="Q233" s="19" t="n"/>
      <c r="R233" s="18">
        <f>IF(OR(A233="",P233=""),"",IF(P233&gt;N(Q233),"Sí: entregar nivel "&amp;(N(Q233)+1)&amp;IF(P233&gt;N(Q233)+1," al "&amp;P233,"")&amp;" (ver Logros)",""))</f>
        <v/>
      </c>
      <c r="S233" s="20">
        <f>IF(OR(A233="",N233&lt;&gt;"Sí",N(L233)&lt;=0),"",(N(L233)*100000-MAX(0,ROUND((N(M233)-DATE(2026,10,1))*1440,0)))*1000-ROW())</f>
        <v/>
      </c>
    </row>
    <row r="234">
      <c r="A234" s="19" t="n"/>
      <c r="B234" s="19" t="n"/>
      <c r="C234" s="19" t="n"/>
      <c r="D234" s="21" t="n"/>
      <c r="E234" s="19" t="n"/>
      <c r="F234" s="19" t="n"/>
      <c r="G234" s="22" t="n"/>
      <c r="H234" s="19" t="n"/>
      <c r="I234" s="19" t="n"/>
      <c r="J234" s="19" t="n"/>
      <c r="K234" s="19" t="n"/>
      <c r="L234" s="16">
        <f>IF(A234="","",SUMIF(Movimientos!$B$2:$B$3001,A234,Movimientos!$F$2:$F$3001))</f>
        <v/>
      </c>
      <c r="M234" s="17">
        <f>IF(A234="","",IF(COUNTIF(Movimientos!$B$2:$B$3001,A234)=0,"",_xlfn.MAXIFS(Movimientos!$A$2:$A$3001,Movimientos!$B$2:$B$3001,A234)))</f>
        <v/>
      </c>
      <c r="N234" s="18">
        <f>IF(A234="","",IF(AND(H234="Sí",I234="Sí",K234&lt;&gt;"Sí"),"Sí","No"))</f>
        <v/>
      </c>
      <c r="O234" s="18">
        <f>IF(S234="","",1+COUNTIFS($N$2:$N$501,"Sí",$S$2:$S$501,"&gt;"&amp;S234))</f>
        <v/>
      </c>
      <c r="P234" s="18">
        <f>IF(A234="","",INDEX(Logros!$A$2:$A$6,MATCH(N(L234),Logros!$C$2:$C$6,1)))</f>
        <v/>
      </c>
      <c r="Q234" s="19" t="n"/>
      <c r="R234" s="18">
        <f>IF(OR(A234="",P234=""),"",IF(P234&gt;N(Q234),"Sí: entregar nivel "&amp;(N(Q234)+1)&amp;IF(P234&gt;N(Q234)+1," al "&amp;P234,"")&amp;" (ver Logros)",""))</f>
        <v/>
      </c>
      <c r="S234" s="20">
        <f>IF(OR(A234="",N234&lt;&gt;"Sí",N(L234)&lt;=0),"",(N(L234)*100000-MAX(0,ROUND((N(M234)-DATE(2026,10,1))*1440,0)))*1000-ROW())</f>
        <v/>
      </c>
    </row>
    <row r="235">
      <c r="A235" s="19" t="n"/>
      <c r="B235" s="19" t="n"/>
      <c r="C235" s="19" t="n"/>
      <c r="D235" s="21" t="n"/>
      <c r="E235" s="19" t="n"/>
      <c r="F235" s="19" t="n"/>
      <c r="G235" s="22" t="n"/>
      <c r="H235" s="19" t="n"/>
      <c r="I235" s="19" t="n"/>
      <c r="J235" s="19" t="n"/>
      <c r="K235" s="19" t="n"/>
      <c r="L235" s="16">
        <f>IF(A235="","",SUMIF(Movimientos!$B$2:$B$3001,A235,Movimientos!$F$2:$F$3001))</f>
        <v/>
      </c>
      <c r="M235" s="17">
        <f>IF(A235="","",IF(COUNTIF(Movimientos!$B$2:$B$3001,A235)=0,"",_xlfn.MAXIFS(Movimientos!$A$2:$A$3001,Movimientos!$B$2:$B$3001,A235)))</f>
        <v/>
      </c>
      <c r="N235" s="18">
        <f>IF(A235="","",IF(AND(H235="Sí",I235="Sí",K235&lt;&gt;"Sí"),"Sí","No"))</f>
        <v/>
      </c>
      <c r="O235" s="18">
        <f>IF(S235="","",1+COUNTIFS($N$2:$N$501,"Sí",$S$2:$S$501,"&gt;"&amp;S235))</f>
        <v/>
      </c>
      <c r="P235" s="18">
        <f>IF(A235="","",INDEX(Logros!$A$2:$A$6,MATCH(N(L235),Logros!$C$2:$C$6,1)))</f>
        <v/>
      </c>
      <c r="Q235" s="19" t="n"/>
      <c r="R235" s="18">
        <f>IF(OR(A235="",P235=""),"",IF(P235&gt;N(Q235),"Sí: entregar nivel "&amp;(N(Q235)+1)&amp;IF(P235&gt;N(Q235)+1," al "&amp;P235,"")&amp;" (ver Logros)",""))</f>
        <v/>
      </c>
      <c r="S235" s="20">
        <f>IF(OR(A235="",N235&lt;&gt;"Sí",N(L235)&lt;=0),"",(N(L235)*100000-MAX(0,ROUND((N(M235)-DATE(2026,10,1))*1440,0)))*1000-ROW())</f>
        <v/>
      </c>
    </row>
    <row r="236">
      <c r="A236" s="19" t="n"/>
      <c r="B236" s="19" t="n"/>
      <c r="C236" s="19" t="n"/>
      <c r="D236" s="21" t="n"/>
      <c r="E236" s="19" t="n"/>
      <c r="F236" s="19" t="n"/>
      <c r="G236" s="22" t="n"/>
      <c r="H236" s="19" t="n"/>
      <c r="I236" s="19" t="n"/>
      <c r="J236" s="19" t="n"/>
      <c r="K236" s="19" t="n"/>
      <c r="L236" s="16">
        <f>IF(A236="","",SUMIF(Movimientos!$B$2:$B$3001,A236,Movimientos!$F$2:$F$3001))</f>
        <v/>
      </c>
      <c r="M236" s="17">
        <f>IF(A236="","",IF(COUNTIF(Movimientos!$B$2:$B$3001,A236)=0,"",_xlfn.MAXIFS(Movimientos!$A$2:$A$3001,Movimientos!$B$2:$B$3001,A236)))</f>
        <v/>
      </c>
      <c r="N236" s="18">
        <f>IF(A236="","",IF(AND(H236="Sí",I236="Sí",K236&lt;&gt;"Sí"),"Sí","No"))</f>
        <v/>
      </c>
      <c r="O236" s="18">
        <f>IF(S236="","",1+COUNTIFS($N$2:$N$501,"Sí",$S$2:$S$501,"&gt;"&amp;S236))</f>
        <v/>
      </c>
      <c r="P236" s="18">
        <f>IF(A236="","",INDEX(Logros!$A$2:$A$6,MATCH(N(L236),Logros!$C$2:$C$6,1)))</f>
        <v/>
      </c>
      <c r="Q236" s="19" t="n"/>
      <c r="R236" s="18">
        <f>IF(OR(A236="",P236=""),"",IF(P236&gt;N(Q236),"Sí: entregar nivel "&amp;(N(Q236)+1)&amp;IF(P236&gt;N(Q236)+1," al "&amp;P236,"")&amp;" (ver Logros)",""))</f>
        <v/>
      </c>
      <c r="S236" s="20">
        <f>IF(OR(A236="",N236&lt;&gt;"Sí",N(L236)&lt;=0),"",(N(L236)*100000-MAX(0,ROUND((N(M236)-DATE(2026,10,1))*1440,0)))*1000-ROW())</f>
        <v/>
      </c>
    </row>
    <row r="237">
      <c r="A237" s="19" t="n"/>
      <c r="B237" s="19" t="n"/>
      <c r="C237" s="19" t="n"/>
      <c r="D237" s="21" t="n"/>
      <c r="E237" s="19" t="n"/>
      <c r="F237" s="19" t="n"/>
      <c r="G237" s="22" t="n"/>
      <c r="H237" s="19" t="n"/>
      <c r="I237" s="19" t="n"/>
      <c r="J237" s="19" t="n"/>
      <c r="K237" s="19" t="n"/>
      <c r="L237" s="16">
        <f>IF(A237="","",SUMIF(Movimientos!$B$2:$B$3001,A237,Movimientos!$F$2:$F$3001))</f>
        <v/>
      </c>
      <c r="M237" s="17">
        <f>IF(A237="","",IF(COUNTIF(Movimientos!$B$2:$B$3001,A237)=0,"",_xlfn.MAXIFS(Movimientos!$A$2:$A$3001,Movimientos!$B$2:$B$3001,A237)))</f>
        <v/>
      </c>
      <c r="N237" s="18">
        <f>IF(A237="","",IF(AND(H237="Sí",I237="Sí",K237&lt;&gt;"Sí"),"Sí","No"))</f>
        <v/>
      </c>
      <c r="O237" s="18">
        <f>IF(S237="","",1+COUNTIFS($N$2:$N$501,"Sí",$S$2:$S$501,"&gt;"&amp;S237))</f>
        <v/>
      </c>
      <c r="P237" s="18">
        <f>IF(A237="","",INDEX(Logros!$A$2:$A$6,MATCH(N(L237),Logros!$C$2:$C$6,1)))</f>
        <v/>
      </c>
      <c r="Q237" s="19" t="n"/>
      <c r="R237" s="18">
        <f>IF(OR(A237="",P237=""),"",IF(P237&gt;N(Q237),"Sí: entregar nivel "&amp;(N(Q237)+1)&amp;IF(P237&gt;N(Q237)+1," al "&amp;P237,"")&amp;" (ver Logros)",""))</f>
        <v/>
      </c>
      <c r="S237" s="20">
        <f>IF(OR(A237="",N237&lt;&gt;"Sí",N(L237)&lt;=0),"",(N(L237)*100000-MAX(0,ROUND((N(M237)-DATE(2026,10,1))*1440,0)))*1000-ROW())</f>
        <v/>
      </c>
    </row>
    <row r="238">
      <c r="A238" s="19" t="n"/>
      <c r="B238" s="19" t="n"/>
      <c r="C238" s="19" t="n"/>
      <c r="D238" s="21" t="n"/>
      <c r="E238" s="19" t="n"/>
      <c r="F238" s="19" t="n"/>
      <c r="G238" s="22" t="n"/>
      <c r="H238" s="19" t="n"/>
      <c r="I238" s="19" t="n"/>
      <c r="J238" s="19" t="n"/>
      <c r="K238" s="19" t="n"/>
      <c r="L238" s="16">
        <f>IF(A238="","",SUMIF(Movimientos!$B$2:$B$3001,A238,Movimientos!$F$2:$F$3001))</f>
        <v/>
      </c>
      <c r="M238" s="17">
        <f>IF(A238="","",IF(COUNTIF(Movimientos!$B$2:$B$3001,A238)=0,"",_xlfn.MAXIFS(Movimientos!$A$2:$A$3001,Movimientos!$B$2:$B$3001,A238)))</f>
        <v/>
      </c>
      <c r="N238" s="18">
        <f>IF(A238="","",IF(AND(H238="Sí",I238="Sí",K238&lt;&gt;"Sí"),"Sí","No"))</f>
        <v/>
      </c>
      <c r="O238" s="18">
        <f>IF(S238="","",1+COUNTIFS($N$2:$N$501,"Sí",$S$2:$S$501,"&gt;"&amp;S238))</f>
        <v/>
      </c>
      <c r="P238" s="18">
        <f>IF(A238="","",INDEX(Logros!$A$2:$A$6,MATCH(N(L238),Logros!$C$2:$C$6,1)))</f>
        <v/>
      </c>
      <c r="Q238" s="19" t="n"/>
      <c r="R238" s="18">
        <f>IF(OR(A238="",P238=""),"",IF(P238&gt;N(Q238),"Sí: entregar nivel "&amp;(N(Q238)+1)&amp;IF(P238&gt;N(Q238)+1," al "&amp;P238,"")&amp;" (ver Logros)",""))</f>
        <v/>
      </c>
      <c r="S238" s="20">
        <f>IF(OR(A238="",N238&lt;&gt;"Sí",N(L238)&lt;=0),"",(N(L238)*100000-MAX(0,ROUND((N(M238)-DATE(2026,10,1))*1440,0)))*1000-ROW())</f>
        <v/>
      </c>
    </row>
    <row r="239">
      <c r="A239" s="19" t="n"/>
      <c r="B239" s="19" t="n"/>
      <c r="C239" s="19" t="n"/>
      <c r="D239" s="21" t="n"/>
      <c r="E239" s="19" t="n"/>
      <c r="F239" s="19" t="n"/>
      <c r="G239" s="22" t="n"/>
      <c r="H239" s="19" t="n"/>
      <c r="I239" s="19" t="n"/>
      <c r="J239" s="19" t="n"/>
      <c r="K239" s="19" t="n"/>
      <c r="L239" s="16">
        <f>IF(A239="","",SUMIF(Movimientos!$B$2:$B$3001,A239,Movimientos!$F$2:$F$3001))</f>
        <v/>
      </c>
      <c r="M239" s="17">
        <f>IF(A239="","",IF(COUNTIF(Movimientos!$B$2:$B$3001,A239)=0,"",_xlfn.MAXIFS(Movimientos!$A$2:$A$3001,Movimientos!$B$2:$B$3001,A239)))</f>
        <v/>
      </c>
      <c r="N239" s="18">
        <f>IF(A239="","",IF(AND(H239="Sí",I239="Sí",K239&lt;&gt;"Sí"),"Sí","No"))</f>
        <v/>
      </c>
      <c r="O239" s="18">
        <f>IF(S239="","",1+COUNTIFS($N$2:$N$501,"Sí",$S$2:$S$501,"&gt;"&amp;S239))</f>
        <v/>
      </c>
      <c r="P239" s="18">
        <f>IF(A239="","",INDEX(Logros!$A$2:$A$6,MATCH(N(L239),Logros!$C$2:$C$6,1)))</f>
        <v/>
      </c>
      <c r="Q239" s="19" t="n"/>
      <c r="R239" s="18">
        <f>IF(OR(A239="",P239=""),"",IF(P239&gt;N(Q239),"Sí: entregar nivel "&amp;(N(Q239)+1)&amp;IF(P239&gt;N(Q239)+1," al "&amp;P239,"")&amp;" (ver Logros)",""))</f>
        <v/>
      </c>
      <c r="S239" s="20">
        <f>IF(OR(A239="",N239&lt;&gt;"Sí",N(L239)&lt;=0),"",(N(L239)*100000-MAX(0,ROUND((N(M239)-DATE(2026,10,1))*1440,0)))*1000-ROW())</f>
        <v/>
      </c>
    </row>
    <row r="240">
      <c r="A240" s="19" t="n"/>
      <c r="B240" s="19" t="n"/>
      <c r="C240" s="19" t="n"/>
      <c r="D240" s="21" t="n"/>
      <c r="E240" s="19" t="n"/>
      <c r="F240" s="19" t="n"/>
      <c r="G240" s="22" t="n"/>
      <c r="H240" s="19" t="n"/>
      <c r="I240" s="19" t="n"/>
      <c r="J240" s="19" t="n"/>
      <c r="K240" s="19" t="n"/>
      <c r="L240" s="16">
        <f>IF(A240="","",SUMIF(Movimientos!$B$2:$B$3001,A240,Movimientos!$F$2:$F$3001))</f>
        <v/>
      </c>
      <c r="M240" s="17">
        <f>IF(A240="","",IF(COUNTIF(Movimientos!$B$2:$B$3001,A240)=0,"",_xlfn.MAXIFS(Movimientos!$A$2:$A$3001,Movimientos!$B$2:$B$3001,A240)))</f>
        <v/>
      </c>
      <c r="N240" s="18">
        <f>IF(A240="","",IF(AND(H240="Sí",I240="Sí",K240&lt;&gt;"Sí"),"Sí","No"))</f>
        <v/>
      </c>
      <c r="O240" s="18">
        <f>IF(S240="","",1+COUNTIFS($N$2:$N$501,"Sí",$S$2:$S$501,"&gt;"&amp;S240))</f>
        <v/>
      </c>
      <c r="P240" s="18">
        <f>IF(A240="","",INDEX(Logros!$A$2:$A$6,MATCH(N(L240),Logros!$C$2:$C$6,1)))</f>
        <v/>
      </c>
      <c r="Q240" s="19" t="n"/>
      <c r="R240" s="18">
        <f>IF(OR(A240="",P240=""),"",IF(P240&gt;N(Q240),"Sí: entregar nivel "&amp;(N(Q240)+1)&amp;IF(P240&gt;N(Q240)+1," al "&amp;P240,"")&amp;" (ver Logros)",""))</f>
        <v/>
      </c>
      <c r="S240" s="20">
        <f>IF(OR(A240="",N240&lt;&gt;"Sí",N(L240)&lt;=0),"",(N(L240)*100000-MAX(0,ROUND((N(M240)-DATE(2026,10,1))*1440,0)))*1000-ROW())</f>
        <v/>
      </c>
    </row>
    <row r="241">
      <c r="A241" s="19" t="n"/>
      <c r="B241" s="19" t="n"/>
      <c r="C241" s="19" t="n"/>
      <c r="D241" s="21" t="n"/>
      <c r="E241" s="19" t="n"/>
      <c r="F241" s="19" t="n"/>
      <c r="G241" s="22" t="n"/>
      <c r="H241" s="19" t="n"/>
      <c r="I241" s="19" t="n"/>
      <c r="J241" s="19" t="n"/>
      <c r="K241" s="19" t="n"/>
      <c r="L241" s="16">
        <f>IF(A241="","",SUMIF(Movimientos!$B$2:$B$3001,A241,Movimientos!$F$2:$F$3001))</f>
        <v/>
      </c>
      <c r="M241" s="17">
        <f>IF(A241="","",IF(COUNTIF(Movimientos!$B$2:$B$3001,A241)=0,"",_xlfn.MAXIFS(Movimientos!$A$2:$A$3001,Movimientos!$B$2:$B$3001,A241)))</f>
        <v/>
      </c>
      <c r="N241" s="18">
        <f>IF(A241="","",IF(AND(H241="Sí",I241="Sí",K241&lt;&gt;"Sí"),"Sí","No"))</f>
        <v/>
      </c>
      <c r="O241" s="18">
        <f>IF(S241="","",1+COUNTIFS($N$2:$N$501,"Sí",$S$2:$S$501,"&gt;"&amp;S241))</f>
        <v/>
      </c>
      <c r="P241" s="18">
        <f>IF(A241="","",INDEX(Logros!$A$2:$A$6,MATCH(N(L241),Logros!$C$2:$C$6,1)))</f>
        <v/>
      </c>
      <c r="Q241" s="19" t="n"/>
      <c r="R241" s="18">
        <f>IF(OR(A241="",P241=""),"",IF(P241&gt;N(Q241),"Sí: entregar nivel "&amp;(N(Q241)+1)&amp;IF(P241&gt;N(Q241)+1," al "&amp;P241,"")&amp;" (ver Logros)",""))</f>
        <v/>
      </c>
      <c r="S241" s="20">
        <f>IF(OR(A241="",N241&lt;&gt;"Sí",N(L241)&lt;=0),"",(N(L241)*100000-MAX(0,ROUND((N(M241)-DATE(2026,10,1))*1440,0)))*1000-ROW())</f>
        <v/>
      </c>
    </row>
    <row r="242">
      <c r="A242" s="19" t="n"/>
      <c r="B242" s="19" t="n"/>
      <c r="C242" s="19" t="n"/>
      <c r="D242" s="21" t="n"/>
      <c r="E242" s="19" t="n"/>
      <c r="F242" s="19" t="n"/>
      <c r="G242" s="22" t="n"/>
      <c r="H242" s="19" t="n"/>
      <c r="I242" s="19" t="n"/>
      <c r="J242" s="19" t="n"/>
      <c r="K242" s="19" t="n"/>
      <c r="L242" s="16">
        <f>IF(A242="","",SUMIF(Movimientos!$B$2:$B$3001,A242,Movimientos!$F$2:$F$3001))</f>
        <v/>
      </c>
      <c r="M242" s="17">
        <f>IF(A242="","",IF(COUNTIF(Movimientos!$B$2:$B$3001,A242)=0,"",_xlfn.MAXIFS(Movimientos!$A$2:$A$3001,Movimientos!$B$2:$B$3001,A242)))</f>
        <v/>
      </c>
      <c r="N242" s="18">
        <f>IF(A242="","",IF(AND(H242="Sí",I242="Sí",K242&lt;&gt;"Sí"),"Sí","No"))</f>
        <v/>
      </c>
      <c r="O242" s="18">
        <f>IF(S242="","",1+COUNTIFS($N$2:$N$501,"Sí",$S$2:$S$501,"&gt;"&amp;S242))</f>
        <v/>
      </c>
      <c r="P242" s="18">
        <f>IF(A242="","",INDEX(Logros!$A$2:$A$6,MATCH(N(L242),Logros!$C$2:$C$6,1)))</f>
        <v/>
      </c>
      <c r="Q242" s="19" t="n"/>
      <c r="R242" s="18">
        <f>IF(OR(A242="",P242=""),"",IF(P242&gt;N(Q242),"Sí: entregar nivel "&amp;(N(Q242)+1)&amp;IF(P242&gt;N(Q242)+1," al "&amp;P242,"")&amp;" (ver Logros)",""))</f>
        <v/>
      </c>
      <c r="S242" s="20">
        <f>IF(OR(A242="",N242&lt;&gt;"Sí",N(L242)&lt;=0),"",(N(L242)*100000-MAX(0,ROUND((N(M242)-DATE(2026,10,1))*1440,0)))*1000-ROW())</f>
        <v/>
      </c>
    </row>
    <row r="243">
      <c r="A243" s="19" t="n"/>
      <c r="B243" s="19" t="n"/>
      <c r="C243" s="19" t="n"/>
      <c r="D243" s="21" t="n"/>
      <c r="E243" s="19" t="n"/>
      <c r="F243" s="19" t="n"/>
      <c r="G243" s="22" t="n"/>
      <c r="H243" s="19" t="n"/>
      <c r="I243" s="19" t="n"/>
      <c r="J243" s="19" t="n"/>
      <c r="K243" s="19" t="n"/>
      <c r="L243" s="16">
        <f>IF(A243="","",SUMIF(Movimientos!$B$2:$B$3001,A243,Movimientos!$F$2:$F$3001))</f>
        <v/>
      </c>
      <c r="M243" s="17">
        <f>IF(A243="","",IF(COUNTIF(Movimientos!$B$2:$B$3001,A243)=0,"",_xlfn.MAXIFS(Movimientos!$A$2:$A$3001,Movimientos!$B$2:$B$3001,A243)))</f>
        <v/>
      </c>
      <c r="N243" s="18">
        <f>IF(A243="","",IF(AND(H243="Sí",I243="Sí",K243&lt;&gt;"Sí"),"Sí","No"))</f>
        <v/>
      </c>
      <c r="O243" s="18">
        <f>IF(S243="","",1+COUNTIFS($N$2:$N$501,"Sí",$S$2:$S$501,"&gt;"&amp;S243))</f>
        <v/>
      </c>
      <c r="P243" s="18">
        <f>IF(A243="","",INDEX(Logros!$A$2:$A$6,MATCH(N(L243),Logros!$C$2:$C$6,1)))</f>
        <v/>
      </c>
      <c r="Q243" s="19" t="n"/>
      <c r="R243" s="18">
        <f>IF(OR(A243="",P243=""),"",IF(P243&gt;N(Q243),"Sí: entregar nivel "&amp;(N(Q243)+1)&amp;IF(P243&gt;N(Q243)+1," al "&amp;P243,"")&amp;" (ver Logros)",""))</f>
        <v/>
      </c>
      <c r="S243" s="20">
        <f>IF(OR(A243="",N243&lt;&gt;"Sí",N(L243)&lt;=0),"",(N(L243)*100000-MAX(0,ROUND((N(M243)-DATE(2026,10,1))*1440,0)))*1000-ROW())</f>
        <v/>
      </c>
    </row>
    <row r="244">
      <c r="A244" s="19" t="n"/>
      <c r="B244" s="19" t="n"/>
      <c r="C244" s="19" t="n"/>
      <c r="D244" s="21" t="n"/>
      <c r="E244" s="19" t="n"/>
      <c r="F244" s="19" t="n"/>
      <c r="G244" s="22" t="n"/>
      <c r="H244" s="19" t="n"/>
      <c r="I244" s="19" t="n"/>
      <c r="J244" s="19" t="n"/>
      <c r="K244" s="19" t="n"/>
      <c r="L244" s="16">
        <f>IF(A244="","",SUMIF(Movimientos!$B$2:$B$3001,A244,Movimientos!$F$2:$F$3001))</f>
        <v/>
      </c>
      <c r="M244" s="17">
        <f>IF(A244="","",IF(COUNTIF(Movimientos!$B$2:$B$3001,A244)=0,"",_xlfn.MAXIFS(Movimientos!$A$2:$A$3001,Movimientos!$B$2:$B$3001,A244)))</f>
        <v/>
      </c>
      <c r="N244" s="18">
        <f>IF(A244="","",IF(AND(H244="Sí",I244="Sí",K244&lt;&gt;"Sí"),"Sí","No"))</f>
        <v/>
      </c>
      <c r="O244" s="18">
        <f>IF(S244="","",1+COUNTIFS($N$2:$N$501,"Sí",$S$2:$S$501,"&gt;"&amp;S244))</f>
        <v/>
      </c>
      <c r="P244" s="18">
        <f>IF(A244="","",INDEX(Logros!$A$2:$A$6,MATCH(N(L244),Logros!$C$2:$C$6,1)))</f>
        <v/>
      </c>
      <c r="Q244" s="19" t="n"/>
      <c r="R244" s="18">
        <f>IF(OR(A244="",P244=""),"",IF(P244&gt;N(Q244),"Sí: entregar nivel "&amp;(N(Q244)+1)&amp;IF(P244&gt;N(Q244)+1," al "&amp;P244,"")&amp;" (ver Logros)",""))</f>
        <v/>
      </c>
      <c r="S244" s="20">
        <f>IF(OR(A244="",N244&lt;&gt;"Sí",N(L244)&lt;=0),"",(N(L244)*100000-MAX(0,ROUND((N(M244)-DATE(2026,10,1))*1440,0)))*1000-ROW())</f>
        <v/>
      </c>
    </row>
    <row r="245">
      <c r="A245" s="19" t="n"/>
      <c r="B245" s="19" t="n"/>
      <c r="C245" s="19" t="n"/>
      <c r="D245" s="21" t="n"/>
      <c r="E245" s="19" t="n"/>
      <c r="F245" s="19" t="n"/>
      <c r="G245" s="22" t="n"/>
      <c r="H245" s="19" t="n"/>
      <c r="I245" s="19" t="n"/>
      <c r="J245" s="19" t="n"/>
      <c r="K245" s="19" t="n"/>
      <c r="L245" s="16">
        <f>IF(A245="","",SUMIF(Movimientos!$B$2:$B$3001,A245,Movimientos!$F$2:$F$3001))</f>
        <v/>
      </c>
      <c r="M245" s="17">
        <f>IF(A245="","",IF(COUNTIF(Movimientos!$B$2:$B$3001,A245)=0,"",_xlfn.MAXIFS(Movimientos!$A$2:$A$3001,Movimientos!$B$2:$B$3001,A245)))</f>
        <v/>
      </c>
      <c r="N245" s="18">
        <f>IF(A245="","",IF(AND(H245="Sí",I245="Sí",K245&lt;&gt;"Sí"),"Sí","No"))</f>
        <v/>
      </c>
      <c r="O245" s="18">
        <f>IF(S245="","",1+COUNTIFS($N$2:$N$501,"Sí",$S$2:$S$501,"&gt;"&amp;S245))</f>
        <v/>
      </c>
      <c r="P245" s="18">
        <f>IF(A245="","",INDEX(Logros!$A$2:$A$6,MATCH(N(L245),Logros!$C$2:$C$6,1)))</f>
        <v/>
      </c>
      <c r="Q245" s="19" t="n"/>
      <c r="R245" s="18">
        <f>IF(OR(A245="",P245=""),"",IF(P245&gt;N(Q245),"Sí: entregar nivel "&amp;(N(Q245)+1)&amp;IF(P245&gt;N(Q245)+1," al "&amp;P245,"")&amp;" (ver Logros)",""))</f>
        <v/>
      </c>
      <c r="S245" s="20">
        <f>IF(OR(A245="",N245&lt;&gt;"Sí",N(L245)&lt;=0),"",(N(L245)*100000-MAX(0,ROUND((N(M245)-DATE(2026,10,1))*1440,0)))*1000-ROW())</f>
        <v/>
      </c>
    </row>
    <row r="246">
      <c r="A246" s="19" t="n"/>
      <c r="B246" s="19" t="n"/>
      <c r="C246" s="19" t="n"/>
      <c r="D246" s="21" t="n"/>
      <c r="E246" s="19" t="n"/>
      <c r="F246" s="19" t="n"/>
      <c r="G246" s="22" t="n"/>
      <c r="H246" s="19" t="n"/>
      <c r="I246" s="19" t="n"/>
      <c r="J246" s="19" t="n"/>
      <c r="K246" s="19" t="n"/>
      <c r="L246" s="16">
        <f>IF(A246="","",SUMIF(Movimientos!$B$2:$B$3001,A246,Movimientos!$F$2:$F$3001))</f>
        <v/>
      </c>
      <c r="M246" s="17">
        <f>IF(A246="","",IF(COUNTIF(Movimientos!$B$2:$B$3001,A246)=0,"",_xlfn.MAXIFS(Movimientos!$A$2:$A$3001,Movimientos!$B$2:$B$3001,A246)))</f>
        <v/>
      </c>
      <c r="N246" s="18">
        <f>IF(A246="","",IF(AND(H246="Sí",I246="Sí",K246&lt;&gt;"Sí"),"Sí","No"))</f>
        <v/>
      </c>
      <c r="O246" s="18">
        <f>IF(S246="","",1+COUNTIFS($N$2:$N$501,"Sí",$S$2:$S$501,"&gt;"&amp;S246))</f>
        <v/>
      </c>
      <c r="P246" s="18">
        <f>IF(A246="","",INDEX(Logros!$A$2:$A$6,MATCH(N(L246),Logros!$C$2:$C$6,1)))</f>
        <v/>
      </c>
      <c r="Q246" s="19" t="n"/>
      <c r="R246" s="18">
        <f>IF(OR(A246="",P246=""),"",IF(P246&gt;N(Q246),"Sí: entregar nivel "&amp;(N(Q246)+1)&amp;IF(P246&gt;N(Q246)+1," al "&amp;P246,"")&amp;" (ver Logros)",""))</f>
        <v/>
      </c>
      <c r="S246" s="20">
        <f>IF(OR(A246="",N246&lt;&gt;"Sí",N(L246)&lt;=0),"",(N(L246)*100000-MAX(0,ROUND((N(M246)-DATE(2026,10,1))*1440,0)))*1000-ROW())</f>
        <v/>
      </c>
    </row>
    <row r="247">
      <c r="A247" s="19" t="n"/>
      <c r="B247" s="19" t="n"/>
      <c r="C247" s="19" t="n"/>
      <c r="D247" s="21" t="n"/>
      <c r="E247" s="19" t="n"/>
      <c r="F247" s="19" t="n"/>
      <c r="G247" s="22" t="n"/>
      <c r="H247" s="19" t="n"/>
      <c r="I247" s="19" t="n"/>
      <c r="J247" s="19" t="n"/>
      <c r="K247" s="19" t="n"/>
      <c r="L247" s="16">
        <f>IF(A247="","",SUMIF(Movimientos!$B$2:$B$3001,A247,Movimientos!$F$2:$F$3001))</f>
        <v/>
      </c>
      <c r="M247" s="17">
        <f>IF(A247="","",IF(COUNTIF(Movimientos!$B$2:$B$3001,A247)=0,"",_xlfn.MAXIFS(Movimientos!$A$2:$A$3001,Movimientos!$B$2:$B$3001,A247)))</f>
        <v/>
      </c>
      <c r="N247" s="18">
        <f>IF(A247="","",IF(AND(H247="Sí",I247="Sí",K247&lt;&gt;"Sí"),"Sí","No"))</f>
        <v/>
      </c>
      <c r="O247" s="18">
        <f>IF(S247="","",1+COUNTIFS($N$2:$N$501,"Sí",$S$2:$S$501,"&gt;"&amp;S247))</f>
        <v/>
      </c>
      <c r="P247" s="18">
        <f>IF(A247="","",INDEX(Logros!$A$2:$A$6,MATCH(N(L247),Logros!$C$2:$C$6,1)))</f>
        <v/>
      </c>
      <c r="Q247" s="19" t="n"/>
      <c r="R247" s="18">
        <f>IF(OR(A247="",P247=""),"",IF(P247&gt;N(Q247),"Sí: entregar nivel "&amp;(N(Q247)+1)&amp;IF(P247&gt;N(Q247)+1," al "&amp;P247,"")&amp;" (ver Logros)",""))</f>
        <v/>
      </c>
      <c r="S247" s="20">
        <f>IF(OR(A247="",N247&lt;&gt;"Sí",N(L247)&lt;=0),"",(N(L247)*100000-MAX(0,ROUND((N(M247)-DATE(2026,10,1))*1440,0)))*1000-ROW())</f>
        <v/>
      </c>
    </row>
    <row r="248">
      <c r="A248" s="19" t="n"/>
      <c r="B248" s="19" t="n"/>
      <c r="C248" s="19" t="n"/>
      <c r="D248" s="21" t="n"/>
      <c r="E248" s="19" t="n"/>
      <c r="F248" s="19" t="n"/>
      <c r="G248" s="22" t="n"/>
      <c r="H248" s="19" t="n"/>
      <c r="I248" s="19" t="n"/>
      <c r="J248" s="19" t="n"/>
      <c r="K248" s="19" t="n"/>
      <c r="L248" s="16">
        <f>IF(A248="","",SUMIF(Movimientos!$B$2:$B$3001,A248,Movimientos!$F$2:$F$3001))</f>
        <v/>
      </c>
      <c r="M248" s="17">
        <f>IF(A248="","",IF(COUNTIF(Movimientos!$B$2:$B$3001,A248)=0,"",_xlfn.MAXIFS(Movimientos!$A$2:$A$3001,Movimientos!$B$2:$B$3001,A248)))</f>
        <v/>
      </c>
      <c r="N248" s="18">
        <f>IF(A248="","",IF(AND(H248="Sí",I248="Sí",K248&lt;&gt;"Sí"),"Sí","No"))</f>
        <v/>
      </c>
      <c r="O248" s="18">
        <f>IF(S248="","",1+COUNTIFS($N$2:$N$501,"Sí",$S$2:$S$501,"&gt;"&amp;S248))</f>
        <v/>
      </c>
      <c r="P248" s="18">
        <f>IF(A248="","",INDEX(Logros!$A$2:$A$6,MATCH(N(L248),Logros!$C$2:$C$6,1)))</f>
        <v/>
      </c>
      <c r="Q248" s="19" t="n"/>
      <c r="R248" s="18">
        <f>IF(OR(A248="",P248=""),"",IF(P248&gt;N(Q248),"Sí: entregar nivel "&amp;(N(Q248)+1)&amp;IF(P248&gt;N(Q248)+1," al "&amp;P248,"")&amp;" (ver Logros)",""))</f>
        <v/>
      </c>
      <c r="S248" s="20">
        <f>IF(OR(A248="",N248&lt;&gt;"Sí",N(L248)&lt;=0),"",(N(L248)*100000-MAX(0,ROUND((N(M248)-DATE(2026,10,1))*1440,0)))*1000-ROW())</f>
        <v/>
      </c>
    </row>
    <row r="249">
      <c r="A249" s="19" t="n"/>
      <c r="B249" s="19" t="n"/>
      <c r="C249" s="19" t="n"/>
      <c r="D249" s="21" t="n"/>
      <c r="E249" s="19" t="n"/>
      <c r="F249" s="19" t="n"/>
      <c r="G249" s="22" t="n"/>
      <c r="H249" s="19" t="n"/>
      <c r="I249" s="19" t="n"/>
      <c r="J249" s="19" t="n"/>
      <c r="K249" s="19" t="n"/>
      <c r="L249" s="16">
        <f>IF(A249="","",SUMIF(Movimientos!$B$2:$B$3001,A249,Movimientos!$F$2:$F$3001))</f>
        <v/>
      </c>
      <c r="M249" s="17">
        <f>IF(A249="","",IF(COUNTIF(Movimientos!$B$2:$B$3001,A249)=0,"",_xlfn.MAXIFS(Movimientos!$A$2:$A$3001,Movimientos!$B$2:$B$3001,A249)))</f>
        <v/>
      </c>
      <c r="N249" s="18">
        <f>IF(A249="","",IF(AND(H249="Sí",I249="Sí",K249&lt;&gt;"Sí"),"Sí","No"))</f>
        <v/>
      </c>
      <c r="O249" s="18">
        <f>IF(S249="","",1+COUNTIFS($N$2:$N$501,"Sí",$S$2:$S$501,"&gt;"&amp;S249))</f>
        <v/>
      </c>
      <c r="P249" s="18">
        <f>IF(A249="","",INDEX(Logros!$A$2:$A$6,MATCH(N(L249),Logros!$C$2:$C$6,1)))</f>
        <v/>
      </c>
      <c r="Q249" s="19" t="n"/>
      <c r="R249" s="18">
        <f>IF(OR(A249="",P249=""),"",IF(P249&gt;N(Q249),"Sí: entregar nivel "&amp;(N(Q249)+1)&amp;IF(P249&gt;N(Q249)+1," al "&amp;P249,"")&amp;" (ver Logros)",""))</f>
        <v/>
      </c>
      <c r="S249" s="20">
        <f>IF(OR(A249="",N249&lt;&gt;"Sí",N(L249)&lt;=0),"",(N(L249)*100000-MAX(0,ROUND((N(M249)-DATE(2026,10,1))*1440,0)))*1000-ROW())</f>
        <v/>
      </c>
    </row>
    <row r="250">
      <c r="A250" s="19" t="n"/>
      <c r="B250" s="19" t="n"/>
      <c r="C250" s="19" t="n"/>
      <c r="D250" s="21" t="n"/>
      <c r="E250" s="19" t="n"/>
      <c r="F250" s="19" t="n"/>
      <c r="G250" s="22" t="n"/>
      <c r="H250" s="19" t="n"/>
      <c r="I250" s="19" t="n"/>
      <c r="J250" s="19" t="n"/>
      <c r="K250" s="19" t="n"/>
      <c r="L250" s="16">
        <f>IF(A250="","",SUMIF(Movimientos!$B$2:$B$3001,A250,Movimientos!$F$2:$F$3001))</f>
        <v/>
      </c>
      <c r="M250" s="17">
        <f>IF(A250="","",IF(COUNTIF(Movimientos!$B$2:$B$3001,A250)=0,"",_xlfn.MAXIFS(Movimientos!$A$2:$A$3001,Movimientos!$B$2:$B$3001,A250)))</f>
        <v/>
      </c>
      <c r="N250" s="18">
        <f>IF(A250="","",IF(AND(H250="Sí",I250="Sí",K250&lt;&gt;"Sí"),"Sí","No"))</f>
        <v/>
      </c>
      <c r="O250" s="18">
        <f>IF(S250="","",1+COUNTIFS($N$2:$N$501,"Sí",$S$2:$S$501,"&gt;"&amp;S250))</f>
        <v/>
      </c>
      <c r="P250" s="18">
        <f>IF(A250="","",INDEX(Logros!$A$2:$A$6,MATCH(N(L250),Logros!$C$2:$C$6,1)))</f>
        <v/>
      </c>
      <c r="Q250" s="19" t="n"/>
      <c r="R250" s="18">
        <f>IF(OR(A250="",P250=""),"",IF(P250&gt;N(Q250),"Sí: entregar nivel "&amp;(N(Q250)+1)&amp;IF(P250&gt;N(Q250)+1," al "&amp;P250,"")&amp;" (ver Logros)",""))</f>
        <v/>
      </c>
      <c r="S250" s="20">
        <f>IF(OR(A250="",N250&lt;&gt;"Sí",N(L250)&lt;=0),"",(N(L250)*100000-MAX(0,ROUND((N(M250)-DATE(2026,10,1))*1440,0)))*1000-ROW())</f>
        <v/>
      </c>
    </row>
    <row r="251">
      <c r="A251" s="19" t="n"/>
      <c r="B251" s="19" t="n"/>
      <c r="C251" s="19" t="n"/>
      <c r="D251" s="21" t="n"/>
      <c r="E251" s="19" t="n"/>
      <c r="F251" s="19" t="n"/>
      <c r="G251" s="22" t="n"/>
      <c r="H251" s="19" t="n"/>
      <c r="I251" s="19" t="n"/>
      <c r="J251" s="19" t="n"/>
      <c r="K251" s="19" t="n"/>
      <c r="L251" s="16">
        <f>IF(A251="","",SUMIF(Movimientos!$B$2:$B$3001,A251,Movimientos!$F$2:$F$3001))</f>
        <v/>
      </c>
      <c r="M251" s="17">
        <f>IF(A251="","",IF(COUNTIF(Movimientos!$B$2:$B$3001,A251)=0,"",_xlfn.MAXIFS(Movimientos!$A$2:$A$3001,Movimientos!$B$2:$B$3001,A251)))</f>
        <v/>
      </c>
      <c r="N251" s="18">
        <f>IF(A251="","",IF(AND(H251="Sí",I251="Sí",K251&lt;&gt;"Sí"),"Sí","No"))</f>
        <v/>
      </c>
      <c r="O251" s="18">
        <f>IF(S251="","",1+COUNTIFS($N$2:$N$501,"Sí",$S$2:$S$501,"&gt;"&amp;S251))</f>
        <v/>
      </c>
      <c r="P251" s="18">
        <f>IF(A251="","",INDEX(Logros!$A$2:$A$6,MATCH(N(L251),Logros!$C$2:$C$6,1)))</f>
        <v/>
      </c>
      <c r="Q251" s="19" t="n"/>
      <c r="R251" s="18">
        <f>IF(OR(A251="",P251=""),"",IF(P251&gt;N(Q251),"Sí: entregar nivel "&amp;(N(Q251)+1)&amp;IF(P251&gt;N(Q251)+1," al "&amp;P251,"")&amp;" (ver Logros)",""))</f>
        <v/>
      </c>
      <c r="S251" s="20">
        <f>IF(OR(A251="",N251&lt;&gt;"Sí",N(L251)&lt;=0),"",(N(L251)*100000-MAX(0,ROUND((N(M251)-DATE(2026,10,1))*1440,0)))*1000-ROW())</f>
        <v/>
      </c>
    </row>
    <row r="252">
      <c r="A252" s="19" t="n"/>
      <c r="B252" s="19" t="n"/>
      <c r="C252" s="19" t="n"/>
      <c r="D252" s="21" t="n"/>
      <c r="E252" s="19" t="n"/>
      <c r="F252" s="19" t="n"/>
      <c r="G252" s="22" t="n"/>
      <c r="H252" s="19" t="n"/>
      <c r="I252" s="19" t="n"/>
      <c r="J252" s="19" t="n"/>
      <c r="K252" s="19" t="n"/>
      <c r="L252" s="16">
        <f>IF(A252="","",SUMIF(Movimientos!$B$2:$B$3001,A252,Movimientos!$F$2:$F$3001))</f>
        <v/>
      </c>
      <c r="M252" s="17">
        <f>IF(A252="","",IF(COUNTIF(Movimientos!$B$2:$B$3001,A252)=0,"",_xlfn.MAXIFS(Movimientos!$A$2:$A$3001,Movimientos!$B$2:$B$3001,A252)))</f>
        <v/>
      </c>
      <c r="N252" s="18">
        <f>IF(A252="","",IF(AND(H252="Sí",I252="Sí",K252&lt;&gt;"Sí"),"Sí","No"))</f>
        <v/>
      </c>
      <c r="O252" s="18">
        <f>IF(S252="","",1+COUNTIFS($N$2:$N$501,"Sí",$S$2:$S$501,"&gt;"&amp;S252))</f>
        <v/>
      </c>
      <c r="P252" s="18">
        <f>IF(A252="","",INDEX(Logros!$A$2:$A$6,MATCH(N(L252),Logros!$C$2:$C$6,1)))</f>
        <v/>
      </c>
      <c r="Q252" s="19" t="n"/>
      <c r="R252" s="18">
        <f>IF(OR(A252="",P252=""),"",IF(P252&gt;N(Q252),"Sí: entregar nivel "&amp;(N(Q252)+1)&amp;IF(P252&gt;N(Q252)+1," al "&amp;P252,"")&amp;" (ver Logros)",""))</f>
        <v/>
      </c>
      <c r="S252" s="20">
        <f>IF(OR(A252="",N252&lt;&gt;"Sí",N(L252)&lt;=0),"",(N(L252)*100000-MAX(0,ROUND((N(M252)-DATE(2026,10,1))*1440,0)))*1000-ROW())</f>
        <v/>
      </c>
    </row>
    <row r="253">
      <c r="A253" s="19" t="n"/>
      <c r="B253" s="19" t="n"/>
      <c r="C253" s="19" t="n"/>
      <c r="D253" s="21" t="n"/>
      <c r="E253" s="19" t="n"/>
      <c r="F253" s="19" t="n"/>
      <c r="G253" s="22" t="n"/>
      <c r="H253" s="19" t="n"/>
      <c r="I253" s="19" t="n"/>
      <c r="J253" s="19" t="n"/>
      <c r="K253" s="19" t="n"/>
      <c r="L253" s="16">
        <f>IF(A253="","",SUMIF(Movimientos!$B$2:$B$3001,A253,Movimientos!$F$2:$F$3001))</f>
        <v/>
      </c>
      <c r="M253" s="17">
        <f>IF(A253="","",IF(COUNTIF(Movimientos!$B$2:$B$3001,A253)=0,"",_xlfn.MAXIFS(Movimientos!$A$2:$A$3001,Movimientos!$B$2:$B$3001,A253)))</f>
        <v/>
      </c>
      <c r="N253" s="18">
        <f>IF(A253="","",IF(AND(H253="Sí",I253="Sí",K253&lt;&gt;"Sí"),"Sí","No"))</f>
        <v/>
      </c>
      <c r="O253" s="18">
        <f>IF(S253="","",1+COUNTIFS($N$2:$N$501,"Sí",$S$2:$S$501,"&gt;"&amp;S253))</f>
        <v/>
      </c>
      <c r="P253" s="18">
        <f>IF(A253="","",INDEX(Logros!$A$2:$A$6,MATCH(N(L253),Logros!$C$2:$C$6,1)))</f>
        <v/>
      </c>
      <c r="Q253" s="19" t="n"/>
      <c r="R253" s="18">
        <f>IF(OR(A253="",P253=""),"",IF(P253&gt;N(Q253),"Sí: entregar nivel "&amp;(N(Q253)+1)&amp;IF(P253&gt;N(Q253)+1," al "&amp;P253,"")&amp;" (ver Logros)",""))</f>
        <v/>
      </c>
      <c r="S253" s="20">
        <f>IF(OR(A253="",N253&lt;&gt;"Sí",N(L253)&lt;=0),"",(N(L253)*100000-MAX(0,ROUND((N(M253)-DATE(2026,10,1))*1440,0)))*1000-ROW())</f>
        <v/>
      </c>
    </row>
    <row r="254">
      <c r="A254" s="19" t="n"/>
      <c r="B254" s="19" t="n"/>
      <c r="C254" s="19" t="n"/>
      <c r="D254" s="21" t="n"/>
      <c r="E254" s="19" t="n"/>
      <c r="F254" s="19" t="n"/>
      <c r="G254" s="22" t="n"/>
      <c r="H254" s="19" t="n"/>
      <c r="I254" s="19" t="n"/>
      <c r="J254" s="19" t="n"/>
      <c r="K254" s="19" t="n"/>
      <c r="L254" s="16">
        <f>IF(A254="","",SUMIF(Movimientos!$B$2:$B$3001,A254,Movimientos!$F$2:$F$3001))</f>
        <v/>
      </c>
      <c r="M254" s="17">
        <f>IF(A254="","",IF(COUNTIF(Movimientos!$B$2:$B$3001,A254)=0,"",_xlfn.MAXIFS(Movimientos!$A$2:$A$3001,Movimientos!$B$2:$B$3001,A254)))</f>
        <v/>
      </c>
      <c r="N254" s="18">
        <f>IF(A254="","",IF(AND(H254="Sí",I254="Sí",K254&lt;&gt;"Sí"),"Sí","No"))</f>
        <v/>
      </c>
      <c r="O254" s="18">
        <f>IF(S254="","",1+COUNTIFS($N$2:$N$501,"Sí",$S$2:$S$501,"&gt;"&amp;S254))</f>
        <v/>
      </c>
      <c r="P254" s="18">
        <f>IF(A254="","",INDEX(Logros!$A$2:$A$6,MATCH(N(L254),Logros!$C$2:$C$6,1)))</f>
        <v/>
      </c>
      <c r="Q254" s="19" t="n"/>
      <c r="R254" s="18">
        <f>IF(OR(A254="",P254=""),"",IF(P254&gt;N(Q254),"Sí: entregar nivel "&amp;(N(Q254)+1)&amp;IF(P254&gt;N(Q254)+1," al "&amp;P254,"")&amp;" (ver Logros)",""))</f>
        <v/>
      </c>
      <c r="S254" s="20">
        <f>IF(OR(A254="",N254&lt;&gt;"Sí",N(L254)&lt;=0),"",(N(L254)*100000-MAX(0,ROUND((N(M254)-DATE(2026,10,1))*1440,0)))*1000-ROW())</f>
        <v/>
      </c>
    </row>
    <row r="255">
      <c r="A255" s="19" t="n"/>
      <c r="B255" s="19" t="n"/>
      <c r="C255" s="19" t="n"/>
      <c r="D255" s="21" t="n"/>
      <c r="E255" s="19" t="n"/>
      <c r="F255" s="19" t="n"/>
      <c r="G255" s="22" t="n"/>
      <c r="H255" s="19" t="n"/>
      <c r="I255" s="19" t="n"/>
      <c r="J255" s="19" t="n"/>
      <c r="K255" s="19" t="n"/>
      <c r="L255" s="16">
        <f>IF(A255="","",SUMIF(Movimientos!$B$2:$B$3001,A255,Movimientos!$F$2:$F$3001))</f>
        <v/>
      </c>
      <c r="M255" s="17">
        <f>IF(A255="","",IF(COUNTIF(Movimientos!$B$2:$B$3001,A255)=0,"",_xlfn.MAXIFS(Movimientos!$A$2:$A$3001,Movimientos!$B$2:$B$3001,A255)))</f>
        <v/>
      </c>
      <c r="N255" s="18">
        <f>IF(A255="","",IF(AND(H255="Sí",I255="Sí",K255&lt;&gt;"Sí"),"Sí","No"))</f>
        <v/>
      </c>
      <c r="O255" s="18">
        <f>IF(S255="","",1+COUNTIFS($N$2:$N$501,"Sí",$S$2:$S$501,"&gt;"&amp;S255))</f>
        <v/>
      </c>
      <c r="P255" s="18">
        <f>IF(A255="","",INDEX(Logros!$A$2:$A$6,MATCH(N(L255),Logros!$C$2:$C$6,1)))</f>
        <v/>
      </c>
      <c r="Q255" s="19" t="n"/>
      <c r="R255" s="18">
        <f>IF(OR(A255="",P255=""),"",IF(P255&gt;N(Q255),"Sí: entregar nivel "&amp;(N(Q255)+1)&amp;IF(P255&gt;N(Q255)+1," al "&amp;P255,"")&amp;" (ver Logros)",""))</f>
        <v/>
      </c>
      <c r="S255" s="20">
        <f>IF(OR(A255="",N255&lt;&gt;"Sí",N(L255)&lt;=0),"",(N(L255)*100000-MAX(0,ROUND((N(M255)-DATE(2026,10,1))*1440,0)))*1000-ROW())</f>
        <v/>
      </c>
    </row>
    <row r="256">
      <c r="A256" s="19" t="n"/>
      <c r="B256" s="19" t="n"/>
      <c r="C256" s="19" t="n"/>
      <c r="D256" s="21" t="n"/>
      <c r="E256" s="19" t="n"/>
      <c r="F256" s="19" t="n"/>
      <c r="G256" s="22" t="n"/>
      <c r="H256" s="19" t="n"/>
      <c r="I256" s="19" t="n"/>
      <c r="J256" s="19" t="n"/>
      <c r="K256" s="19" t="n"/>
      <c r="L256" s="16">
        <f>IF(A256="","",SUMIF(Movimientos!$B$2:$B$3001,A256,Movimientos!$F$2:$F$3001))</f>
        <v/>
      </c>
      <c r="M256" s="17">
        <f>IF(A256="","",IF(COUNTIF(Movimientos!$B$2:$B$3001,A256)=0,"",_xlfn.MAXIFS(Movimientos!$A$2:$A$3001,Movimientos!$B$2:$B$3001,A256)))</f>
        <v/>
      </c>
      <c r="N256" s="18">
        <f>IF(A256="","",IF(AND(H256="Sí",I256="Sí",K256&lt;&gt;"Sí"),"Sí","No"))</f>
        <v/>
      </c>
      <c r="O256" s="18">
        <f>IF(S256="","",1+COUNTIFS($N$2:$N$501,"Sí",$S$2:$S$501,"&gt;"&amp;S256))</f>
        <v/>
      </c>
      <c r="P256" s="18">
        <f>IF(A256="","",INDEX(Logros!$A$2:$A$6,MATCH(N(L256),Logros!$C$2:$C$6,1)))</f>
        <v/>
      </c>
      <c r="Q256" s="19" t="n"/>
      <c r="R256" s="18">
        <f>IF(OR(A256="",P256=""),"",IF(P256&gt;N(Q256),"Sí: entregar nivel "&amp;(N(Q256)+1)&amp;IF(P256&gt;N(Q256)+1," al "&amp;P256,"")&amp;" (ver Logros)",""))</f>
        <v/>
      </c>
      <c r="S256" s="20">
        <f>IF(OR(A256="",N256&lt;&gt;"Sí",N(L256)&lt;=0),"",(N(L256)*100000-MAX(0,ROUND((N(M256)-DATE(2026,10,1))*1440,0)))*1000-ROW())</f>
        <v/>
      </c>
    </row>
    <row r="257">
      <c r="A257" s="19" t="n"/>
      <c r="B257" s="19" t="n"/>
      <c r="C257" s="19" t="n"/>
      <c r="D257" s="21" t="n"/>
      <c r="E257" s="19" t="n"/>
      <c r="F257" s="19" t="n"/>
      <c r="G257" s="22" t="n"/>
      <c r="H257" s="19" t="n"/>
      <c r="I257" s="19" t="n"/>
      <c r="J257" s="19" t="n"/>
      <c r="K257" s="19" t="n"/>
      <c r="L257" s="16">
        <f>IF(A257="","",SUMIF(Movimientos!$B$2:$B$3001,A257,Movimientos!$F$2:$F$3001))</f>
        <v/>
      </c>
      <c r="M257" s="17">
        <f>IF(A257="","",IF(COUNTIF(Movimientos!$B$2:$B$3001,A257)=0,"",_xlfn.MAXIFS(Movimientos!$A$2:$A$3001,Movimientos!$B$2:$B$3001,A257)))</f>
        <v/>
      </c>
      <c r="N257" s="18">
        <f>IF(A257="","",IF(AND(H257="Sí",I257="Sí",K257&lt;&gt;"Sí"),"Sí","No"))</f>
        <v/>
      </c>
      <c r="O257" s="18">
        <f>IF(S257="","",1+COUNTIFS($N$2:$N$501,"Sí",$S$2:$S$501,"&gt;"&amp;S257))</f>
        <v/>
      </c>
      <c r="P257" s="18">
        <f>IF(A257="","",INDEX(Logros!$A$2:$A$6,MATCH(N(L257),Logros!$C$2:$C$6,1)))</f>
        <v/>
      </c>
      <c r="Q257" s="19" t="n"/>
      <c r="R257" s="18">
        <f>IF(OR(A257="",P257=""),"",IF(P257&gt;N(Q257),"Sí: entregar nivel "&amp;(N(Q257)+1)&amp;IF(P257&gt;N(Q257)+1," al "&amp;P257,"")&amp;" (ver Logros)",""))</f>
        <v/>
      </c>
      <c r="S257" s="20">
        <f>IF(OR(A257="",N257&lt;&gt;"Sí",N(L257)&lt;=0),"",(N(L257)*100000-MAX(0,ROUND((N(M257)-DATE(2026,10,1))*1440,0)))*1000-ROW())</f>
        <v/>
      </c>
    </row>
    <row r="258">
      <c r="A258" s="19" t="n"/>
      <c r="B258" s="19" t="n"/>
      <c r="C258" s="19" t="n"/>
      <c r="D258" s="21" t="n"/>
      <c r="E258" s="19" t="n"/>
      <c r="F258" s="19" t="n"/>
      <c r="G258" s="22" t="n"/>
      <c r="H258" s="19" t="n"/>
      <c r="I258" s="19" t="n"/>
      <c r="J258" s="19" t="n"/>
      <c r="K258" s="19" t="n"/>
      <c r="L258" s="16">
        <f>IF(A258="","",SUMIF(Movimientos!$B$2:$B$3001,A258,Movimientos!$F$2:$F$3001))</f>
        <v/>
      </c>
      <c r="M258" s="17">
        <f>IF(A258="","",IF(COUNTIF(Movimientos!$B$2:$B$3001,A258)=0,"",_xlfn.MAXIFS(Movimientos!$A$2:$A$3001,Movimientos!$B$2:$B$3001,A258)))</f>
        <v/>
      </c>
      <c r="N258" s="18">
        <f>IF(A258="","",IF(AND(H258="Sí",I258="Sí",K258&lt;&gt;"Sí"),"Sí","No"))</f>
        <v/>
      </c>
      <c r="O258" s="18">
        <f>IF(S258="","",1+COUNTIFS($N$2:$N$501,"Sí",$S$2:$S$501,"&gt;"&amp;S258))</f>
        <v/>
      </c>
      <c r="P258" s="18">
        <f>IF(A258="","",INDEX(Logros!$A$2:$A$6,MATCH(N(L258),Logros!$C$2:$C$6,1)))</f>
        <v/>
      </c>
      <c r="Q258" s="19" t="n"/>
      <c r="R258" s="18">
        <f>IF(OR(A258="",P258=""),"",IF(P258&gt;N(Q258),"Sí: entregar nivel "&amp;(N(Q258)+1)&amp;IF(P258&gt;N(Q258)+1," al "&amp;P258,"")&amp;" (ver Logros)",""))</f>
        <v/>
      </c>
      <c r="S258" s="20">
        <f>IF(OR(A258="",N258&lt;&gt;"Sí",N(L258)&lt;=0),"",(N(L258)*100000-MAX(0,ROUND((N(M258)-DATE(2026,10,1))*1440,0)))*1000-ROW())</f>
        <v/>
      </c>
    </row>
    <row r="259">
      <c r="A259" s="19" t="n"/>
      <c r="B259" s="19" t="n"/>
      <c r="C259" s="19" t="n"/>
      <c r="D259" s="21" t="n"/>
      <c r="E259" s="19" t="n"/>
      <c r="F259" s="19" t="n"/>
      <c r="G259" s="22" t="n"/>
      <c r="H259" s="19" t="n"/>
      <c r="I259" s="19" t="n"/>
      <c r="J259" s="19" t="n"/>
      <c r="K259" s="19" t="n"/>
      <c r="L259" s="16">
        <f>IF(A259="","",SUMIF(Movimientos!$B$2:$B$3001,A259,Movimientos!$F$2:$F$3001))</f>
        <v/>
      </c>
      <c r="M259" s="17">
        <f>IF(A259="","",IF(COUNTIF(Movimientos!$B$2:$B$3001,A259)=0,"",_xlfn.MAXIFS(Movimientos!$A$2:$A$3001,Movimientos!$B$2:$B$3001,A259)))</f>
        <v/>
      </c>
      <c r="N259" s="18">
        <f>IF(A259="","",IF(AND(H259="Sí",I259="Sí",K259&lt;&gt;"Sí"),"Sí","No"))</f>
        <v/>
      </c>
      <c r="O259" s="18">
        <f>IF(S259="","",1+COUNTIFS($N$2:$N$501,"Sí",$S$2:$S$501,"&gt;"&amp;S259))</f>
        <v/>
      </c>
      <c r="P259" s="18">
        <f>IF(A259="","",INDEX(Logros!$A$2:$A$6,MATCH(N(L259),Logros!$C$2:$C$6,1)))</f>
        <v/>
      </c>
      <c r="Q259" s="19" t="n"/>
      <c r="R259" s="18">
        <f>IF(OR(A259="",P259=""),"",IF(P259&gt;N(Q259),"Sí: entregar nivel "&amp;(N(Q259)+1)&amp;IF(P259&gt;N(Q259)+1," al "&amp;P259,"")&amp;" (ver Logros)",""))</f>
        <v/>
      </c>
      <c r="S259" s="20">
        <f>IF(OR(A259="",N259&lt;&gt;"Sí",N(L259)&lt;=0),"",(N(L259)*100000-MAX(0,ROUND((N(M259)-DATE(2026,10,1))*1440,0)))*1000-ROW())</f>
        <v/>
      </c>
    </row>
    <row r="260">
      <c r="A260" s="19" t="n"/>
      <c r="B260" s="19" t="n"/>
      <c r="C260" s="19" t="n"/>
      <c r="D260" s="21" t="n"/>
      <c r="E260" s="19" t="n"/>
      <c r="F260" s="19" t="n"/>
      <c r="G260" s="22" t="n"/>
      <c r="H260" s="19" t="n"/>
      <c r="I260" s="19" t="n"/>
      <c r="J260" s="19" t="n"/>
      <c r="K260" s="19" t="n"/>
      <c r="L260" s="16">
        <f>IF(A260="","",SUMIF(Movimientos!$B$2:$B$3001,A260,Movimientos!$F$2:$F$3001))</f>
        <v/>
      </c>
      <c r="M260" s="17">
        <f>IF(A260="","",IF(COUNTIF(Movimientos!$B$2:$B$3001,A260)=0,"",_xlfn.MAXIFS(Movimientos!$A$2:$A$3001,Movimientos!$B$2:$B$3001,A260)))</f>
        <v/>
      </c>
      <c r="N260" s="18">
        <f>IF(A260="","",IF(AND(H260="Sí",I260="Sí",K260&lt;&gt;"Sí"),"Sí","No"))</f>
        <v/>
      </c>
      <c r="O260" s="18">
        <f>IF(S260="","",1+COUNTIFS($N$2:$N$501,"Sí",$S$2:$S$501,"&gt;"&amp;S260))</f>
        <v/>
      </c>
      <c r="P260" s="18">
        <f>IF(A260="","",INDEX(Logros!$A$2:$A$6,MATCH(N(L260),Logros!$C$2:$C$6,1)))</f>
        <v/>
      </c>
      <c r="Q260" s="19" t="n"/>
      <c r="R260" s="18">
        <f>IF(OR(A260="",P260=""),"",IF(P260&gt;N(Q260),"Sí: entregar nivel "&amp;(N(Q260)+1)&amp;IF(P260&gt;N(Q260)+1," al "&amp;P260,"")&amp;" (ver Logros)",""))</f>
        <v/>
      </c>
      <c r="S260" s="20">
        <f>IF(OR(A260="",N260&lt;&gt;"Sí",N(L260)&lt;=0),"",(N(L260)*100000-MAX(0,ROUND((N(M260)-DATE(2026,10,1))*1440,0)))*1000-ROW())</f>
        <v/>
      </c>
    </row>
    <row r="261">
      <c r="A261" s="19" t="n"/>
      <c r="B261" s="19" t="n"/>
      <c r="C261" s="19" t="n"/>
      <c r="D261" s="21" t="n"/>
      <c r="E261" s="19" t="n"/>
      <c r="F261" s="19" t="n"/>
      <c r="G261" s="22" t="n"/>
      <c r="H261" s="19" t="n"/>
      <c r="I261" s="19" t="n"/>
      <c r="J261" s="19" t="n"/>
      <c r="K261" s="19" t="n"/>
      <c r="L261" s="16">
        <f>IF(A261="","",SUMIF(Movimientos!$B$2:$B$3001,A261,Movimientos!$F$2:$F$3001))</f>
        <v/>
      </c>
      <c r="M261" s="17">
        <f>IF(A261="","",IF(COUNTIF(Movimientos!$B$2:$B$3001,A261)=0,"",_xlfn.MAXIFS(Movimientos!$A$2:$A$3001,Movimientos!$B$2:$B$3001,A261)))</f>
        <v/>
      </c>
      <c r="N261" s="18">
        <f>IF(A261="","",IF(AND(H261="Sí",I261="Sí",K261&lt;&gt;"Sí"),"Sí","No"))</f>
        <v/>
      </c>
      <c r="O261" s="18">
        <f>IF(S261="","",1+COUNTIFS($N$2:$N$501,"Sí",$S$2:$S$501,"&gt;"&amp;S261))</f>
        <v/>
      </c>
      <c r="P261" s="18">
        <f>IF(A261="","",INDEX(Logros!$A$2:$A$6,MATCH(N(L261),Logros!$C$2:$C$6,1)))</f>
        <v/>
      </c>
      <c r="Q261" s="19" t="n"/>
      <c r="R261" s="18">
        <f>IF(OR(A261="",P261=""),"",IF(P261&gt;N(Q261),"Sí: entregar nivel "&amp;(N(Q261)+1)&amp;IF(P261&gt;N(Q261)+1," al "&amp;P261,"")&amp;" (ver Logros)",""))</f>
        <v/>
      </c>
      <c r="S261" s="20">
        <f>IF(OR(A261="",N261&lt;&gt;"Sí",N(L261)&lt;=0),"",(N(L261)*100000-MAX(0,ROUND((N(M261)-DATE(2026,10,1))*1440,0)))*1000-ROW())</f>
        <v/>
      </c>
    </row>
    <row r="262">
      <c r="A262" s="19" t="n"/>
      <c r="B262" s="19" t="n"/>
      <c r="C262" s="19" t="n"/>
      <c r="D262" s="21" t="n"/>
      <c r="E262" s="19" t="n"/>
      <c r="F262" s="19" t="n"/>
      <c r="G262" s="22" t="n"/>
      <c r="H262" s="19" t="n"/>
      <c r="I262" s="19" t="n"/>
      <c r="J262" s="19" t="n"/>
      <c r="K262" s="19" t="n"/>
      <c r="L262" s="16">
        <f>IF(A262="","",SUMIF(Movimientos!$B$2:$B$3001,A262,Movimientos!$F$2:$F$3001))</f>
        <v/>
      </c>
      <c r="M262" s="17">
        <f>IF(A262="","",IF(COUNTIF(Movimientos!$B$2:$B$3001,A262)=0,"",_xlfn.MAXIFS(Movimientos!$A$2:$A$3001,Movimientos!$B$2:$B$3001,A262)))</f>
        <v/>
      </c>
      <c r="N262" s="18">
        <f>IF(A262="","",IF(AND(H262="Sí",I262="Sí",K262&lt;&gt;"Sí"),"Sí","No"))</f>
        <v/>
      </c>
      <c r="O262" s="18">
        <f>IF(S262="","",1+COUNTIFS($N$2:$N$501,"Sí",$S$2:$S$501,"&gt;"&amp;S262))</f>
        <v/>
      </c>
      <c r="P262" s="18">
        <f>IF(A262="","",INDEX(Logros!$A$2:$A$6,MATCH(N(L262),Logros!$C$2:$C$6,1)))</f>
        <v/>
      </c>
      <c r="Q262" s="19" t="n"/>
      <c r="R262" s="18">
        <f>IF(OR(A262="",P262=""),"",IF(P262&gt;N(Q262),"Sí: entregar nivel "&amp;(N(Q262)+1)&amp;IF(P262&gt;N(Q262)+1," al "&amp;P262,"")&amp;" (ver Logros)",""))</f>
        <v/>
      </c>
      <c r="S262" s="20">
        <f>IF(OR(A262="",N262&lt;&gt;"Sí",N(L262)&lt;=0),"",(N(L262)*100000-MAX(0,ROUND((N(M262)-DATE(2026,10,1))*1440,0)))*1000-ROW())</f>
        <v/>
      </c>
    </row>
    <row r="263">
      <c r="A263" s="19" t="n"/>
      <c r="B263" s="19" t="n"/>
      <c r="C263" s="19" t="n"/>
      <c r="D263" s="21" t="n"/>
      <c r="E263" s="19" t="n"/>
      <c r="F263" s="19" t="n"/>
      <c r="G263" s="22" t="n"/>
      <c r="H263" s="19" t="n"/>
      <c r="I263" s="19" t="n"/>
      <c r="J263" s="19" t="n"/>
      <c r="K263" s="19" t="n"/>
      <c r="L263" s="16">
        <f>IF(A263="","",SUMIF(Movimientos!$B$2:$B$3001,A263,Movimientos!$F$2:$F$3001))</f>
        <v/>
      </c>
      <c r="M263" s="17">
        <f>IF(A263="","",IF(COUNTIF(Movimientos!$B$2:$B$3001,A263)=0,"",_xlfn.MAXIFS(Movimientos!$A$2:$A$3001,Movimientos!$B$2:$B$3001,A263)))</f>
        <v/>
      </c>
      <c r="N263" s="18">
        <f>IF(A263="","",IF(AND(H263="Sí",I263="Sí",K263&lt;&gt;"Sí"),"Sí","No"))</f>
        <v/>
      </c>
      <c r="O263" s="18">
        <f>IF(S263="","",1+COUNTIFS($N$2:$N$501,"Sí",$S$2:$S$501,"&gt;"&amp;S263))</f>
        <v/>
      </c>
      <c r="P263" s="18">
        <f>IF(A263="","",INDEX(Logros!$A$2:$A$6,MATCH(N(L263),Logros!$C$2:$C$6,1)))</f>
        <v/>
      </c>
      <c r="Q263" s="19" t="n"/>
      <c r="R263" s="18">
        <f>IF(OR(A263="",P263=""),"",IF(P263&gt;N(Q263),"Sí: entregar nivel "&amp;(N(Q263)+1)&amp;IF(P263&gt;N(Q263)+1," al "&amp;P263,"")&amp;" (ver Logros)",""))</f>
        <v/>
      </c>
      <c r="S263" s="20">
        <f>IF(OR(A263="",N263&lt;&gt;"Sí",N(L263)&lt;=0),"",(N(L263)*100000-MAX(0,ROUND((N(M263)-DATE(2026,10,1))*1440,0)))*1000-ROW())</f>
        <v/>
      </c>
    </row>
    <row r="264">
      <c r="A264" s="19" t="n"/>
      <c r="B264" s="19" t="n"/>
      <c r="C264" s="19" t="n"/>
      <c r="D264" s="21" t="n"/>
      <c r="E264" s="19" t="n"/>
      <c r="F264" s="19" t="n"/>
      <c r="G264" s="22" t="n"/>
      <c r="H264" s="19" t="n"/>
      <c r="I264" s="19" t="n"/>
      <c r="J264" s="19" t="n"/>
      <c r="K264" s="19" t="n"/>
      <c r="L264" s="16">
        <f>IF(A264="","",SUMIF(Movimientos!$B$2:$B$3001,A264,Movimientos!$F$2:$F$3001))</f>
        <v/>
      </c>
      <c r="M264" s="17">
        <f>IF(A264="","",IF(COUNTIF(Movimientos!$B$2:$B$3001,A264)=0,"",_xlfn.MAXIFS(Movimientos!$A$2:$A$3001,Movimientos!$B$2:$B$3001,A264)))</f>
        <v/>
      </c>
      <c r="N264" s="18">
        <f>IF(A264="","",IF(AND(H264="Sí",I264="Sí",K264&lt;&gt;"Sí"),"Sí","No"))</f>
        <v/>
      </c>
      <c r="O264" s="18">
        <f>IF(S264="","",1+COUNTIFS($N$2:$N$501,"Sí",$S$2:$S$501,"&gt;"&amp;S264))</f>
        <v/>
      </c>
      <c r="P264" s="18">
        <f>IF(A264="","",INDEX(Logros!$A$2:$A$6,MATCH(N(L264),Logros!$C$2:$C$6,1)))</f>
        <v/>
      </c>
      <c r="Q264" s="19" t="n"/>
      <c r="R264" s="18">
        <f>IF(OR(A264="",P264=""),"",IF(P264&gt;N(Q264),"Sí: entregar nivel "&amp;(N(Q264)+1)&amp;IF(P264&gt;N(Q264)+1," al "&amp;P264,"")&amp;" (ver Logros)",""))</f>
        <v/>
      </c>
      <c r="S264" s="20">
        <f>IF(OR(A264="",N264&lt;&gt;"Sí",N(L264)&lt;=0),"",(N(L264)*100000-MAX(0,ROUND((N(M264)-DATE(2026,10,1))*1440,0)))*1000-ROW())</f>
        <v/>
      </c>
    </row>
    <row r="265">
      <c r="A265" s="19" t="n"/>
      <c r="B265" s="19" t="n"/>
      <c r="C265" s="19" t="n"/>
      <c r="D265" s="21" t="n"/>
      <c r="E265" s="19" t="n"/>
      <c r="F265" s="19" t="n"/>
      <c r="G265" s="22" t="n"/>
      <c r="H265" s="19" t="n"/>
      <c r="I265" s="19" t="n"/>
      <c r="J265" s="19" t="n"/>
      <c r="K265" s="19" t="n"/>
      <c r="L265" s="16">
        <f>IF(A265="","",SUMIF(Movimientos!$B$2:$B$3001,A265,Movimientos!$F$2:$F$3001))</f>
        <v/>
      </c>
      <c r="M265" s="17">
        <f>IF(A265="","",IF(COUNTIF(Movimientos!$B$2:$B$3001,A265)=0,"",_xlfn.MAXIFS(Movimientos!$A$2:$A$3001,Movimientos!$B$2:$B$3001,A265)))</f>
        <v/>
      </c>
      <c r="N265" s="18">
        <f>IF(A265="","",IF(AND(H265="Sí",I265="Sí",K265&lt;&gt;"Sí"),"Sí","No"))</f>
        <v/>
      </c>
      <c r="O265" s="18">
        <f>IF(S265="","",1+COUNTIFS($N$2:$N$501,"Sí",$S$2:$S$501,"&gt;"&amp;S265))</f>
        <v/>
      </c>
      <c r="P265" s="18">
        <f>IF(A265="","",INDEX(Logros!$A$2:$A$6,MATCH(N(L265),Logros!$C$2:$C$6,1)))</f>
        <v/>
      </c>
      <c r="Q265" s="19" t="n"/>
      <c r="R265" s="18">
        <f>IF(OR(A265="",P265=""),"",IF(P265&gt;N(Q265),"Sí: entregar nivel "&amp;(N(Q265)+1)&amp;IF(P265&gt;N(Q265)+1," al "&amp;P265,"")&amp;" (ver Logros)",""))</f>
        <v/>
      </c>
      <c r="S265" s="20">
        <f>IF(OR(A265="",N265&lt;&gt;"Sí",N(L265)&lt;=0),"",(N(L265)*100000-MAX(0,ROUND((N(M265)-DATE(2026,10,1))*1440,0)))*1000-ROW())</f>
        <v/>
      </c>
    </row>
    <row r="266">
      <c r="A266" s="19" t="n"/>
      <c r="B266" s="19" t="n"/>
      <c r="C266" s="19" t="n"/>
      <c r="D266" s="21" t="n"/>
      <c r="E266" s="19" t="n"/>
      <c r="F266" s="19" t="n"/>
      <c r="G266" s="22" t="n"/>
      <c r="H266" s="19" t="n"/>
      <c r="I266" s="19" t="n"/>
      <c r="J266" s="19" t="n"/>
      <c r="K266" s="19" t="n"/>
      <c r="L266" s="16">
        <f>IF(A266="","",SUMIF(Movimientos!$B$2:$B$3001,A266,Movimientos!$F$2:$F$3001))</f>
        <v/>
      </c>
      <c r="M266" s="17">
        <f>IF(A266="","",IF(COUNTIF(Movimientos!$B$2:$B$3001,A266)=0,"",_xlfn.MAXIFS(Movimientos!$A$2:$A$3001,Movimientos!$B$2:$B$3001,A266)))</f>
        <v/>
      </c>
      <c r="N266" s="18">
        <f>IF(A266="","",IF(AND(H266="Sí",I266="Sí",K266&lt;&gt;"Sí"),"Sí","No"))</f>
        <v/>
      </c>
      <c r="O266" s="18">
        <f>IF(S266="","",1+COUNTIFS($N$2:$N$501,"Sí",$S$2:$S$501,"&gt;"&amp;S266))</f>
        <v/>
      </c>
      <c r="P266" s="18">
        <f>IF(A266="","",INDEX(Logros!$A$2:$A$6,MATCH(N(L266),Logros!$C$2:$C$6,1)))</f>
        <v/>
      </c>
      <c r="Q266" s="19" t="n"/>
      <c r="R266" s="18">
        <f>IF(OR(A266="",P266=""),"",IF(P266&gt;N(Q266),"Sí: entregar nivel "&amp;(N(Q266)+1)&amp;IF(P266&gt;N(Q266)+1," al "&amp;P266,"")&amp;" (ver Logros)",""))</f>
        <v/>
      </c>
      <c r="S266" s="20">
        <f>IF(OR(A266="",N266&lt;&gt;"Sí",N(L266)&lt;=0),"",(N(L266)*100000-MAX(0,ROUND((N(M266)-DATE(2026,10,1))*1440,0)))*1000-ROW())</f>
        <v/>
      </c>
    </row>
    <row r="267">
      <c r="A267" s="19" t="n"/>
      <c r="B267" s="19" t="n"/>
      <c r="C267" s="19" t="n"/>
      <c r="D267" s="21" t="n"/>
      <c r="E267" s="19" t="n"/>
      <c r="F267" s="19" t="n"/>
      <c r="G267" s="22" t="n"/>
      <c r="H267" s="19" t="n"/>
      <c r="I267" s="19" t="n"/>
      <c r="J267" s="19" t="n"/>
      <c r="K267" s="19" t="n"/>
      <c r="L267" s="16">
        <f>IF(A267="","",SUMIF(Movimientos!$B$2:$B$3001,A267,Movimientos!$F$2:$F$3001))</f>
        <v/>
      </c>
      <c r="M267" s="17">
        <f>IF(A267="","",IF(COUNTIF(Movimientos!$B$2:$B$3001,A267)=0,"",_xlfn.MAXIFS(Movimientos!$A$2:$A$3001,Movimientos!$B$2:$B$3001,A267)))</f>
        <v/>
      </c>
      <c r="N267" s="18">
        <f>IF(A267="","",IF(AND(H267="Sí",I267="Sí",K267&lt;&gt;"Sí"),"Sí","No"))</f>
        <v/>
      </c>
      <c r="O267" s="18">
        <f>IF(S267="","",1+COUNTIFS($N$2:$N$501,"Sí",$S$2:$S$501,"&gt;"&amp;S267))</f>
        <v/>
      </c>
      <c r="P267" s="18">
        <f>IF(A267="","",INDEX(Logros!$A$2:$A$6,MATCH(N(L267),Logros!$C$2:$C$6,1)))</f>
        <v/>
      </c>
      <c r="Q267" s="19" t="n"/>
      <c r="R267" s="18">
        <f>IF(OR(A267="",P267=""),"",IF(P267&gt;N(Q267),"Sí: entregar nivel "&amp;(N(Q267)+1)&amp;IF(P267&gt;N(Q267)+1," al "&amp;P267,"")&amp;" (ver Logros)",""))</f>
        <v/>
      </c>
      <c r="S267" s="20">
        <f>IF(OR(A267="",N267&lt;&gt;"Sí",N(L267)&lt;=0),"",(N(L267)*100000-MAX(0,ROUND((N(M267)-DATE(2026,10,1))*1440,0)))*1000-ROW())</f>
        <v/>
      </c>
    </row>
    <row r="268">
      <c r="A268" s="19" t="n"/>
      <c r="B268" s="19" t="n"/>
      <c r="C268" s="19" t="n"/>
      <c r="D268" s="21" t="n"/>
      <c r="E268" s="19" t="n"/>
      <c r="F268" s="19" t="n"/>
      <c r="G268" s="22" t="n"/>
      <c r="H268" s="19" t="n"/>
      <c r="I268" s="19" t="n"/>
      <c r="J268" s="19" t="n"/>
      <c r="K268" s="19" t="n"/>
      <c r="L268" s="16">
        <f>IF(A268="","",SUMIF(Movimientos!$B$2:$B$3001,A268,Movimientos!$F$2:$F$3001))</f>
        <v/>
      </c>
      <c r="M268" s="17">
        <f>IF(A268="","",IF(COUNTIF(Movimientos!$B$2:$B$3001,A268)=0,"",_xlfn.MAXIFS(Movimientos!$A$2:$A$3001,Movimientos!$B$2:$B$3001,A268)))</f>
        <v/>
      </c>
      <c r="N268" s="18">
        <f>IF(A268="","",IF(AND(H268="Sí",I268="Sí",K268&lt;&gt;"Sí"),"Sí","No"))</f>
        <v/>
      </c>
      <c r="O268" s="18">
        <f>IF(S268="","",1+COUNTIFS($N$2:$N$501,"Sí",$S$2:$S$501,"&gt;"&amp;S268))</f>
        <v/>
      </c>
      <c r="P268" s="18">
        <f>IF(A268="","",INDEX(Logros!$A$2:$A$6,MATCH(N(L268),Logros!$C$2:$C$6,1)))</f>
        <v/>
      </c>
      <c r="Q268" s="19" t="n"/>
      <c r="R268" s="18">
        <f>IF(OR(A268="",P268=""),"",IF(P268&gt;N(Q268),"Sí: entregar nivel "&amp;(N(Q268)+1)&amp;IF(P268&gt;N(Q268)+1," al "&amp;P268,"")&amp;" (ver Logros)",""))</f>
        <v/>
      </c>
      <c r="S268" s="20">
        <f>IF(OR(A268="",N268&lt;&gt;"Sí",N(L268)&lt;=0),"",(N(L268)*100000-MAX(0,ROUND((N(M268)-DATE(2026,10,1))*1440,0)))*1000-ROW())</f>
        <v/>
      </c>
    </row>
    <row r="269">
      <c r="A269" s="19" t="n"/>
      <c r="B269" s="19" t="n"/>
      <c r="C269" s="19" t="n"/>
      <c r="D269" s="21" t="n"/>
      <c r="E269" s="19" t="n"/>
      <c r="F269" s="19" t="n"/>
      <c r="G269" s="22" t="n"/>
      <c r="H269" s="19" t="n"/>
      <c r="I269" s="19" t="n"/>
      <c r="J269" s="19" t="n"/>
      <c r="K269" s="19" t="n"/>
      <c r="L269" s="16">
        <f>IF(A269="","",SUMIF(Movimientos!$B$2:$B$3001,A269,Movimientos!$F$2:$F$3001))</f>
        <v/>
      </c>
      <c r="M269" s="17">
        <f>IF(A269="","",IF(COUNTIF(Movimientos!$B$2:$B$3001,A269)=0,"",_xlfn.MAXIFS(Movimientos!$A$2:$A$3001,Movimientos!$B$2:$B$3001,A269)))</f>
        <v/>
      </c>
      <c r="N269" s="18">
        <f>IF(A269="","",IF(AND(H269="Sí",I269="Sí",K269&lt;&gt;"Sí"),"Sí","No"))</f>
        <v/>
      </c>
      <c r="O269" s="18">
        <f>IF(S269="","",1+COUNTIFS($N$2:$N$501,"Sí",$S$2:$S$501,"&gt;"&amp;S269))</f>
        <v/>
      </c>
      <c r="P269" s="18">
        <f>IF(A269="","",INDEX(Logros!$A$2:$A$6,MATCH(N(L269),Logros!$C$2:$C$6,1)))</f>
        <v/>
      </c>
      <c r="Q269" s="19" t="n"/>
      <c r="R269" s="18">
        <f>IF(OR(A269="",P269=""),"",IF(P269&gt;N(Q269),"Sí: entregar nivel "&amp;(N(Q269)+1)&amp;IF(P269&gt;N(Q269)+1," al "&amp;P269,"")&amp;" (ver Logros)",""))</f>
        <v/>
      </c>
      <c r="S269" s="20">
        <f>IF(OR(A269="",N269&lt;&gt;"Sí",N(L269)&lt;=0),"",(N(L269)*100000-MAX(0,ROUND((N(M269)-DATE(2026,10,1))*1440,0)))*1000-ROW())</f>
        <v/>
      </c>
    </row>
    <row r="270">
      <c r="A270" s="19" t="n"/>
      <c r="B270" s="19" t="n"/>
      <c r="C270" s="19" t="n"/>
      <c r="D270" s="21" t="n"/>
      <c r="E270" s="19" t="n"/>
      <c r="F270" s="19" t="n"/>
      <c r="G270" s="22" t="n"/>
      <c r="H270" s="19" t="n"/>
      <c r="I270" s="19" t="n"/>
      <c r="J270" s="19" t="n"/>
      <c r="K270" s="19" t="n"/>
      <c r="L270" s="16">
        <f>IF(A270="","",SUMIF(Movimientos!$B$2:$B$3001,A270,Movimientos!$F$2:$F$3001))</f>
        <v/>
      </c>
      <c r="M270" s="17">
        <f>IF(A270="","",IF(COUNTIF(Movimientos!$B$2:$B$3001,A270)=0,"",_xlfn.MAXIFS(Movimientos!$A$2:$A$3001,Movimientos!$B$2:$B$3001,A270)))</f>
        <v/>
      </c>
      <c r="N270" s="18">
        <f>IF(A270="","",IF(AND(H270="Sí",I270="Sí",K270&lt;&gt;"Sí"),"Sí","No"))</f>
        <v/>
      </c>
      <c r="O270" s="18">
        <f>IF(S270="","",1+COUNTIFS($N$2:$N$501,"Sí",$S$2:$S$501,"&gt;"&amp;S270))</f>
        <v/>
      </c>
      <c r="P270" s="18">
        <f>IF(A270="","",INDEX(Logros!$A$2:$A$6,MATCH(N(L270),Logros!$C$2:$C$6,1)))</f>
        <v/>
      </c>
      <c r="Q270" s="19" t="n"/>
      <c r="R270" s="18">
        <f>IF(OR(A270="",P270=""),"",IF(P270&gt;N(Q270),"Sí: entregar nivel "&amp;(N(Q270)+1)&amp;IF(P270&gt;N(Q270)+1," al "&amp;P270,"")&amp;" (ver Logros)",""))</f>
        <v/>
      </c>
      <c r="S270" s="20">
        <f>IF(OR(A270="",N270&lt;&gt;"Sí",N(L270)&lt;=0),"",(N(L270)*100000-MAX(0,ROUND((N(M270)-DATE(2026,10,1))*1440,0)))*1000-ROW())</f>
        <v/>
      </c>
    </row>
    <row r="271">
      <c r="A271" s="19" t="n"/>
      <c r="B271" s="19" t="n"/>
      <c r="C271" s="19" t="n"/>
      <c r="D271" s="21" t="n"/>
      <c r="E271" s="19" t="n"/>
      <c r="F271" s="19" t="n"/>
      <c r="G271" s="22" t="n"/>
      <c r="H271" s="19" t="n"/>
      <c r="I271" s="19" t="n"/>
      <c r="J271" s="19" t="n"/>
      <c r="K271" s="19" t="n"/>
      <c r="L271" s="16">
        <f>IF(A271="","",SUMIF(Movimientos!$B$2:$B$3001,A271,Movimientos!$F$2:$F$3001))</f>
        <v/>
      </c>
      <c r="M271" s="17">
        <f>IF(A271="","",IF(COUNTIF(Movimientos!$B$2:$B$3001,A271)=0,"",_xlfn.MAXIFS(Movimientos!$A$2:$A$3001,Movimientos!$B$2:$B$3001,A271)))</f>
        <v/>
      </c>
      <c r="N271" s="18">
        <f>IF(A271="","",IF(AND(H271="Sí",I271="Sí",K271&lt;&gt;"Sí"),"Sí","No"))</f>
        <v/>
      </c>
      <c r="O271" s="18">
        <f>IF(S271="","",1+COUNTIFS($N$2:$N$501,"Sí",$S$2:$S$501,"&gt;"&amp;S271))</f>
        <v/>
      </c>
      <c r="P271" s="18">
        <f>IF(A271="","",INDEX(Logros!$A$2:$A$6,MATCH(N(L271),Logros!$C$2:$C$6,1)))</f>
        <v/>
      </c>
      <c r="Q271" s="19" t="n"/>
      <c r="R271" s="18">
        <f>IF(OR(A271="",P271=""),"",IF(P271&gt;N(Q271),"Sí: entregar nivel "&amp;(N(Q271)+1)&amp;IF(P271&gt;N(Q271)+1," al "&amp;P271,"")&amp;" (ver Logros)",""))</f>
        <v/>
      </c>
      <c r="S271" s="20">
        <f>IF(OR(A271="",N271&lt;&gt;"Sí",N(L271)&lt;=0),"",(N(L271)*100000-MAX(0,ROUND((N(M271)-DATE(2026,10,1))*1440,0)))*1000-ROW())</f>
        <v/>
      </c>
    </row>
    <row r="272">
      <c r="A272" s="19" t="n"/>
      <c r="B272" s="19" t="n"/>
      <c r="C272" s="19" t="n"/>
      <c r="D272" s="21" t="n"/>
      <c r="E272" s="19" t="n"/>
      <c r="F272" s="19" t="n"/>
      <c r="G272" s="22" t="n"/>
      <c r="H272" s="19" t="n"/>
      <c r="I272" s="19" t="n"/>
      <c r="J272" s="19" t="n"/>
      <c r="K272" s="19" t="n"/>
      <c r="L272" s="16">
        <f>IF(A272="","",SUMIF(Movimientos!$B$2:$B$3001,A272,Movimientos!$F$2:$F$3001))</f>
        <v/>
      </c>
      <c r="M272" s="17">
        <f>IF(A272="","",IF(COUNTIF(Movimientos!$B$2:$B$3001,A272)=0,"",_xlfn.MAXIFS(Movimientos!$A$2:$A$3001,Movimientos!$B$2:$B$3001,A272)))</f>
        <v/>
      </c>
      <c r="N272" s="18">
        <f>IF(A272="","",IF(AND(H272="Sí",I272="Sí",K272&lt;&gt;"Sí"),"Sí","No"))</f>
        <v/>
      </c>
      <c r="O272" s="18">
        <f>IF(S272="","",1+COUNTIFS($N$2:$N$501,"Sí",$S$2:$S$501,"&gt;"&amp;S272))</f>
        <v/>
      </c>
      <c r="P272" s="18">
        <f>IF(A272="","",INDEX(Logros!$A$2:$A$6,MATCH(N(L272),Logros!$C$2:$C$6,1)))</f>
        <v/>
      </c>
      <c r="Q272" s="19" t="n"/>
      <c r="R272" s="18">
        <f>IF(OR(A272="",P272=""),"",IF(P272&gt;N(Q272),"Sí: entregar nivel "&amp;(N(Q272)+1)&amp;IF(P272&gt;N(Q272)+1," al "&amp;P272,"")&amp;" (ver Logros)",""))</f>
        <v/>
      </c>
      <c r="S272" s="20">
        <f>IF(OR(A272="",N272&lt;&gt;"Sí",N(L272)&lt;=0),"",(N(L272)*100000-MAX(0,ROUND((N(M272)-DATE(2026,10,1))*1440,0)))*1000-ROW())</f>
        <v/>
      </c>
    </row>
    <row r="273">
      <c r="A273" s="19" t="n"/>
      <c r="B273" s="19" t="n"/>
      <c r="C273" s="19" t="n"/>
      <c r="D273" s="21" t="n"/>
      <c r="E273" s="19" t="n"/>
      <c r="F273" s="19" t="n"/>
      <c r="G273" s="22" t="n"/>
      <c r="H273" s="19" t="n"/>
      <c r="I273" s="19" t="n"/>
      <c r="J273" s="19" t="n"/>
      <c r="K273" s="19" t="n"/>
      <c r="L273" s="16">
        <f>IF(A273="","",SUMIF(Movimientos!$B$2:$B$3001,A273,Movimientos!$F$2:$F$3001))</f>
        <v/>
      </c>
      <c r="M273" s="17">
        <f>IF(A273="","",IF(COUNTIF(Movimientos!$B$2:$B$3001,A273)=0,"",_xlfn.MAXIFS(Movimientos!$A$2:$A$3001,Movimientos!$B$2:$B$3001,A273)))</f>
        <v/>
      </c>
      <c r="N273" s="18">
        <f>IF(A273="","",IF(AND(H273="Sí",I273="Sí",K273&lt;&gt;"Sí"),"Sí","No"))</f>
        <v/>
      </c>
      <c r="O273" s="18">
        <f>IF(S273="","",1+COUNTIFS($N$2:$N$501,"Sí",$S$2:$S$501,"&gt;"&amp;S273))</f>
        <v/>
      </c>
      <c r="P273" s="18">
        <f>IF(A273="","",INDEX(Logros!$A$2:$A$6,MATCH(N(L273),Logros!$C$2:$C$6,1)))</f>
        <v/>
      </c>
      <c r="Q273" s="19" t="n"/>
      <c r="R273" s="18">
        <f>IF(OR(A273="",P273=""),"",IF(P273&gt;N(Q273),"Sí: entregar nivel "&amp;(N(Q273)+1)&amp;IF(P273&gt;N(Q273)+1," al "&amp;P273,"")&amp;" (ver Logros)",""))</f>
        <v/>
      </c>
      <c r="S273" s="20">
        <f>IF(OR(A273="",N273&lt;&gt;"Sí",N(L273)&lt;=0),"",(N(L273)*100000-MAX(0,ROUND((N(M273)-DATE(2026,10,1))*1440,0)))*1000-ROW())</f>
        <v/>
      </c>
    </row>
    <row r="274">
      <c r="A274" s="19" t="n"/>
      <c r="B274" s="19" t="n"/>
      <c r="C274" s="19" t="n"/>
      <c r="D274" s="21" t="n"/>
      <c r="E274" s="19" t="n"/>
      <c r="F274" s="19" t="n"/>
      <c r="G274" s="22" t="n"/>
      <c r="H274" s="19" t="n"/>
      <c r="I274" s="19" t="n"/>
      <c r="J274" s="19" t="n"/>
      <c r="K274" s="19" t="n"/>
      <c r="L274" s="16">
        <f>IF(A274="","",SUMIF(Movimientos!$B$2:$B$3001,A274,Movimientos!$F$2:$F$3001))</f>
        <v/>
      </c>
      <c r="M274" s="17">
        <f>IF(A274="","",IF(COUNTIF(Movimientos!$B$2:$B$3001,A274)=0,"",_xlfn.MAXIFS(Movimientos!$A$2:$A$3001,Movimientos!$B$2:$B$3001,A274)))</f>
        <v/>
      </c>
      <c r="N274" s="18">
        <f>IF(A274="","",IF(AND(H274="Sí",I274="Sí",K274&lt;&gt;"Sí"),"Sí","No"))</f>
        <v/>
      </c>
      <c r="O274" s="18">
        <f>IF(S274="","",1+COUNTIFS($N$2:$N$501,"Sí",$S$2:$S$501,"&gt;"&amp;S274))</f>
        <v/>
      </c>
      <c r="P274" s="18">
        <f>IF(A274="","",INDEX(Logros!$A$2:$A$6,MATCH(N(L274),Logros!$C$2:$C$6,1)))</f>
        <v/>
      </c>
      <c r="Q274" s="19" t="n"/>
      <c r="R274" s="18">
        <f>IF(OR(A274="",P274=""),"",IF(P274&gt;N(Q274),"Sí: entregar nivel "&amp;(N(Q274)+1)&amp;IF(P274&gt;N(Q274)+1," al "&amp;P274,"")&amp;" (ver Logros)",""))</f>
        <v/>
      </c>
      <c r="S274" s="20">
        <f>IF(OR(A274="",N274&lt;&gt;"Sí",N(L274)&lt;=0),"",(N(L274)*100000-MAX(0,ROUND((N(M274)-DATE(2026,10,1))*1440,0)))*1000-ROW())</f>
        <v/>
      </c>
    </row>
    <row r="275">
      <c r="A275" s="19" t="n"/>
      <c r="B275" s="19" t="n"/>
      <c r="C275" s="19" t="n"/>
      <c r="D275" s="21" t="n"/>
      <c r="E275" s="19" t="n"/>
      <c r="F275" s="19" t="n"/>
      <c r="G275" s="22" t="n"/>
      <c r="H275" s="19" t="n"/>
      <c r="I275" s="19" t="n"/>
      <c r="J275" s="19" t="n"/>
      <c r="K275" s="19" t="n"/>
      <c r="L275" s="16">
        <f>IF(A275="","",SUMIF(Movimientos!$B$2:$B$3001,A275,Movimientos!$F$2:$F$3001))</f>
        <v/>
      </c>
      <c r="M275" s="17">
        <f>IF(A275="","",IF(COUNTIF(Movimientos!$B$2:$B$3001,A275)=0,"",_xlfn.MAXIFS(Movimientos!$A$2:$A$3001,Movimientos!$B$2:$B$3001,A275)))</f>
        <v/>
      </c>
      <c r="N275" s="18">
        <f>IF(A275="","",IF(AND(H275="Sí",I275="Sí",K275&lt;&gt;"Sí"),"Sí","No"))</f>
        <v/>
      </c>
      <c r="O275" s="18">
        <f>IF(S275="","",1+COUNTIFS($N$2:$N$501,"Sí",$S$2:$S$501,"&gt;"&amp;S275))</f>
        <v/>
      </c>
      <c r="P275" s="18">
        <f>IF(A275="","",INDEX(Logros!$A$2:$A$6,MATCH(N(L275),Logros!$C$2:$C$6,1)))</f>
        <v/>
      </c>
      <c r="Q275" s="19" t="n"/>
      <c r="R275" s="18">
        <f>IF(OR(A275="",P275=""),"",IF(P275&gt;N(Q275),"Sí: entregar nivel "&amp;(N(Q275)+1)&amp;IF(P275&gt;N(Q275)+1," al "&amp;P275,"")&amp;" (ver Logros)",""))</f>
        <v/>
      </c>
      <c r="S275" s="20">
        <f>IF(OR(A275="",N275&lt;&gt;"Sí",N(L275)&lt;=0),"",(N(L275)*100000-MAX(0,ROUND((N(M275)-DATE(2026,10,1))*1440,0)))*1000-ROW())</f>
        <v/>
      </c>
    </row>
    <row r="276">
      <c r="A276" s="19" t="n"/>
      <c r="B276" s="19" t="n"/>
      <c r="C276" s="19" t="n"/>
      <c r="D276" s="21" t="n"/>
      <c r="E276" s="19" t="n"/>
      <c r="F276" s="19" t="n"/>
      <c r="G276" s="22" t="n"/>
      <c r="H276" s="19" t="n"/>
      <c r="I276" s="19" t="n"/>
      <c r="J276" s="19" t="n"/>
      <c r="K276" s="19" t="n"/>
      <c r="L276" s="16">
        <f>IF(A276="","",SUMIF(Movimientos!$B$2:$B$3001,A276,Movimientos!$F$2:$F$3001))</f>
        <v/>
      </c>
      <c r="M276" s="17">
        <f>IF(A276="","",IF(COUNTIF(Movimientos!$B$2:$B$3001,A276)=0,"",_xlfn.MAXIFS(Movimientos!$A$2:$A$3001,Movimientos!$B$2:$B$3001,A276)))</f>
        <v/>
      </c>
      <c r="N276" s="18">
        <f>IF(A276="","",IF(AND(H276="Sí",I276="Sí",K276&lt;&gt;"Sí"),"Sí","No"))</f>
        <v/>
      </c>
      <c r="O276" s="18">
        <f>IF(S276="","",1+COUNTIFS($N$2:$N$501,"Sí",$S$2:$S$501,"&gt;"&amp;S276))</f>
        <v/>
      </c>
      <c r="P276" s="18">
        <f>IF(A276="","",INDEX(Logros!$A$2:$A$6,MATCH(N(L276),Logros!$C$2:$C$6,1)))</f>
        <v/>
      </c>
      <c r="Q276" s="19" t="n"/>
      <c r="R276" s="18">
        <f>IF(OR(A276="",P276=""),"",IF(P276&gt;N(Q276),"Sí: entregar nivel "&amp;(N(Q276)+1)&amp;IF(P276&gt;N(Q276)+1," al "&amp;P276,"")&amp;" (ver Logros)",""))</f>
        <v/>
      </c>
      <c r="S276" s="20">
        <f>IF(OR(A276="",N276&lt;&gt;"Sí",N(L276)&lt;=0),"",(N(L276)*100000-MAX(0,ROUND((N(M276)-DATE(2026,10,1))*1440,0)))*1000-ROW())</f>
        <v/>
      </c>
    </row>
    <row r="277">
      <c r="A277" s="19" t="n"/>
      <c r="B277" s="19" t="n"/>
      <c r="C277" s="19" t="n"/>
      <c r="D277" s="21" t="n"/>
      <c r="E277" s="19" t="n"/>
      <c r="F277" s="19" t="n"/>
      <c r="G277" s="22" t="n"/>
      <c r="H277" s="19" t="n"/>
      <c r="I277" s="19" t="n"/>
      <c r="J277" s="19" t="n"/>
      <c r="K277" s="19" t="n"/>
      <c r="L277" s="16">
        <f>IF(A277="","",SUMIF(Movimientos!$B$2:$B$3001,A277,Movimientos!$F$2:$F$3001))</f>
        <v/>
      </c>
      <c r="M277" s="17">
        <f>IF(A277="","",IF(COUNTIF(Movimientos!$B$2:$B$3001,A277)=0,"",_xlfn.MAXIFS(Movimientos!$A$2:$A$3001,Movimientos!$B$2:$B$3001,A277)))</f>
        <v/>
      </c>
      <c r="N277" s="18">
        <f>IF(A277="","",IF(AND(H277="Sí",I277="Sí",K277&lt;&gt;"Sí"),"Sí","No"))</f>
        <v/>
      </c>
      <c r="O277" s="18">
        <f>IF(S277="","",1+COUNTIFS($N$2:$N$501,"Sí",$S$2:$S$501,"&gt;"&amp;S277))</f>
        <v/>
      </c>
      <c r="P277" s="18">
        <f>IF(A277="","",INDEX(Logros!$A$2:$A$6,MATCH(N(L277),Logros!$C$2:$C$6,1)))</f>
        <v/>
      </c>
      <c r="Q277" s="19" t="n"/>
      <c r="R277" s="18">
        <f>IF(OR(A277="",P277=""),"",IF(P277&gt;N(Q277),"Sí: entregar nivel "&amp;(N(Q277)+1)&amp;IF(P277&gt;N(Q277)+1," al "&amp;P277,"")&amp;" (ver Logros)",""))</f>
        <v/>
      </c>
      <c r="S277" s="20">
        <f>IF(OR(A277="",N277&lt;&gt;"Sí",N(L277)&lt;=0),"",(N(L277)*100000-MAX(0,ROUND((N(M277)-DATE(2026,10,1))*1440,0)))*1000-ROW())</f>
        <v/>
      </c>
    </row>
    <row r="278">
      <c r="A278" s="19" t="n"/>
      <c r="B278" s="19" t="n"/>
      <c r="C278" s="19" t="n"/>
      <c r="D278" s="21" t="n"/>
      <c r="E278" s="19" t="n"/>
      <c r="F278" s="19" t="n"/>
      <c r="G278" s="22" t="n"/>
      <c r="H278" s="19" t="n"/>
      <c r="I278" s="19" t="n"/>
      <c r="J278" s="19" t="n"/>
      <c r="K278" s="19" t="n"/>
      <c r="L278" s="16">
        <f>IF(A278="","",SUMIF(Movimientos!$B$2:$B$3001,A278,Movimientos!$F$2:$F$3001))</f>
        <v/>
      </c>
      <c r="M278" s="17">
        <f>IF(A278="","",IF(COUNTIF(Movimientos!$B$2:$B$3001,A278)=0,"",_xlfn.MAXIFS(Movimientos!$A$2:$A$3001,Movimientos!$B$2:$B$3001,A278)))</f>
        <v/>
      </c>
      <c r="N278" s="18">
        <f>IF(A278="","",IF(AND(H278="Sí",I278="Sí",K278&lt;&gt;"Sí"),"Sí","No"))</f>
        <v/>
      </c>
      <c r="O278" s="18">
        <f>IF(S278="","",1+COUNTIFS($N$2:$N$501,"Sí",$S$2:$S$501,"&gt;"&amp;S278))</f>
        <v/>
      </c>
      <c r="P278" s="18">
        <f>IF(A278="","",INDEX(Logros!$A$2:$A$6,MATCH(N(L278),Logros!$C$2:$C$6,1)))</f>
        <v/>
      </c>
      <c r="Q278" s="19" t="n"/>
      <c r="R278" s="18">
        <f>IF(OR(A278="",P278=""),"",IF(P278&gt;N(Q278),"Sí: entregar nivel "&amp;(N(Q278)+1)&amp;IF(P278&gt;N(Q278)+1," al "&amp;P278,"")&amp;" (ver Logros)",""))</f>
        <v/>
      </c>
      <c r="S278" s="20">
        <f>IF(OR(A278="",N278&lt;&gt;"Sí",N(L278)&lt;=0),"",(N(L278)*100000-MAX(0,ROUND((N(M278)-DATE(2026,10,1))*1440,0)))*1000-ROW())</f>
        <v/>
      </c>
    </row>
    <row r="279">
      <c r="A279" s="19" t="n"/>
      <c r="B279" s="19" t="n"/>
      <c r="C279" s="19" t="n"/>
      <c r="D279" s="21" t="n"/>
      <c r="E279" s="19" t="n"/>
      <c r="F279" s="19" t="n"/>
      <c r="G279" s="22" t="n"/>
      <c r="H279" s="19" t="n"/>
      <c r="I279" s="19" t="n"/>
      <c r="J279" s="19" t="n"/>
      <c r="K279" s="19" t="n"/>
      <c r="L279" s="16">
        <f>IF(A279="","",SUMIF(Movimientos!$B$2:$B$3001,A279,Movimientos!$F$2:$F$3001))</f>
        <v/>
      </c>
      <c r="M279" s="17">
        <f>IF(A279="","",IF(COUNTIF(Movimientos!$B$2:$B$3001,A279)=0,"",_xlfn.MAXIFS(Movimientos!$A$2:$A$3001,Movimientos!$B$2:$B$3001,A279)))</f>
        <v/>
      </c>
      <c r="N279" s="18">
        <f>IF(A279="","",IF(AND(H279="Sí",I279="Sí",K279&lt;&gt;"Sí"),"Sí","No"))</f>
        <v/>
      </c>
      <c r="O279" s="18">
        <f>IF(S279="","",1+COUNTIFS($N$2:$N$501,"Sí",$S$2:$S$501,"&gt;"&amp;S279))</f>
        <v/>
      </c>
      <c r="P279" s="18">
        <f>IF(A279="","",INDEX(Logros!$A$2:$A$6,MATCH(N(L279),Logros!$C$2:$C$6,1)))</f>
        <v/>
      </c>
      <c r="Q279" s="19" t="n"/>
      <c r="R279" s="18">
        <f>IF(OR(A279="",P279=""),"",IF(P279&gt;N(Q279),"Sí: entregar nivel "&amp;(N(Q279)+1)&amp;IF(P279&gt;N(Q279)+1," al "&amp;P279,"")&amp;" (ver Logros)",""))</f>
        <v/>
      </c>
      <c r="S279" s="20">
        <f>IF(OR(A279="",N279&lt;&gt;"Sí",N(L279)&lt;=0),"",(N(L279)*100000-MAX(0,ROUND((N(M279)-DATE(2026,10,1))*1440,0)))*1000-ROW())</f>
        <v/>
      </c>
    </row>
    <row r="280">
      <c r="A280" s="19" t="n"/>
      <c r="B280" s="19" t="n"/>
      <c r="C280" s="19" t="n"/>
      <c r="D280" s="21" t="n"/>
      <c r="E280" s="19" t="n"/>
      <c r="F280" s="19" t="n"/>
      <c r="G280" s="22" t="n"/>
      <c r="H280" s="19" t="n"/>
      <c r="I280" s="19" t="n"/>
      <c r="J280" s="19" t="n"/>
      <c r="K280" s="19" t="n"/>
      <c r="L280" s="16">
        <f>IF(A280="","",SUMIF(Movimientos!$B$2:$B$3001,A280,Movimientos!$F$2:$F$3001))</f>
        <v/>
      </c>
      <c r="M280" s="17">
        <f>IF(A280="","",IF(COUNTIF(Movimientos!$B$2:$B$3001,A280)=0,"",_xlfn.MAXIFS(Movimientos!$A$2:$A$3001,Movimientos!$B$2:$B$3001,A280)))</f>
        <v/>
      </c>
      <c r="N280" s="18">
        <f>IF(A280="","",IF(AND(H280="Sí",I280="Sí",K280&lt;&gt;"Sí"),"Sí","No"))</f>
        <v/>
      </c>
      <c r="O280" s="18">
        <f>IF(S280="","",1+COUNTIFS($N$2:$N$501,"Sí",$S$2:$S$501,"&gt;"&amp;S280))</f>
        <v/>
      </c>
      <c r="P280" s="18">
        <f>IF(A280="","",INDEX(Logros!$A$2:$A$6,MATCH(N(L280),Logros!$C$2:$C$6,1)))</f>
        <v/>
      </c>
      <c r="Q280" s="19" t="n"/>
      <c r="R280" s="18">
        <f>IF(OR(A280="",P280=""),"",IF(P280&gt;N(Q280),"Sí: entregar nivel "&amp;(N(Q280)+1)&amp;IF(P280&gt;N(Q280)+1," al "&amp;P280,"")&amp;" (ver Logros)",""))</f>
        <v/>
      </c>
      <c r="S280" s="20">
        <f>IF(OR(A280="",N280&lt;&gt;"Sí",N(L280)&lt;=0),"",(N(L280)*100000-MAX(0,ROUND((N(M280)-DATE(2026,10,1))*1440,0)))*1000-ROW())</f>
        <v/>
      </c>
    </row>
    <row r="281">
      <c r="A281" s="19" t="n"/>
      <c r="B281" s="19" t="n"/>
      <c r="C281" s="19" t="n"/>
      <c r="D281" s="21" t="n"/>
      <c r="E281" s="19" t="n"/>
      <c r="F281" s="19" t="n"/>
      <c r="G281" s="22" t="n"/>
      <c r="H281" s="19" t="n"/>
      <c r="I281" s="19" t="n"/>
      <c r="J281" s="19" t="n"/>
      <c r="K281" s="19" t="n"/>
      <c r="L281" s="16">
        <f>IF(A281="","",SUMIF(Movimientos!$B$2:$B$3001,A281,Movimientos!$F$2:$F$3001))</f>
        <v/>
      </c>
      <c r="M281" s="17">
        <f>IF(A281="","",IF(COUNTIF(Movimientos!$B$2:$B$3001,A281)=0,"",_xlfn.MAXIFS(Movimientos!$A$2:$A$3001,Movimientos!$B$2:$B$3001,A281)))</f>
        <v/>
      </c>
      <c r="N281" s="18">
        <f>IF(A281="","",IF(AND(H281="Sí",I281="Sí",K281&lt;&gt;"Sí"),"Sí","No"))</f>
        <v/>
      </c>
      <c r="O281" s="18">
        <f>IF(S281="","",1+COUNTIFS($N$2:$N$501,"Sí",$S$2:$S$501,"&gt;"&amp;S281))</f>
        <v/>
      </c>
      <c r="P281" s="18">
        <f>IF(A281="","",INDEX(Logros!$A$2:$A$6,MATCH(N(L281),Logros!$C$2:$C$6,1)))</f>
        <v/>
      </c>
      <c r="Q281" s="19" t="n"/>
      <c r="R281" s="18">
        <f>IF(OR(A281="",P281=""),"",IF(P281&gt;N(Q281),"Sí: entregar nivel "&amp;(N(Q281)+1)&amp;IF(P281&gt;N(Q281)+1," al "&amp;P281,"")&amp;" (ver Logros)",""))</f>
        <v/>
      </c>
      <c r="S281" s="20">
        <f>IF(OR(A281="",N281&lt;&gt;"Sí",N(L281)&lt;=0),"",(N(L281)*100000-MAX(0,ROUND((N(M281)-DATE(2026,10,1))*1440,0)))*1000-ROW())</f>
        <v/>
      </c>
    </row>
    <row r="282">
      <c r="A282" s="19" t="n"/>
      <c r="B282" s="19" t="n"/>
      <c r="C282" s="19" t="n"/>
      <c r="D282" s="21" t="n"/>
      <c r="E282" s="19" t="n"/>
      <c r="F282" s="19" t="n"/>
      <c r="G282" s="22" t="n"/>
      <c r="H282" s="19" t="n"/>
      <c r="I282" s="19" t="n"/>
      <c r="J282" s="19" t="n"/>
      <c r="K282" s="19" t="n"/>
      <c r="L282" s="16">
        <f>IF(A282="","",SUMIF(Movimientos!$B$2:$B$3001,A282,Movimientos!$F$2:$F$3001))</f>
        <v/>
      </c>
      <c r="M282" s="17">
        <f>IF(A282="","",IF(COUNTIF(Movimientos!$B$2:$B$3001,A282)=0,"",_xlfn.MAXIFS(Movimientos!$A$2:$A$3001,Movimientos!$B$2:$B$3001,A282)))</f>
        <v/>
      </c>
      <c r="N282" s="18">
        <f>IF(A282="","",IF(AND(H282="Sí",I282="Sí",K282&lt;&gt;"Sí"),"Sí","No"))</f>
        <v/>
      </c>
      <c r="O282" s="18">
        <f>IF(S282="","",1+COUNTIFS($N$2:$N$501,"Sí",$S$2:$S$501,"&gt;"&amp;S282))</f>
        <v/>
      </c>
      <c r="P282" s="18">
        <f>IF(A282="","",INDEX(Logros!$A$2:$A$6,MATCH(N(L282),Logros!$C$2:$C$6,1)))</f>
        <v/>
      </c>
      <c r="Q282" s="19" t="n"/>
      <c r="R282" s="18">
        <f>IF(OR(A282="",P282=""),"",IF(P282&gt;N(Q282),"Sí: entregar nivel "&amp;(N(Q282)+1)&amp;IF(P282&gt;N(Q282)+1," al "&amp;P282,"")&amp;" (ver Logros)",""))</f>
        <v/>
      </c>
      <c r="S282" s="20">
        <f>IF(OR(A282="",N282&lt;&gt;"Sí",N(L282)&lt;=0),"",(N(L282)*100000-MAX(0,ROUND((N(M282)-DATE(2026,10,1))*1440,0)))*1000-ROW())</f>
        <v/>
      </c>
    </row>
    <row r="283">
      <c r="A283" s="19" t="n"/>
      <c r="B283" s="19" t="n"/>
      <c r="C283" s="19" t="n"/>
      <c r="D283" s="21" t="n"/>
      <c r="E283" s="19" t="n"/>
      <c r="F283" s="19" t="n"/>
      <c r="G283" s="22" t="n"/>
      <c r="H283" s="19" t="n"/>
      <c r="I283" s="19" t="n"/>
      <c r="J283" s="19" t="n"/>
      <c r="K283" s="19" t="n"/>
      <c r="L283" s="16">
        <f>IF(A283="","",SUMIF(Movimientos!$B$2:$B$3001,A283,Movimientos!$F$2:$F$3001))</f>
        <v/>
      </c>
      <c r="M283" s="17">
        <f>IF(A283="","",IF(COUNTIF(Movimientos!$B$2:$B$3001,A283)=0,"",_xlfn.MAXIFS(Movimientos!$A$2:$A$3001,Movimientos!$B$2:$B$3001,A283)))</f>
        <v/>
      </c>
      <c r="N283" s="18">
        <f>IF(A283="","",IF(AND(H283="Sí",I283="Sí",K283&lt;&gt;"Sí"),"Sí","No"))</f>
        <v/>
      </c>
      <c r="O283" s="18">
        <f>IF(S283="","",1+COUNTIFS($N$2:$N$501,"Sí",$S$2:$S$501,"&gt;"&amp;S283))</f>
        <v/>
      </c>
      <c r="P283" s="18">
        <f>IF(A283="","",INDEX(Logros!$A$2:$A$6,MATCH(N(L283),Logros!$C$2:$C$6,1)))</f>
        <v/>
      </c>
      <c r="Q283" s="19" t="n"/>
      <c r="R283" s="18">
        <f>IF(OR(A283="",P283=""),"",IF(P283&gt;N(Q283),"Sí: entregar nivel "&amp;(N(Q283)+1)&amp;IF(P283&gt;N(Q283)+1," al "&amp;P283,"")&amp;" (ver Logros)",""))</f>
        <v/>
      </c>
      <c r="S283" s="20">
        <f>IF(OR(A283="",N283&lt;&gt;"Sí",N(L283)&lt;=0),"",(N(L283)*100000-MAX(0,ROUND((N(M283)-DATE(2026,10,1))*1440,0)))*1000-ROW())</f>
        <v/>
      </c>
    </row>
    <row r="284">
      <c r="A284" s="19" t="n"/>
      <c r="B284" s="19" t="n"/>
      <c r="C284" s="19" t="n"/>
      <c r="D284" s="21" t="n"/>
      <c r="E284" s="19" t="n"/>
      <c r="F284" s="19" t="n"/>
      <c r="G284" s="22" t="n"/>
      <c r="H284" s="19" t="n"/>
      <c r="I284" s="19" t="n"/>
      <c r="J284" s="19" t="n"/>
      <c r="K284" s="19" t="n"/>
      <c r="L284" s="16">
        <f>IF(A284="","",SUMIF(Movimientos!$B$2:$B$3001,A284,Movimientos!$F$2:$F$3001))</f>
        <v/>
      </c>
      <c r="M284" s="17">
        <f>IF(A284="","",IF(COUNTIF(Movimientos!$B$2:$B$3001,A284)=0,"",_xlfn.MAXIFS(Movimientos!$A$2:$A$3001,Movimientos!$B$2:$B$3001,A284)))</f>
        <v/>
      </c>
      <c r="N284" s="18">
        <f>IF(A284="","",IF(AND(H284="Sí",I284="Sí",K284&lt;&gt;"Sí"),"Sí","No"))</f>
        <v/>
      </c>
      <c r="O284" s="18">
        <f>IF(S284="","",1+COUNTIFS($N$2:$N$501,"Sí",$S$2:$S$501,"&gt;"&amp;S284))</f>
        <v/>
      </c>
      <c r="P284" s="18">
        <f>IF(A284="","",INDEX(Logros!$A$2:$A$6,MATCH(N(L284),Logros!$C$2:$C$6,1)))</f>
        <v/>
      </c>
      <c r="Q284" s="19" t="n"/>
      <c r="R284" s="18">
        <f>IF(OR(A284="",P284=""),"",IF(P284&gt;N(Q284),"Sí: entregar nivel "&amp;(N(Q284)+1)&amp;IF(P284&gt;N(Q284)+1," al "&amp;P284,"")&amp;" (ver Logros)",""))</f>
        <v/>
      </c>
      <c r="S284" s="20">
        <f>IF(OR(A284="",N284&lt;&gt;"Sí",N(L284)&lt;=0),"",(N(L284)*100000-MAX(0,ROUND((N(M284)-DATE(2026,10,1))*1440,0)))*1000-ROW())</f>
        <v/>
      </c>
    </row>
    <row r="285">
      <c r="A285" s="19" t="n"/>
      <c r="B285" s="19" t="n"/>
      <c r="C285" s="19" t="n"/>
      <c r="D285" s="21" t="n"/>
      <c r="E285" s="19" t="n"/>
      <c r="F285" s="19" t="n"/>
      <c r="G285" s="22" t="n"/>
      <c r="H285" s="19" t="n"/>
      <c r="I285" s="19" t="n"/>
      <c r="J285" s="19" t="n"/>
      <c r="K285" s="19" t="n"/>
      <c r="L285" s="16">
        <f>IF(A285="","",SUMIF(Movimientos!$B$2:$B$3001,A285,Movimientos!$F$2:$F$3001))</f>
        <v/>
      </c>
      <c r="M285" s="17">
        <f>IF(A285="","",IF(COUNTIF(Movimientos!$B$2:$B$3001,A285)=0,"",_xlfn.MAXIFS(Movimientos!$A$2:$A$3001,Movimientos!$B$2:$B$3001,A285)))</f>
        <v/>
      </c>
      <c r="N285" s="18">
        <f>IF(A285="","",IF(AND(H285="Sí",I285="Sí",K285&lt;&gt;"Sí"),"Sí","No"))</f>
        <v/>
      </c>
      <c r="O285" s="18">
        <f>IF(S285="","",1+COUNTIFS($N$2:$N$501,"Sí",$S$2:$S$501,"&gt;"&amp;S285))</f>
        <v/>
      </c>
      <c r="P285" s="18">
        <f>IF(A285="","",INDEX(Logros!$A$2:$A$6,MATCH(N(L285),Logros!$C$2:$C$6,1)))</f>
        <v/>
      </c>
      <c r="Q285" s="19" t="n"/>
      <c r="R285" s="18">
        <f>IF(OR(A285="",P285=""),"",IF(P285&gt;N(Q285),"Sí: entregar nivel "&amp;(N(Q285)+1)&amp;IF(P285&gt;N(Q285)+1," al "&amp;P285,"")&amp;" (ver Logros)",""))</f>
        <v/>
      </c>
      <c r="S285" s="20">
        <f>IF(OR(A285="",N285&lt;&gt;"Sí",N(L285)&lt;=0),"",(N(L285)*100000-MAX(0,ROUND((N(M285)-DATE(2026,10,1))*1440,0)))*1000-ROW())</f>
        <v/>
      </c>
    </row>
    <row r="286">
      <c r="A286" s="19" t="n"/>
      <c r="B286" s="19" t="n"/>
      <c r="C286" s="19" t="n"/>
      <c r="D286" s="21" t="n"/>
      <c r="E286" s="19" t="n"/>
      <c r="F286" s="19" t="n"/>
      <c r="G286" s="22" t="n"/>
      <c r="H286" s="19" t="n"/>
      <c r="I286" s="19" t="n"/>
      <c r="J286" s="19" t="n"/>
      <c r="K286" s="19" t="n"/>
      <c r="L286" s="16">
        <f>IF(A286="","",SUMIF(Movimientos!$B$2:$B$3001,A286,Movimientos!$F$2:$F$3001))</f>
        <v/>
      </c>
      <c r="M286" s="17">
        <f>IF(A286="","",IF(COUNTIF(Movimientos!$B$2:$B$3001,A286)=0,"",_xlfn.MAXIFS(Movimientos!$A$2:$A$3001,Movimientos!$B$2:$B$3001,A286)))</f>
        <v/>
      </c>
      <c r="N286" s="18">
        <f>IF(A286="","",IF(AND(H286="Sí",I286="Sí",K286&lt;&gt;"Sí"),"Sí","No"))</f>
        <v/>
      </c>
      <c r="O286" s="18">
        <f>IF(S286="","",1+COUNTIFS($N$2:$N$501,"Sí",$S$2:$S$501,"&gt;"&amp;S286))</f>
        <v/>
      </c>
      <c r="P286" s="18">
        <f>IF(A286="","",INDEX(Logros!$A$2:$A$6,MATCH(N(L286),Logros!$C$2:$C$6,1)))</f>
        <v/>
      </c>
      <c r="Q286" s="19" t="n"/>
      <c r="R286" s="18">
        <f>IF(OR(A286="",P286=""),"",IF(P286&gt;N(Q286),"Sí: entregar nivel "&amp;(N(Q286)+1)&amp;IF(P286&gt;N(Q286)+1," al "&amp;P286,"")&amp;" (ver Logros)",""))</f>
        <v/>
      </c>
      <c r="S286" s="20">
        <f>IF(OR(A286="",N286&lt;&gt;"Sí",N(L286)&lt;=0),"",(N(L286)*100000-MAX(0,ROUND((N(M286)-DATE(2026,10,1))*1440,0)))*1000-ROW())</f>
        <v/>
      </c>
    </row>
    <row r="287">
      <c r="A287" s="19" t="n"/>
      <c r="B287" s="19" t="n"/>
      <c r="C287" s="19" t="n"/>
      <c r="D287" s="21" t="n"/>
      <c r="E287" s="19" t="n"/>
      <c r="F287" s="19" t="n"/>
      <c r="G287" s="22" t="n"/>
      <c r="H287" s="19" t="n"/>
      <c r="I287" s="19" t="n"/>
      <c r="J287" s="19" t="n"/>
      <c r="K287" s="19" t="n"/>
      <c r="L287" s="16">
        <f>IF(A287="","",SUMIF(Movimientos!$B$2:$B$3001,A287,Movimientos!$F$2:$F$3001))</f>
        <v/>
      </c>
      <c r="M287" s="17">
        <f>IF(A287="","",IF(COUNTIF(Movimientos!$B$2:$B$3001,A287)=0,"",_xlfn.MAXIFS(Movimientos!$A$2:$A$3001,Movimientos!$B$2:$B$3001,A287)))</f>
        <v/>
      </c>
      <c r="N287" s="18">
        <f>IF(A287="","",IF(AND(H287="Sí",I287="Sí",K287&lt;&gt;"Sí"),"Sí","No"))</f>
        <v/>
      </c>
      <c r="O287" s="18">
        <f>IF(S287="","",1+COUNTIFS($N$2:$N$501,"Sí",$S$2:$S$501,"&gt;"&amp;S287))</f>
        <v/>
      </c>
      <c r="P287" s="18">
        <f>IF(A287="","",INDEX(Logros!$A$2:$A$6,MATCH(N(L287),Logros!$C$2:$C$6,1)))</f>
        <v/>
      </c>
      <c r="Q287" s="19" t="n"/>
      <c r="R287" s="18">
        <f>IF(OR(A287="",P287=""),"",IF(P287&gt;N(Q287),"Sí: entregar nivel "&amp;(N(Q287)+1)&amp;IF(P287&gt;N(Q287)+1," al "&amp;P287,"")&amp;" (ver Logros)",""))</f>
        <v/>
      </c>
      <c r="S287" s="20">
        <f>IF(OR(A287="",N287&lt;&gt;"Sí",N(L287)&lt;=0),"",(N(L287)*100000-MAX(0,ROUND((N(M287)-DATE(2026,10,1))*1440,0)))*1000-ROW())</f>
        <v/>
      </c>
    </row>
    <row r="288">
      <c r="A288" s="19" t="n"/>
      <c r="B288" s="19" t="n"/>
      <c r="C288" s="19" t="n"/>
      <c r="D288" s="21" t="n"/>
      <c r="E288" s="19" t="n"/>
      <c r="F288" s="19" t="n"/>
      <c r="G288" s="22" t="n"/>
      <c r="H288" s="19" t="n"/>
      <c r="I288" s="19" t="n"/>
      <c r="J288" s="19" t="n"/>
      <c r="K288" s="19" t="n"/>
      <c r="L288" s="16">
        <f>IF(A288="","",SUMIF(Movimientos!$B$2:$B$3001,A288,Movimientos!$F$2:$F$3001))</f>
        <v/>
      </c>
      <c r="M288" s="17">
        <f>IF(A288="","",IF(COUNTIF(Movimientos!$B$2:$B$3001,A288)=0,"",_xlfn.MAXIFS(Movimientos!$A$2:$A$3001,Movimientos!$B$2:$B$3001,A288)))</f>
        <v/>
      </c>
      <c r="N288" s="18">
        <f>IF(A288="","",IF(AND(H288="Sí",I288="Sí",K288&lt;&gt;"Sí"),"Sí","No"))</f>
        <v/>
      </c>
      <c r="O288" s="18">
        <f>IF(S288="","",1+COUNTIFS($N$2:$N$501,"Sí",$S$2:$S$501,"&gt;"&amp;S288))</f>
        <v/>
      </c>
      <c r="P288" s="18">
        <f>IF(A288="","",INDEX(Logros!$A$2:$A$6,MATCH(N(L288),Logros!$C$2:$C$6,1)))</f>
        <v/>
      </c>
      <c r="Q288" s="19" t="n"/>
      <c r="R288" s="18">
        <f>IF(OR(A288="",P288=""),"",IF(P288&gt;N(Q288),"Sí: entregar nivel "&amp;(N(Q288)+1)&amp;IF(P288&gt;N(Q288)+1," al "&amp;P288,"")&amp;" (ver Logros)",""))</f>
        <v/>
      </c>
      <c r="S288" s="20">
        <f>IF(OR(A288="",N288&lt;&gt;"Sí",N(L288)&lt;=0),"",(N(L288)*100000-MAX(0,ROUND((N(M288)-DATE(2026,10,1))*1440,0)))*1000-ROW())</f>
        <v/>
      </c>
    </row>
    <row r="289">
      <c r="A289" s="19" t="n"/>
      <c r="B289" s="19" t="n"/>
      <c r="C289" s="19" t="n"/>
      <c r="D289" s="21" t="n"/>
      <c r="E289" s="19" t="n"/>
      <c r="F289" s="19" t="n"/>
      <c r="G289" s="22" t="n"/>
      <c r="H289" s="19" t="n"/>
      <c r="I289" s="19" t="n"/>
      <c r="J289" s="19" t="n"/>
      <c r="K289" s="19" t="n"/>
      <c r="L289" s="16">
        <f>IF(A289="","",SUMIF(Movimientos!$B$2:$B$3001,A289,Movimientos!$F$2:$F$3001))</f>
        <v/>
      </c>
      <c r="M289" s="17">
        <f>IF(A289="","",IF(COUNTIF(Movimientos!$B$2:$B$3001,A289)=0,"",_xlfn.MAXIFS(Movimientos!$A$2:$A$3001,Movimientos!$B$2:$B$3001,A289)))</f>
        <v/>
      </c>
      <c r="N289" s="18">
        <f>IF(A289="","",IF(AND(H289="Sí",I289="Sí",K289&lt;&gt;"Sí"),"Sí","No"))</f>
        <v/>
      </c>
      <c r="O289" s="18">
        <f>IF(S289="","",1+COUNTIFS($N$2:$N$501,"Sí",$S$2:$S$501,"&gt;"&amp;S289))</f>
        <v/>
      </c>
      <c r="P289" s="18">
        <f>IF(A289="","",INDEX(Logros!$A$2:$A$6,MATCH(N(L289),Logros!$C$2:$C$6,1)))</f>
        <v/>
      </c>
      <c r="Q289" s="19" t="n"/>
      <c r="R289" s="18">
        <f>IF(OR(A289="",P289=""),"",IF(P289&gt;N(Q289),"Sí: entregar nivel "&amp;(N(Q289)+1)&amp;IF(P289&gt;N(Q289)+1," al "&amp;P289,"")&amp;" (ver Logros)",""))</f>
        <v/>
      </c>
      <c r="S289" s="20">
        <f>IF(OR(A289="",N289&lt;&gt;"Sí",N(L289)&lt;=0),"",(N(L289)*100000-MAX(0,ROUND((N(M289)-DATE(2026,10,1))*1440,0)))*1000-ROW())</f>
        <v/>
      </c>
    </row>
    <row r="290">
      <c r="A290" s="19" t="n"/>
      <c r="B290" s="19" t="n"/>
      <c r="C290" s="19" t="n"/>
      <c r="D290" s="21" t="n"/>
      <c r="E290" s="19" t="n"/>
      <c r="F290" s="19" t="n"/>
      <c r="G290" s="22" t="n"/>
      <c r="H290" s="19" t="n"/>
      <c r="I290" s="19" t="n"/>
      <c r="J290" s="19" t="n"/>
      <c r="K290" s="19" t="n"/>
      <c r="L290" s="16">
        <f>IF(A290="","",SUMIF(Movimientos!$B$2:$B$3001,A290,Movimientos!$F$2:$F$3001))</f>
        <v/>
      </c>
      <c r="M290" s="17">
        <f>IF(A290="","",IF(COUNTIF(Movimientos!$B$2:$B$3001,A290)=0,"",_xlfn.MAXIFS(Movimientos!$A$2:$A$3001,Movimientos!$B$2:$B$3001,A290)))</f>
        <v/>
      </c>
      <c r="N290" s="18">
        <f>IF(A290="","",IF(AND(H290="Sí",I290="Sí",K290&lt;&gt;"Sí"),"Sí","No"))</f>
        <v/>
      </c>
      <c r="O290" s="18">
        <f>IF(S290="","",1+COUNTIFS($N$2:$N$501,"Sí",$S$2:$S$501,"&gt;"&amp;S290))</f>
        <v/>
      </c>
      <c r="P290" s="18">
        <f>IF(A290="","",INDEX(Logros!$A$2:$A$6,MATCH(N(L290),Logros!$C$2:$C$6,1)))</f>
        <v/>
      </c>
      <c r="Q290" s="19" t="n"/>
      <c r="R290" s="18">
        <f>IF(OR(A290="",P290=""),"",IF(P290&gt;N(Q290),"Sí: entregar nivel "&amp;(N(Q290)+1)&amp;IF(P290&gt;N(Q290)+1," al "&amp;P290,"")&amp;" (ver Logros)",""))</f>
        <v/>
      </c>
      <c r="S290" s="20">
        <f>IF(OR(A290="",N290&lt;&gt;"Sí",N(L290)&lt;=0),"",(N(L290)*100000-MAX(0,ROUND((N(M290)-DATE(2026,10,1))*1440,0)))*1000-ROW())</f>
        <v/>
      </c>
    </row>
    <row r="291">
      <c r="A291" s="19" t="n"/>
      <c r="B291" s="19" t="n"/>
      <c r="C291" s="19" t="n"/>
      <c r="D291" s="21" t="n"/>
      <c r="E291" s="19" t="n"/>
      <c r="F291" s="19" t="n"/>
      <c r="G291" s="22" t="n"/>
      <c r="H291" s="19" t="n"/>
      <c r="I291" s="19" t="n"/>
      <c r="J291" s="19" t="n"/>
      <c r="K291" s="19" t="n"/>
      <c r="L291" s="16">
        <f>IF(A291="","",SUMIF(Movimientos!$B$2:$B$3001,A291,Movimientos!$F$2:$F$3001))</f>
        <v/>
      </c>
      <c r="M291" s="17">
        <f>IF(A291="","",IF(COUNTIF(Movimientos!$B$2:$B$3001,A291)=0,"",_xlfn.MAXIFS(Movimientos!$A$2:$A$3001,Movimientos!$B$2:$B$3001,A291)))</f>
        <v/>
      </c>
      <c r="N291" s="18">
        <f>IF(A291="","",IF(AND(H291="Sí",I291="Sí",K291&lt;&gt;"Sí"),"Sí","No"))</f>
        <v/>
      </c>
      <c r="O291" s="18">
        <f>IF(S291="","",1+COUNTIFS($N$2:$N$501,"Sí",$S$2:$S$501,"&gt;"&amp;S291))</f>
        <v/>
      </c>
      <c r="P291" s="18">
        <f>IF(A291="","",INDEX(Logros!$A$2:$A$6,MATCH(N(L291),Logros!$C$2:$C$6,1)))</f>
        <v/>
      </c>
      <c r="Q291" s="19" t="n"/>
      <c r="R291" s="18">
        <f>IF(OR(A291="",P291=""),"",IF(P291&gt;N(Q291),"Sí: entregar nivel "&amp;(N(Q291)+1)&amp;IF(P291&gt;N(Q291)+1," al "&amp;P291,"")&amp;" (ver Logros)",""))</f>
        <v/>
      </c>
      <c r="S291" s="20">
        <f>IF(OR(A291="",N291&lt;&gt;"Sí",N(L291)&lt;=0),"",(N(L291)*100000-MAX(0,ROUND((N(M291)-DATE(2026,10,1))*1440,0)))*1000-ROW())</f>
        <v/>
      </c>
    </row>
    <row r="292">
      <c r="A292" s="19" t="n"/>
      <c r="B292" s="19" t="n"/>
      <c r="C292" s="19" t="n"/>
      <c r="D292" s="21" t="n"/>
      <c r="E292" s="19" t="n"/>
      <c r="F292" s="19" t="n"/>
      <c r="G292" s="22" t="n"/>
      <c r="H292" s="19" t="n"/>
      <c r="I292" s="19" t="n"/>
      <c r="J292" s="19" t="n"/>
      <c r="K292" s="19" t="n"/>
      <c r="L292" s="16">
        <f>IF(A292="","",SUMIF(Movimientos!$B$2:$B$3001,A292,Movimientos!$F$2:$F$3001))</f>
        <v/>
      </c>
      <c r="M292" s="17">
        <f>IF(A292="","",IF(COUNTIF(Movimientos!$B$2:$B$3001,A292)=0,"",_xlfn.MAXIFS(Movimientos!$A$2:$A$3001,Movimientos!$B$2:$B$3001,A292)))</f>
        <v/>
      </c>
      <c r="N292" s="18">
        <f>IF(A292="","",IF(AND(H292="Sí",I292="Sí",K292&lt;&gt;"Sí"),"Sí","No"))</f>
        <v/>
      </c>
      <c r="O292" s="18">
        <f>IF(S292="","",1+COUNTIFS($N$2:$N$501,"Sí",$S$2:$S$501,"&gt;"&amp;S292))</f>
        <v/>
      </c>
      <c r="P292" s="18">
        <f>IF(A292="","",INDEX(Logros!$A$2:$A$6,MATCH(N(L292),Logros!$C$2:$C$6,1)))</f>
        <v/>
      </c>
      <c r="Q292" s="19" t="n"/>
      <c r="R292" s="18">
        <f>IF(OR(A292="",P292=""),"",IF(P292&gt;N(Q292),"Sí: entregar nivel "&amp;(N(Q292)+1)&amp;IF(P292&gt;N(Q292)+1," al "&amp;P292,"")&amp;" (ver Logros)",""))</f>
        <v/>
      </c>
      <c r="S292" s="20">
        <f>IF(OR(A292="",N292&lt;&gt;"Sí",N(L292)&lt;=0),"",(N(L292)*100000-MAX(0,ROUND((N(M292)-DATE(2026,10,1))*1440,0)))*1000-ROW())</f>
        <v/>
      </c>
    </row>
    <row r="293">
      <c r="A293" s="19" t="n"/>
      <c r="B293" s="19" t="n"/>
      <c r="C293" s="19" t="n"/>
      <c r="D293" s="21" t="n"/>
      <c r="E293" s="19" t="n"/>
      <c r="F293" s="19" t="n"/>
      <c r="G293" s="22" t="n"/>
      <c r="H293" s="19" t="n"/>
      <c r="I293" s="19" t="n"/>
      <c r="J293" s="19" t="n"/>
      <c r="K293" s="19" t="n"/>
      <c r="L293" s="16">
        <f>IF(A293="","",SUMIF(Movimientos!$B$2:$B$3001,A293,Movimientos!$F$2:$F$3001))</f>
        <v/>
      </c>
      <c r="M293" s="17">
        <f>IF(A293="","",IF(COUNTIF(Movimientos!$B$2:$B$3001,A293)=0,"",_xlfn.MAXIFS(Movimientos!$A$2:$A$3001,Movimientos!$B$2:$B$3001,A293)))</f>
        <v/>
      </c>
      <c r="N293" s="18">
        <f>IF(A293="","",IF(AND(H293="Sí",I293="Sí",K293&lt;&gt;"Sí"),"Sí","No"))</f>
        <v/>
      </c>
      <c r="O293" s="18">
        <f>IF(S293="","",1+COUNTIFS($N$2:$N$501,"Sí",$S$2:$S$501,"&gt;"&amp;S293))</f>
        <v/>
      </c>
      <c r="P293" s="18">
        <f>IF(A293="","",INDEX(Logros!$A$2:$A$6,MATCH(N(L293),Logros!$C$2:$C$6,1)))</f>
        <v/>
      </c>
      <c r="Q293" s="19" t="n"/>
      <c r="R293" s="18">
        <f>IF(OR(A293="",P293=""),"",IF(P293&gt;N(Q293),"Sí: entregar nivel "&amp;(N(Q293)+1)&amp;IF(P293&gt;N(Q293)+1," al "&amp;P293,"")&amp;" (ver Logros)",""))</f>
        <v/>
      </c>
      <c r="S293" s="20">
        <f>IF(OR(A293="",N293&lt;&gt;"Sí",N(L293)&lt;=0),"",(N(L293)*100000-MAX(0,ROUND((N(M293)-DATE(2026,10,1))*1440,0)))*1000-ROW())</f>
        <v/>
      </c>
    </row>
    <row r="294">
      <c r="A294" s="19" t="n"/>
      <c r="B294" s="19" t="n"/>
      <c r="C294" s="19" t="n"/>
      <c r="D294" s="21" t="n"/>
      <c r="E294" s="19" t="n"/>
      <c r="F294" s="19" t="n"/>
      <c r="G294" s="22" t="n"/>
      <c r="H294" s="19" t="n"/>
      <c r="I294" s="19" t="n"/>
      <c r="J294" s="19" t="n"/>
      <c r="K294" s="19" t="n"/>
      <c r="L294" s="16">
        <f>IF(A294="","",SUMIF(Movimientos!$B$2:$B$3001,A294,Movimientos!$F$2:$F$3001))</f>
        <v/>
      </c>
      <c r="M294" s="17">
        <f>IF(A294="","",IF(COUNTIF(Movimientos!$B$2:$B$3001,A294)=0,"",_xlfn.MAXIFS(Movimientos!$A$2:$A$3001,Movimientos!$B$2:$B$3001,A294)))</f>
        <v/>
      </c>
      <c r="N294" s="18">
        <f>IF(A294="","",IF(AND(H294="Sí",I294="Sí",K294&lt;&gt;"Sí"),"Sí","No"))</f>
        <v/>
      </c>
      <c r="O294" s="18">
        <f>IF(S294="","",1+COUNTIFS($N$2:$N$501,"Sí",$S$2:$S$501,"&gt;"&amp;S294))</f>
        <v/>
      </c>
      <c r="P294" s="18">
        <f>IF(A294="","",INDEX(Logros!$A$2:$A$6,MATCH(N(L294),Logros!$C$2:$C$6,1)))</f>
        <v/>
      </c>
      <c r="Q294" s="19" t="n"/>
      <c r="R294" s="18">
        <f>IF(OR(A294="",P294=""),"",IF(P294&gt;N(Q294),"Sí: entregar nivel "&amp;(N(Q294)+1)&amp;IF(P294&gt;N(Q294)+1," al "&amp;P294,"")&amp;" (ver Logros)",""))</f>
        <v/>
      </c>
      <c r="S294" s="20">
        <f>IF(OR(A294="",N294&lt;&gt;"Sí",N(L294)&lt;=0),"",(N(L294)*100000-MAX(0,ROUND((N(M294)-DATE(2026,10,1))*1440,0)))*1000-ROW())</f>
        <v/>
      </c>
    </row>
    <row r="295">
      <c r="A295" s="19" t="n"/>
      <c r="B295" s="19" t="n"/>
      <c r="C295" s="19" t="n"/>
      <c r="D295" s="21" t="n"/>
      <c r="E295" s="19" t="n"/>
      <c r="F295" s="19" t="n"/>
      <c r="G295" s="22" t="n"/>
      <c r="H295" s="19" t="n"/>
      <c r="I295" s="19" t="n"/>
      <c r="J295" s="19" t="n"/>
      <c r="K295" s="19" t="n"/>
      <c r="L295" s="16">
        <f>IF(A295="","",SUMIF(Movimientos!$B$2:$B$3001,A295,Movimientos!$F$2:$F$3001))</f>
        <v/>
      </c>
      <c r="M295" s="17">
        <f>IF(A295="","",IF(COUNTIF(Movimientos!$B$2:$B$3001,A295)=0,"",_xlfn.MAXIFS(Movimientos!$A$2:$A$3001,Movimientos!$B$2:$B$3001,A295)))</f>
        <v/>
      </c>
      <c r="N295" s="18">
        <f>IF(A295="","",IF(AND(H295="Sí",I295="Sí",K295&lt;&gt;"Sí"),"Sí","No"))</f>
        <v/>
      </c>
      <c r="O295" s="18">
        <f>IF(S295="","",1+COUNTIFS($N$2:$N$501,"Sí",$S$2:$S$501,"&gt;"&amp;S295))</f>
        <v/>
      </c>
      <c r="P295" s="18">
        <f>IF(A295="","",INDEX(Logros!$A$2:$A$6,MATCH(N(L295),Logros!$C$2:$C$6,1)))</f>
        <v/>
      </c>
      <c r="Q295" s="19" t="n"/>
      <c r="R295" s="18">
        <f>IF(OR(A295="",P295=""),"",IF(P295&gt;N(Q295),"Sí: entregar nivel "&amp;(N(Q295)+1)&amp;IF(P295&gt;N(Q295)+1," al "&amp;P295,"")&amp;" (ver Logros)",""))</f>
        <v/>
      </c>
      <c r="S295" s="20">
        <f>IF(OR(A295="",N295&lt;&gt;"Sí",N(L295)&lt;=0),"",(N(L295)*100000-MAX(0,ROUND((N(M295)-DATE(2026,10,1))*1440,0)))*1000-ROW())</f>
        <v/>
      </c>
    </row>
    <row r="296">
      <c r="A296" s="19" t="n"/>
      <c r="B296" s="19" t="n"/>
      <c r="C296" s="19" t="n"/>
      <c r="D296" s="21" t="n"/>
      <c r="E296" s="19" t="n"/>
      <c r="F296" s="19" t="n"/>
      <c r="G296" s="22" t="n"/>
      <c r="H296" s="19" t="n"/>
      <c r="I296" s="19" t="n"/>
      <c r="J296" s="19" t="n"/>
      <c r="K296" s="19" t="n"/>
      <c r="L296" s="16">
        <f>IF(A296="","",SUMIF(Movimientos!$B$2:$B$3001,A296,Movimientos!$F$2:$F$3001))</f>
        <v/>
      </c>
      <c r="M296" s="17">
        <f>IF(A296="","",IF(COUNTIF(Movimientos!$B$2:$B$3001,A296)=0,"",_xlfn.MAXIFS(Movimientos!$A$2:$A$3001,Movimientos!$B$2:$B$3001,A296)))</f>
        <v/>
      </c>
      <c r="N296" s="18">
        <f>IF(A296="","",IF(AND(H296="Sí",I296="Sí",K296&lt;&gt;"Sí"),"Sí","No"))</f>
        <v/>
      </c>
      <c r="O296" s="18">
        <f>IF(S296="","",1+COUNTIFS($N$2:$N$501,"Sí",$S$2:$S$501,"&gt;"&amp;S296))</f>
        <v/>
      </c>
      <c r="P296" s="18">
        <f>IF(A296="","",INDEX(Logros!$A$2:$A$6,MATCH(N(L296),Logros!$C$2:$C$6,1)))</f>
        <v/>
      </c>
      <c r="Q296" s="19" t="n"/>
      <c r="R296" s="18">
        <f>IF(OR(A296="",P296=""),"",IF(P296&gt;N(Q296),"Sí: entregar nivel "&amp;(N(Q296)+1)&amp;IF(P296&gt;N(Q296)+1," al "&amp;P296,"")&amp;" (ver Logros)",""))</f>
        <v/>
      </c>
      <c r="S296" s="20">
        <f>IF(OR(A296="",N296&lt;&gt;"Sí",N(L296)&lt;=0),"",(N(L296)*100000-MAX(0,ROUND((N(M296)-DATE(2026,10,1))*1440,0)))*1000-ROW())</f>
        <v/>
      </c>
    </row>
    <row r="297">
      <c r="A297" s="19" t="n"/>
      <c r="B297" s="19" t="n"/>
      <c r="C297" s="19" t="n"/>
      <c r="D297" s="21" t="n"/>
      <c r="E297" s="19" t="n"/>
      <c r="F297" s="19" t="n"/>
      <c r="G297" s="22" t="n"/>
      <c r="H297" s="19" t="n"/>
      <c r="I297" s="19" t="n"/>
      <c r="J297" s="19" t="n"/>
      <c r="K297" s="19" t="n"/>
      <c r="L297" s="16">
        <f>IF(A297="","",SUMIF(Movimientos!$B$2:$B$3001,A297,Movimientos!$F$2:$F$3001))</f>
        <v/>
      </c>
      <c r="M297" s="17">
        <f>IF(A297="","",IF(COUNTIF(Movimientos!$B$2:$B$3001,A297)=0,"",_xlfn.MAXIFS(Movimientos!$A$2:$A$3001,Movimientos!$B$2:$B$3001,A297)))</f>
        <v/>
      </c>
      <c r="N297" s="18">
        <f>IF(A297="","",IF(AND(H297="Sí",I297="Sí",K297&lt;&gt;"Sí"),"Sí","No"))</f>
        <v/>
      </c>
      <c r="O297" s="18">
        <f>IF(S297="","",1+COUNTIFS($N$2:$N$501,"Sí",$S$2:$S$501,"&gt;"&amp;S297))</f>
        <v/>
      </c>
      <c r="P297" s="18">
        <f>IF(A297="","",INDEX(Logros!$A$2:$A$6,MATCH(N(L297),Logros!$C$2:$C$6,1)))</f>
        <v/>
      </c>
      <c r="Q297" s="19" t="n"/>
      <c r="R297" s="18">
        <f>IF(OR(A297="",P297=""),"",IF(P297&gt;N(Q297),"Sí: entregar nivel "&amp;(N(Q297)+1)&amp;IF(P297&gt;N(Q297)+1," al "&amp;P297,"")&amp;" (ver Logros)",""))</f>
        <v/>
      </c>
      <c r="S297" s="20">
        <f>IF(OR(A297="",N297&lt;&gt;"Sí",N(L297)&lt;=0),"",(N(L297)*100000-MAX(0,ROUND((N(M297)-DATE(2026,10,1))*1440,0)))*1000-ROW())</f>
        <v/>
      </c>
    </row>
    <row r="298">
      <c r="A298" s="19" t="n"/>
      <c r="B298" s="19" t="n"/>
      <c r="C298" s="19" t="n"/>
      <c r="D298" s="21" t="n"/>
      <c r="E298" s="19" t="n"/>
      <c r="F298" s="19" t="n"/>
      <c r="G298" s="22" t="n"/>
      <c r="H298" s="19" t="n"/>
      <c r="I298" s="19" t="n"/>
      <c r="J298" s="19" t="n"/>
      <c r="K298" s="19" t="n"/>
      <c r="L298" s="16">
        <f>IF(A298="","",SUMIF(Movimientos!$B$2:$B$3001,A298,Movimientos!$F$2:$F$3001))</f>
        <v/>
      </c>
      <c r="M298" s="17">
        <f>IF(A298="","",IF(COUNTIF(Movimientos!$B$2:$B$3001,A298)=0,"",_xlfn.MAXIFS(Movimientos!$A$2:$A$3001,Movimientos!$B$2:$B$3001,A298)))</f>
        <v/>
      </c>
      <c r="N298" s="18">
        <f>IF(A298="","",IF(AND(H298="Sí",I298="Sí",K298&lt;&gt;"Sí"),"Sí","No"))</f>
        <v/>
      </c>
      <c r="O298" s="18">
        <f>IF(S298="","",1+COUNTIFS($N$2:$N$501,"Sí",$S$2:$S$501,"&gt;"&amp;S298))</f>
        <v/>
      </c>
      <c r="P298" s="18">
        <f>IF(A298="","",INDEX(Logros!$A$2:$A$6,MATCH(N(L298),Logros!$C$2:$C$6,1)))</f>
        <v/>
      </c>
      <c r="Q298" s="19" t="n"/>
      <c r="R298" s="18">
        <f>IF(OR(A298="",P298=""),"",IF(P298&gt;N(Q298),"Sí: entregar nivel "&amp;(N(Q298)+1)&amp;IF(P298&gt;N(Q298)+1," al "&amp;P298,"")&amp;" (ver Logros)",""))</f>
        <v/>
      </c>
      <c r="S298" s="20">
        <f>IF(OR(A298="",N298&lt;&gt;"Sí",N(L298)&lt;=0),"",(N(L298)*100000-MAX(0,ROUND((N(M298)-DATE(2026,10,1))*1440,0)))*1000-ROW())</f>
        <v/>
      </c>
    </row>
    <row r="299">
      <c r="A299" s="19" t="n"/>
      <c r="B299" s="19" t="n"/>
      <c r="C299" s="19" t="n"/>
      <c r="D299" s="21" t="n"/>
      <c r="E299" s="19" t="n"/>
      <c r="F299" s="19" t="n"/>
      <c r="G299" s="22" t="n"/>
      <c r="H299" s="19" t="n"/>
      <c r="I299" s="19" t="n"/>
      <c r="J299" s="19" t="n"/>
      <c r="K299" s="19" t="n"/>
      <c r="L299" s="16">
        <f>IF(A299="","",SUMIF(Movimientos!$B$2:$B$3001,A299,Movimientos!$F$2:$F$3001))</f>
        <v/>
      </c>
      <c r="M299" s="17">
        <f>IF(A299="","",IF(COUNTIF(Movimientos!$B$2:$B$3001,A299)=0,"",_xlfn.MAXIFS(Movimientos!$A$2:$A$3001,Movimientos!$B$2:$B$3001,A299)))</f>
        <v/>
      </c>
      <c r="N299" s="18">
        <f>IF(A299="","",IF(AND(H299="Sí",I299="Sí",K299&lt;&gt;"Sí"),"Sí","No"))</f>
        <v/>
      </c>
      <c r="O299" s="18">
        <f>IF(S299="","",1+COUNTIFS($N$2:$N$501,"Sí",$S$2:$S$501,"&gt;"&amp;S299))</f>
        <v/>
      </c>
      <c r="P299" s="18">
        <f>IF(A299="","",INDEX(Logros!$A$2:$A$6,MATCH(N(L299),Logros!$C$2:$C$6,1)))</f>
        <v/>
      </c>
      <c r="Q299" s="19" t="n"/>
      <c r="R299" s="18">
        <f>IF(OR(A299="",P299=""),"",IF(P299&gt;N(Q299),"Sí: entregar nivel "&amp;(N(Q299)+1)&amp;IF(P299&gt;N(Q299)+1," al "&amp;P299,"")&amp;" (ver Logros)",""))</f>
        <v/>
      </c>
      <c r="S299" s="20">
        <f>IF(OR(A299="",N299&lt;&gt;"Sí",N(L299)&lt;=0),"",(N(L299)*100000-MAX(0,ROUND((N(M299)-DATE(2026,10,1))*1440,0)))*1000-ROW())</f>
        <v/>
      </c>
    </row>
    <row r="300">
      <c r="A300" s="19" t="n"/>
      <c r="B300" s="19" t="n"/>
      <c r="C300" s="19" t="n"/>
      <c r="D300" s="21" t="n"/>
      <c r="E300" s="19" t="n"/>
      <c r="F300" s="19" t="n"/>
      <c r="G300" s="22" t="n"/>
      <c r="H300" s="19" t="n"/>
      <c r="I300" s="19" t="n"/>
      <c r="J300" s="19" t="n"/>
      <c r="K300" s="19" t="n"/>
      <c r="L300" s="16">
        <f>IF(A300="","",SUMIF(Movimientos!$B$2:$B$3001,A300,Movimientos!$F$2:$F$3001))</f>
        <v/>
      </c>
      <c r="M300" s="17">
        <f>IF(A300="","",IF(COUNTIF(Movimientos!$B$2:$B$3001,A300)=0,"",_xlfn.MAXIFS(Movimientos!$A$2:$A$3001,Movimientos!$B$2:$B$3001,A300)))</f>
        <v/>
      </c>
      <c r="N300" s="18">
        <f>IF(A300="","",IF(AND(H300="Sí",I300="Sí",K300&lt;&gt;"Sí"),"Sí","No"))</f>
        <v/>
      </c>
      <c r="O300" s="18">
        <f>IF(S300="","",1+COUNTIFS($N$2:$N$501,"Sí",$S$2:$S$501,"&gt;"&amp;S300))</f>
        <v/>
      </c>
      <c r="P300" s="18">
        <f>IF(A300="","",INDEX(Logros!$A$2:$A$6,MATCH(N(L300),Logros!$C$2:$C$6,1)))</f>
        <v/>
      </c>
      <c r="Q300" s="19" t="n"/>
      <c r="R300" s="18">
        <f>IF(OR(A300="",P300=""),"",IF(P300&gt;N(Q300),"Sí: entregar nivel "&amp;(N(Q300)+1)&amp;IF(P300&gt;N(Q300)+1," al "&amp;P300,"")&amp;" (ver Logros)",""))</f>
        <v/>
      </c>
      <c r="S300" s="20">
        <f>IF(OR(A300="",N300&lt;&gt;"Sí",N(L300)&lt;=0),"",(N(L300)*100000-MAX(0,ROUND((N(M300)-DATE(2026,10,1))*1440,0)))*1000-ROW())</f>
        <v/>
      </c>
    </row>
    <row r="301">
      <c r="A301" s="19" t="n"/>
      <c r="B301" s="19" t="n"/>
      <c r="C301" s="19" t="n"/>
      <c r="D301" s="21" t="n"/>
      <c r="E301" s="19" t="n"/>
      <c r="F301" s="19" t="n"/>
      <c r="G301" s="22" t="n"/>
      <c r="H301" s="19" t="n"/>
      <c r="I301" s="19" t="n"/>
      <c r="J301" s="19" t="n"/>
      <c r="K301" s="19" t="n"/>
      <c r="L301" s="16">
        <f>IF(A301="","",SUMIF(Movimientos!$B$2:$B$3001,A301,Movimientos!$F$2:$F$3001))</f>
        <v/>
      </c>
      <c r="M301" s="17">
        <f>IF(A301="","",IF(COUNTIF(Movimientos!$B$2:$B$3001,A301)=0,"",_xlfn.MAXIFS(Movimientos!$A$2:$A$3001,Movimientos!$B$2:$B$3001,A301)))</f>
        <v/>
      </c>
      <c r="N301" s="18">
        <f>IF(A301="","",IF(AND(H301="Sí",I301="Sí",K301&lt;&gt;"Sí"),"Sí","No"))</f>
        <v/>
      </c>
      <c r="O301" s="18">
        <f>IF(S301="","",1+COUNTIFS($N$2:$N$501,"Sí",$S$2:$S$501,"&gt;"&amp;S301))</f>
        <v/>
      </c>
      <c r="P301" s="18">
        <f>IF(A301="","",INDEX(Logros!$A$2:$A$6,MATCH(N(L301),Logros!$C$2:$C$6,1)))</f>
        <v/>
      </c>
      <c r="Q301" s="19" t="n"/>
      <c r="R301" s="18">
        <f>IF(OR(A301="",P301=""),"",IF(P301&gt;N(Q301),"Sí: entregar nivel "&amp;(N(Q301)+1)&amp;IF(P301&gt;N(Q301)+1," al "&amp;P301,"")&amp;" (ver Logros)",""))</f>
        <v/>
      </c>
      <c r="S301" s="20">
        <f>IF(OR(A301="",N301&lt;&gt;"Sí",N(L301)&lt;=0),"",(N(L301)*100000-MAX(0,ROUND((N(M301)-DATE(2026,10,1))*1440,0)))*1000-ROW())</f>
        <v/>
      </c>
    </row>
    <row r="302">
      <c r="A302" s="19" t="n"/>
      <c r="B302" s="19" t="n"/>
      <c r="C302" s="19" t="n"/>
      <c r="D302" s="21" t="n"/>
      <c r="E302" s="19" t="n"/>
      <c r="F302" s="19" t="n"/>
      <c r="G302" s="22" t="n"/>
      <c r="H302" s="19" t="n"/>
      <c r="I302" s="19" t="n"/>
      <c r="J302" s="19" t="n"/>
      <c r="K302" s="19" t="n"/>
      <c r="L302" s="16">
        <f>IF(A302="","",SUMIF(Movimientos!$B$2:$B$3001,A302,Movimientos!$F$2:$F$3001))</f>
        <v/>
      </c>
      <c r="M302" s="17">
        <f>IF(A302="","",IF(COUNTIF(Movimientos!$B$2:$B$3001,A302)=0,"",_xlfn.MAXIFS(Movimientos!$A$2:$A$3001,Movimientos!$B$2:$B$3001,A302)))</f>
        <v/>
      </c>
      <c r="N302" s="18">
        <f>IF(A302="","",IF(AND(H302="Sí",I302="Sí",K302&lt;&gt;"Sí"),"Sí","No"))</f>
        <v/>
      </c>
      <c r="O302" s="18">
        <f>IF(S302="","",1+COUNTIFS($N$2:$N$501,"Sí",$S$2:$S$501,"&gt;"&amp;S302))</f>
        <v/>
      </c>
      <c r="P302" s="18">
        <f>IF(A302="","",INDEX(Logros!$A$2:$A$6,MATCH(N(L302),Logros!$C$2:$C$6,1)))</f>
        <v/>
      </c>
      <c r="Q302" s="19" t="n"/>
      <c r="R302" s="18">
        <f>IF(OR(A302="",P302=""),"",IF(P302&gt;N(Q302),"Sí: entregar nivel "&amp;(N(Q302)+1)&amp;IF(P302&gt;N(Q302)+1," al "&amp;P302,"")&amp;" (ver Logros)",""))</f>
        <v/>
      </c>
      <c r="S302" s="20">
        <f>IF(OR(A302="",N302&lt;&gt;"Sí",N(L302)&lt;=0),"",(N(L302)*100000-MAX(0,ROUND((N(M302)-DATE(2026,10,1))*1440,0)))*1000-ROW())</f>
        <v/>
      </c>
    </row>
    <row r="303">
      <c r="A303" s="19" t="n"/>
      <c r="B303" s="19" t="n"/>
      <c r="C303" s="19" t="n"/>
      <c r="D303" s="21" t="n"/>
      <c r="E303" s="19" t="n"/>
      <c r="F303" s="19" t="n"/>
      <c r="G303" s="22" t="n"/>
      <c r="H303" s="19" t="n"/>
      <c r="I303" s="19" t="n"/>
      <c r="J303" s="19" t="n"/>
      <c r="K303" s="19" t="n"/>
      <c r="L303" s="16">
        <f>IF(A303="","",SUMIF(Movimientos!$B$2:$B$3001,A303,Movimientos!$F$2:$F$3001))</f>
        <v/>
      </c>
      <c r="M303" s="17">
        <f>IF(A303="","",IF(COUNTIF(Movimientos!$B$2:$B$3001,A303)=0,"",_xlfn.MAXIFS(Movimientos!$A$2:$A$3001,Movimientos!$B$2:$B$3001,A303)))</f>
        <v/>
      </c>
      <c r="N303" s="18">
        <f>IF(A303="","",IF(AND(H303="Sí",I303="Sí",K303&lt;&gt;"Sí"),"Sí","No"))</f>
        <v/>
      </c>
      <c r="O303" s="18">
        <f>IF(S303="","",1+COUNTIFS($N$2:$N$501,"Sí",$S$2:$S$501,"&gt;"&amp;S303))</f>
        <v/>
      </c>
      <c r="P303" s="18">
        <f>IF(A303="","",INDEX(Logros!$A$2:$A$6,MATCH(N(L303),Logros!$C$2:$C$6,1)))</f>
        <v/>
      </c>
      <c r="Q303" s="19" t="n"/>
      <c r="R303" s="18">
        <f>IF(OR(A303="",P303=""),"",IF(P303&gt;N(Q303),"Sí: entregar nivel "&amp;(N(Q303)+1)&amp;IF(P303&gt;N(Q303)+1," al "&amp;P303,"")&amp;" (ver Logros)",""))</f>
        <v/>
      </c>
      <c r="S303" s="20">
        <f>IF(OR(A303="",N303&lt;&gt;"Sí",N(L303)&lt;=0),"",(N(L303)*100000-MAX(0,ROUND((N(M303)-DATE(2026,10,1))*1440,0)))*1000-ROW())</f>
        <v/>
      </c>
    </row>
    <row r="304">
      <c r="A304" s="19" t="n"/>
      <c r="B304" s="19" t="n"/>
      <c r="C304" s="19" t="n"/>
      <c r="D304" s="21" t="n"/>
      <c r="E304" s="19" t="n"/>
      <c r="F304" s="19" t="n"/>
      <c r="G304" s="22" t="n"/>
      <c r="H304" s="19" t="n"/>
      <c r="I304" s="19" t="n"/>
      <c r="J304" s="19" t="n"/>
      <c r="K304" s="19" t="n"/>
      <c r="L304" s="16">
        <f>IF(A304="","",SUMIF(Movimientos!$B$2:$B$3001,A304,Movimientos!$F$2:$F$3001))</f>
        <v/>
      </c>
      <c r="M304" s="17">
        <f>IF(A304="","",IF(COUNTIF(Movimientos!$B$2:$B$3001,A304)=0,"",_xlfn.MAXIFS(Movimientos!$A$2:$A$3001,Movimientos!$B$2:$B$3001,A304)))</f>
        <v/>
      </c>
      <c r="N304" s="18">
        <f>IF(A304="","",IF(AND(H304="Sí",I304="Sí",K304&lt;&gt;"Sí"),"Sí","No"))</f>
        <v/>
      </c>
      <c r="O304" s="18">
        <f>IF(S304="","",1+COUNTIFS($N$2:$N$501,"Sí",$S$2:$S$501,"&gt;"&amp;S304))</f>
        <v/>
      </c>
      <c r="P304" s="18">
        <f>IF(A304="","",INDEX(Logros!$A$2:$A$6,MATCH(N(L304),Logros!$C$2:$C$6,1)))</f>
        <v/>
      </c>
      <c r="Q304" s="19" t="n"/>
      <c r="R304" s="18">
        <f>IF(OR(A304="",P304=""),"",IF(P304&gt;N(Q304),"Sí: entregar nivel "&amp;(N(Q304)+1)&amp;IF(P304&gt;N(Q304)+1," al "&amp;P304,"")&amp;" (ver Logros)",""))</f>
        <v/>
      </c>
      <c r="S304" s="20">
        <f>IF(OR(A304="",N304&lt;&gt;"Sí",N(L304)&lt;=0),"",(N(L304)*100000-MAX(0,ROUND((N(M304)-DATE(2026,10,1))*1440,0)))*1000-ROW())</f>
        <v/>
      </c>
    </row>
    <row r="305">
      <c r="A305" s="19" t="n"/>
      <c r="B305" s="19" t="n"/>
      <c r="C305" s="19" t="n"/>
      <c r="D305" s="21" t="n"/>
      <c r="E305" s="19" t="n"/>
      <c r="F305" s="19" t="n"/>
      <c r="G305" s="22" t="n"/>
      <c r="H305" s="19" t="n"/>
      <c r="I305" s="19" t="n"/>
      <c r="J305" s="19" t="n"/>
      <c r="K305" s="19" t="n"/>
      <c r="L305" s="16">
        <f>IF(A305="","",SUMIF(Movimientos!$B$2:$B$3001,A305,Movimientos!$F$2:$F$3001))</f>
        <v/>
      </c>
      <c r="M305" s="17">
        <f>IF(A305="","",IF(COUNTIF(Movimientos!$B$2:$B$3001,A305)=0,"",_xlfn.MAXIFS(Movimientos!$A$2:$A$3001,Movimientos!$B$2:$B$3001,A305)))</f>
        <v/>
      </c>
      <c r="N305" s="18">
        <f>IF(A305="","",IF(AND(H305="Sí",I305="Sí",K305&lt;&gt;"Sí"),"Sí","No"))</f>
        <v/>
      </c>
      <c r="O305" s="18">
        <f>IF(S305="","",1+COUNTIFS($N$2:$N$501,"Sí",$S$2:$S$501,"&gt;"&amp;S305))</f>
        <v/>
      </c>
      <c r="P305" s="18">
        <f>IF(A305="","",INDEX(Logros!$A$2:$A$6,MATCH(N(L305),Logros!$C$2:$C$6,1)))</f>
        <v/>
      </c>
      <c r="Q305" s="19" t="n"/>
      <c r="R305" s="18">
        <f>IF(OR(A305="",P305=""),"",IF(P305&gt;N(Q305),"Sí: entregar nivel "&amp;(N(Q305)+1)&amp;IF(P305&gt;N(Q305)+1," al "&amp;P305,"")&amp;" (ver Logros)",""))</f>
        <v/>
      </c>
      <c r="S305" s="20">
        <f>IF(OR(A305="",N305&lt;&gt;"Sí",N(L305)&lt;=0),"",(N(L305)*100000-MAX(0,ROUND((N(M305)-DATE(2026,10,1))*1440,0)))*1000-ROW())</f>
        <v/>
      </c>
    </row>
    <row r="306">
      <c r="A306" s="19" t="n"/>
      <c r="B306" s="19" t="n"/>
      <c r="C306" s="19" t="n"/>
      <c r="D306" s="21" t="n"/>
      <c r="E306" s="19" t="n"/>
      <c r="F306" s="19" t="n"/>
      <c r="G306" s="22" t="n"/>
      <c r="H306" s="19" t="n"/>
      <c r="I306" s="19" t="n"/>
      <c r="J306" s="19" t="n"/>
      <c r="K306" s="19" t="n"/>
      <c r="L306" s="16">
        <f>IF(A306="","",SUMIF(Movimientos!$B$2:$B$3001,A306,Movimientos!$F$2:$F$3001))</f>
        <v/>
      </c>
      <c r="M306" s="17">
        <f>IF(A306="","",IF(COUNTIF(Movimientos!$B$2:$B$3001,A306)=0,"",_xlfn.MAXIFS(Movimientos!$A$2:$A$3001,Movimientos!$B$2:$B$3001,A306)))</f>
        <v/>
      </c>
      <c r="N306" s="18">
        <f>IF(A306="","",IF(AND(H306="Sí",I306="Sí",K306&lt;&gt;"Sí"),"Sí","No"))</f>
        <v/>
      </c>
      <c r="O306" s="18">
        <f>IF(S306="","",1+COUNTIFS($N$2:$N$501,"Sí",$S$2:$S$501,"&gt;"&amp;S306))</f>
        <v/>
      </c>
      <c r="P306" s="18">
        <f>IF(A306="","",INDEX(Logros!$A$2:$A$6,MATCH(N(L306),Logros!$C$2:$C$6,1)))</f>
        <v/>
      </c>
      <c r="Q306" s="19" t="n"/>
      <c r="R306" s="18">
        <f>IF(OR(A306="",P306=""),"",IF(P306&gt;N(Q306),"Sí: entregar nivel "&amp;(N(Q306)+1)&amp;IF(P306&gt;N(Q306)+1," al "&amp;P306,"")&amp;" (ver Logros)",""))</f>
        <v/>
      </c>
      <c r="S306" s="20">
        <f>IF(OR(A306="",N306&lt;&gt;"Sí",N(L306)&lt;=0),"",(N(L306)*100000-MAX(0,ROUND((N(M306)-DATE(2026,10,1))*1440,0)))*1000-ROW())</f>
        <v/>
      </c>
    </row>
    <row r="307">
      <c r="A307" s="19" t="n"/>
      <c r="B307" s="19" t="n"/>
      <c r="C307" s="19" t="n"/>
      <c r="D307" s="21" t="n"/>
      <c r="E307" s="19" t="n"/>
      <c r="F307" s="19" t="n"/>
      <c r="G307" s="22" t="n"/>
      <c r="H307" s="19" t="n"/>
      <c r="I307" s="19" t="n"/>
      <c r="J307" s="19" t="n"/>
      <c r="K307" s="19" t="n"/>
      <c r="L307" s="16">
        <f>IF(A307="","",SUMIF(Movimientos!$B$2:$B$3001,A307,Movimientos!$F$2:$F$3001))</f>
        <v/>
      </c>
      <c r="M307" s="17">
        <f>IF(A307="","",IF(COUNTIF(Movimientos!$B$2:$B$3001,A307)=0,"",_xlfn.MAXIFS(Movimientos!$A$2:$A$3001,Movimientos!$B$2:$B$3001,A307)))</f>
        <v/>
      </c>
      <c r="N307" s="18">
        <f>IF(A307="","",IF(AND(H307="Sí",I307="Sí",K307&lt;&gt;"Sí"),"Sí","No"))</f>
        <v/>
      </c>
      <c r="O307" s="18">
        <f>IF(S307="","",1+COUNTIFS($N$2:$N$501,"Sí",$S$2:$S$501,"&gt;"&amp;S307))</f>
        <v/>
      </c>
      <c r="P307" s="18">
        <f>IF(A307="","",INDEX(Logros!$A$2:$A$6,MATCH(N(L307),Logros!$C$2:$C$6,1)))</f>
        <v/>
      </c>
      <c r="Q307" s="19" t="n"/>
      <c r="R307" s="18">
        <f>IF(OR(A307="",P307=""),"",IF(P307&gt;N(Q307),"Sí: entregar nivel "&amp;(N(Q307)+1)&amp;IF(P307&gt;N(Q307)+1," al "&amp;P307,"")&amp;" (ver Logros)",""))</f>
        <v/>
      </c>
      <c r="S307" s="20">
        <f>IF(OR(A307="",N307&lt;&gt;"Sí",N(L307)&lt;=0),"",(N(L307)*100000-MAX(0,ROUND((N(M307)-DATE(2026,10,1))*1440,0)))*1000-ROW())</f>
        <v/>
      </c>
    </row>
    <row r="308">
      <c r="A308" s="19" t="n"/>
      <c r="B308" s="19" t="n"/>
      <c r="C308" s="19" t="n"/>
      <c r="D308" s="21" t="n"/>
      <c r="E308" s="19" t="n"/>
      <c r="F308" s="19" t="n"/>
      <c r="G308" s="22" t="n"/>
      <c r="H308" s="19" t="n"/>
      <c r="I308" s="19" t="n"/>
      <c r="J308" s="19" t="n"/>
      <c r="K308" s="19" t="n"/>
      <c r="L308" s="16">
        <f>IF(A308="","",SUMIF(Movimientos!$B$2:$B$3001,A308,Movimientos!$F$2:$F$3001))</f>
        <v/>
      </c>
      <c r="M308" s="17">
        <f>IF(A308="","",IF(COUNTIF(Movimientos!$B$2:$B$3001,A308)=0,"",_xlfn.MAXIFS(Movimientos!$A$2:$A$3001,Movimientos!$B$2:$B$3001,A308)))</f>
        <v/>
      </c>
      <c r="N308" s="18">
        <f>IF(A308="","",IF(AND(H308="Sí",I308="Sí",K308&lt;&gt;"Sí"),"Sí","No"))</f>
        <v/>
      </c>
      <c r="O308" s="18">
        <f>IF(S308="","",1+COUNTIFS($N$2:$N$501,"Sí",$S$2:$S$501,"&gt;"&amp;S308))</f>
        <v/>
      </c>
      <c r="P308" s="18">
        <f>IF(A308="","",INDEX(Logros!$A$2:$A$6,MATCH(N(L308),Logros!$C$2:$C$6,1)))</f>
        <v/>
      </c>
      <c r="Q308" s="19" t="n"/>
      <c r="R308" s="18">
        <f>IF(OR(A308="",P308=""),"",IF(P308&gt;N(Q308),"Sí: entregar nivel "&amp;(N(Q308)+1)&amp;IF(P308&gt;N(Q308)+1," al "&amp;P308,"")&amp;" (ver Logros)",""))</f>
        <v/>
      </c>
      <c r="S308" s="20">
        <f>IF(OR(A308="",N308&lt;&gt;"Sí",N(L308)&lt;=0),"",(N(L308)*100000-MAX(0,ROUND((N(M308)-DATE(2026,10,1))*1440,0)))*1000-ROW())</f>
        <v/>
      </c>
    </row>
    <row r="309">
      <c r="A309" s="19" t="n"/>
      <c r="B309" s="19" t="n"/>
      <c r="C309" s="19" t="n"/>
      <c r="D309" s="21" t="n"/>
      <c r="E309" s="19" t="n"/>
      <c r="F309" s="19" t="n"/>
      <c r="G309" s="22" t="n"/>
      <c r="H309" s="19" t="n"/>
      <c r="I309" s="19" t="n"/>
      <c r="J309" s="19" t="n"/>
      <c r="K309" s="19" t="n"/>
      <c r="L309" s="16">
        <f>IF(A309="","",SUMIF(Movimientos!$B$2:$B$3001,A309,Movimientos!$F$2:$F$3001))</f>
        <v/>
      </c>
      <c r="M309" s="17">
        <f>IF(A309="","",IF(COUNTIF(Movimientos!$B$2:$B$3001,A309)=0,"",_xlfn.MAXIFS(Movimientos!$A$2:$A$3001,Movimientos!$B$2:$B$3001,A309)))</f>
        <v/>
      </c>
      <c r="N309" s="18">
        <f>IF(A309="","",IF(AND(H309="Sí",I309="Sí",K309&lt;&gt;"Sí"),"Sí","No"))</f>
        <v/>
      </c>
      <c r="O309" s="18">
        <f>IF(S309="","",1+COUNTIFS($N$2:$N$501,"Sí",$S$2:$S$501,"&gt;"&amp;S309))</f>
        <v/>
      </c>
      <c r="P309" s="18">
        <f>IF(A309="","",INDEX(Logros!$A$2:$A$6,MATCH(N(L309),Logros!$C$2:$C$6,1)))</f>
        <v/>
      </c>
      <c r="Q309" s="19" t="n"/>
      <c r="R309" s="18">
        <f>IF(OR(A309="",P309=""),"",IF(P309&gt;N(Q309),"Sí: entregar nivel "&amp;(N(Q309)+1)&amp;IF(P309&gt;N(Q309)+1," al "&amp;P309,"")&amp;" (ver Logros)",""))</f>
        <v/>
      </c>
      <c r="S309" s="20">
        <f>IF(OR(A309="",N309&lt;&gt;"Sí",N(L309)&lt;=0),"",(N(L309)*100000-MAX(0,ROUND((N(M309)-DATE(2026,10,1))*1440,0)))*1000-ROW())</f>
        <v/>
      </c>
    </row>
    <row r="310">
      <c r="A310" s="19" t="n"/>
      <c r="B310" s="19" t="n"/>
      <c r="C310" s="19" t="n"/>
      <c r="D310" s="21" t="n"/>
      <c r="E310" s="19" t="n"/>
      <c r="F310" s="19" t="n"/>
      <c r="G310" s="22" t="n"/>
      <c r="H310" s="19" t="n"/>
      <c r="I310" s="19" t="n"/>
      <c r="J310" s="19" t="n"/>
      <c r="K310" s="19" t="n"/>
      <c r="L310" s="16">
        <f>IF(A310="","",SUMIF(Movimientos!$B$2:$B$3001,A310,Movimientos!$F$2:$F$3001))</f>
        <v/>
      </c>
      <c r="M310" s="17">
        <f>IF(A310="","",IF(COUNTIF(Movimientos!$B$2:$B$3001,A310)=0,"",_xlfn.MAXIFS(Movimientos!$A$2:$A$3001,Movimientos!$B$2:$B$3001,A310)))</f>
        <v/>
      </c>
      <c r="N310" s="18">
        <f>IF(A310="","",IF(AND(H310="Sí",I310="Sí",K310&lt;&gt;"Sí"),"Sí","No"))</f>
        <v/>
      </c>
      <c r="O310" s="18">
        <f>IF(S310="","",1+COUNTIFS($N$2:$N$501,"Sí",$S$2:$S$501,"&gt;"&amp;S310))</f>
        <v/>
      </c>
      <c r="P310" s="18">
        <f>IF(A310="","",INDEX(Logros!$A$2:$A$6,MATCH(N(L310),Logros!$C$2:$C$6,1)))</f>
        <v/>
      </c>
      <c r="Q310" s="19" t="n"/>
      <c r="R310" s="18">
        <f>IF(OR(A310="",P310=""),"",IF(P310&gt;N(Q310),"Sí: entregar nivel "&amp;(N(Q310)+1)&amp;IF(P310&gt;N(Q310)+1," al "&amp;P310,"")&amp;" (ver Logros)",""))</f>
        <v/>
      </c>
      <c r="S310" s="20">
        <f>IF(OR(A310="",N310&lt;&gt;"Sí",N(L310)&lt;=0),"",(N(L310)*100000-MAX(0,ROUND((N(M310)-DATE(2026,10,1))*1440,0)))*1000-ROW())</f>
        <v/>
      </c>
    </row>
    <row r="311">
      <c r="A311" s="19" t="n"/>
      <c r="B311" s="19" t="n"/>
      <c r="C311" s="19" t="n"/>
      <c r="D311" s="21" t="n"/>
      <c r="E311" s="19" t="n"/>
      <c r="F311" s="19" t="n"/>
      <c r="G311" s="22" t="n"/>
      <c r="H311" s="19" t="n"/>
      <c r="I311" s="19" t="n"/>
      <c r="J311" s="19" t="n"/>
      <c r="K311" s="19" t="n"/>
      <c r="L311" s="16">
        <f>IF(A311="","",SUMIF(Movimientos!$B$2:$B$3001,A311,Movimientos!$F$2:$F$3001))</f>
        <v/>
      </c>
      <c r="M311" s="17">
        <f>IF(A311="","",IF(COUNTIF(Movimientos!$B$2:$B$3001,A311)=0,"",_xlfn.MAXIFS(Movimientos!$A$2:$A$3001,Movimientos!$B$2:$B$3001,A311)))</f>
        <v/>
      </c>
      <c r="N311" s="18">
        <f>IF(A311="","",IF(AND(H311="Sí",I311="Sí",K311&lt;&gt;"Sí"),"Sí","No"))</f>
        <v/>
      </c>
      <c r="O311" s="18">
        <f>IF(S311="","",1+COUNTIFS($N$2:$N$501,"Sí",$S$2:$S$501,"&gt;"&amp;S311))</f>
        <v/>
      </c>
      <c r="P311" s="18">
        <f>IF(A311="","",INDEX(Logros!$A$2:$A$6,MATCH(N(L311),Logros!$C$2:$C$6,1)))</f>
        <v/>
      </c>
      <c r="Q311" s="19" t="n"/>
      <c r="R311" s="18">
        <f>IF(OR(A311="",P311=""),"",IF(P311&gt;N(Q311),"Sí: entregar nivel "&amp;(N(Q311)+1)&amp;IF(P311&gt;N(Q311)+1," al "&amp;P311,"")&amp;" (ver Logros)",""))</f>
        <v/>
      </c>
      <c r="S311" s="20">
        <f>IF(OR(A311="",N311&lt;&gt;"Sí",N(L311)&lt;=0),"",(N(L311)*100000-MAX(0,ROUND((N(M311)-DATE(2026,10,1))*1440,0)))*1000-ROW())</f>
        <v/>
      </c>
    </row>
    <row r="312">
      <c r="A312" s="19" t="n"/>
      <c r="B312" s="19" t="n"/>
      <c r="C312" s="19" t="n"/>
      <c r="D312" s="21" t="n"/>
      <c r="E312" s="19" t="n"/>
      <c r="F312" s="19" t="n"/>
      <c r="G312" s="22" t="n"/>
      <c r="H312" s="19" t="n"/>
      <c r="I312" s="19" t="n"/>
      <c r="J312" s="19" t="n"/>
      <c r="K312" s="19" t="n"/>
      <c r="L312" s="16">
        <f>IF(A312="","",SUMIF(Movimientos!$B$2:$B$3001,A312,Movimientos!$F$2:$F$3001))</f>
        <v/>
      </c>
      <c r="M312" s="17">
        <f>IF(A312="","",IF(COUNTIF(Movimientos!$B$2:$B$3001,A312)=0,"",_xlfn.MAXIFS(Movimientos!$A$2:$A$3001,Movimientos!$B$2:$B$3001,A312)))</f>
        <v/>
      </c>
      <c r="N312" s="18">
        <f>IF(A312="","",IF(AND(H312="Sí",I312="Sí",K312&lt;&gt;"Sí"),"Sí","No"))</f>
        <v/>
      </c>
      <c r="O312" s="18">
        <f>IF(S312="","",1+COUNTIFS($N$2:$N$501,"Sí",$S$2:$S$501,"&gt;"&amp;S312))</f>
        <v/>
      </c>
      <c r="P312" s="18">
        <f>IF(A312="","",INDEX(Logros!$A$2:$A$6,MATCH(N(L312),Logros!$C$2:$C$6,1)))</f>
        <v/>
      </c>
      <c r="Q312" s="19" t="n"/>
      <c r="R312" s="18">
        <f>IF(OR(A312="",P312=""),"",IF(P312&gt;N(Q312),"Sí: entregar nivel "&amp;(N(Q312)+1)&amp;IF(P312&gt;N(Q312)+1," al "&amp;P312,"")&amp;" (ver Logros)",""))</f>
        <v/>
      </c>
      <c r="S312" s="20">
        <f>IF(OR(A312="",N312&lt;&gt;"Sí",N(L312)&lt;=0),"",(N(L312)*100000-MAX(0,ROUND((N(M312)-DATE(2026,10,1))*1440,0)))*1000-ROW())</f>
        <v/>
      </c>
    </row>
    <row r="313">
      <c r="A313" s="19" t="n"/>
      <c r="B313" s="19" t="n"/>
      <c r="C313" s="19" t="n"/>
      <c r="D313" s="21" t="n"/>
      <c r="E313" s="19" t="n"/>
      <c r="F313" s="19" t="n"/>
      <c r="G313" s="22" t="n"/>
      <c r="H313" s="19" t="n"/>
      <c r="I313" s="19" t="n"/>
      <c r="J313" s="19" t="n"/>
      <c r="K313" s="19" t="n"/>
      <c r="L313" s="16">
        <f>IF(A313="","",SUMIF(Movimientos!$B$2:$B$3001,A313,Movimientos!$F$2:$F$3001))</f>
        <v/>
      </c>
      <c r="M313" s="17">
        <f>IF(A313="","",IF(COUNTIF(Movimientos!$B$2:$B$3001,A313)=0,"",_xlfn.MAXIFS(Movimientos!$A$2:$A$3001,Movimientos!$B$2:$B$3001,A313)))</f>
        <v/>
      </c>
      <c r="N313" s="18">
        <f>IF(A313="","",IF(AND(H313="Sí",I313="Sí",K313&lt;&gt;"Sí"),"Sí","No"))</f>
        <v/>
      </c>
      <c r="O313" s="18">
        <f>IF(S313="","",1+COUNTIFS($N$2:$N$501,"Sí",$S$2:$S$501,"&gt;"&amp;S313))</f>
        <v/>
      </c>
      <c r="P313" s="18">
        <f>IF(A313="","",INDEX(Logros!$A$2:$A$6,MATCH(N(L313),Logros!$C$2:$C$6,1)))</f>
        <v/>
      </c>
      <c r="Q313" s="19" t="n"/>
      <c r="R313" s="18">
        <f>IF(OR(A313="",P313=""),"",IF(P313&gt;N(Q313),"Sí: entregar nivel "&amp;(N(Q313)+1)&amp;IF(P313&gt;N(Q313)+1," al "&amp;P313,"")&amp;" (ver Logros)",""))</f>
        <v/>
      </c>
      <c r="S313" s="20">
        <f>IF(OR(A313="",N313&lt;&gt;"Sí",N(L313)&lt;=0),"",(N(L313)*100000-MAX(0,ROUND((N(M313)-DATE(2026,10,1))*1440,0)))*1000-ROW())</f>
        <v/>
      </c>
    </row>
    <row r="314">
      <c r="A314" s="19" t="n"/>
      <c r="B314" s="19" t="n"/>
      <c r="C314" s="19" t="n"/>
      <c r="D314" s="21" t="n"/>
      <c r="E314" s="19" t="n"/>
      <c r="F314" s="19" t="n"/>
      <c r="G314" s="22" t="n"/>
      <c r="H314" s="19" t="n"/>
      <c r="I314" s="19" t="n"/>
      <c r="J314" s="19" t="n"/>
      <c r="K314" s="19" t="n"/>
      <c r="L314" s="16">
        <f>IF(A314="","",SUMIF(Movimientos!$B$2:$B$3001,A314,Movimientos!$F$2:$F$3001))</f>
        <v/>
      </c>
      <c r="M314" s="17">
        <f>IF(A314="","",IF(COUNTIF(Movimientos!$B$2:$B$3001,A314)=0,"",_xlfn.MAXIFS(Movimientos!$A$2:$A$3001,Movimientos!$B$2:$B$3001,A314)))</f>
        <v/>
      </c>
      <c r="N314" s="18">
        <f>IF(A314="","",IF(AND(H314="Sí",I314="Sí",K314&lt;&gt;"Sí"),"Sí","No"))</f>
        <v/>
      </c>
      <c r="O314" s="18">
        <f>IF(S314="","",1+COUNTIFS($N$2:$N$501,"Sí",$S$2:$S$501,"&gt;"&amp;S314))</f>
        <v/>
      </c>
      <c r="P314" s="18">
        <f>IF(A314="","",INDEX(Logros!$A$2:$A$6,MATCH(N(L314),Logros!$C$2:$C$6,1)))</f>
        <v/>
      </c>
      <c r="Q314" s="19" t="n"/>
      <c r="R314" s="18">
        <f>IF(OR(A314="",P314=""),"",IF(P314&gt;N(Q314),"Sí: entregar nivel "&amp;(N(Q314)+1)&amp;IF(P314&gt;N(Q314)+1," al "&amp;P314,"")&amp;" (ver Logros)",""))</f>
        <v/>
      </c>
      <c r="S314" s="20">
        <f>IF(OR(A314="",N314&lt;&gt;"Sí",N(L314)&lt;=0),"",(N(L314)*100000-MAX(0,ROUND((N(M314)-DATE(2026,10,1))*1440,0)))*1000-ROW())</f>
        <v/>
      </c>
    </row>
    <row r="315">
      <c r="A315" s="19" t="n"/>
      <c r="B315" s="19" t="n"/>
      <c r="C315" s="19" t="n"/>
      <c r="D315" s="21" t="n"/>
      <c r="E315" s="19" t="n"/>
      <c r="F315" s="19" t="n"/>
      <c r="G315" s="22" t="n"/>
      <c r="H315" s="19" t="n"/>
      <c r="I315" s="19" t="n"/>
      <c r="J315" s="19" t="n"/>
      <c r="K315" s="19" t="n"/>
      <c r="L315" s="16">
        <f>IF(A315="","",SUMIF(Movimientos!$B$2:$B$3001,A315,Movimientos!$F$2:$F$3001))</f>
        <v/>
      </c>
      <c r="M315" s="17">
        <f>IF(A315="","",IF(COUNTIF(Movimientos!$B$2:$B$3001,A315)=0,"",_xlfn.MAXIFS(Movimientos!$A$2:$A$3001,Movimientos!$B$2:$B$3001,A315)))</f>
        <v/>
      </c>
      <c r="N315" s="18">
        <f>IF(A315="","",IF(AND(H315="Sí",I315="Sí",K315&lt;&gt;"Sí"),"Sí","No"))</f>
        <v/>
      </c>
      <c r="O315" s="18">
        <f>IF(S315="","",1+COUNTIFS($N$2:$N$501,"Sí",$S$2:$S$501,"&gt;"&amp;S315))</f>
        <v/>
      </c>
      <c r="P315" s="18">
        <f>IF(A315="","",INDEX(Logros!$A$2:$A$6,MATCH(N(L315),Logros!$C$2:$C$6,1)))</f>
        <v/>
      </c>
      <c r="Q315" s="19" t="n"/>
      <c r="R315" s="18">
        <f>IF(OR(A315="",P315=""),"",IF(P315&gt;N(Q315),"Sí: entregar nivel "&amp;(N(Q315)+1)&amp;IF(P315&gt;N(Q315)+1," al "&amp;P315,"")&amp;" (ver Logros)",""))</f>
        <v/>
      </c>
      <c r="S315" s="20">
        <f>IF(OR(A315="",N315&lt;&gt;"Sí",N(L315)&lt;=0),"",(N(L315)*100000-MAX(0,ROUND((N(M315)-DATE(2026,10,1))*1440,0)))*1000-ROW())</f>
        <v/>
      </c>
    </row>
    <row r="316">
      <c r="A316" s="19" t="n"/>
      <c r="B316" s="19" t="n"/>
      <c r="C316" s="19" t="n"/>
      <c r="D316" s="21" t="n"/>
      <c r="E316" s="19" t="n"/>
      <c r="F316" s="19" t="n"/>
      <c r="G316" s="22" t="n"/>
      <c r="H316" s="19" t="n"/>
      <c r="I316" s="19" t="n"/>
      <c r="J316" s="19" t="n"/>
      <c r="K316" s="19" t="n"/>
      <c r="L316" s="16">
        <f>IF(A316="","",SUMIF(Movimientos!$B$2:$B$3001,A316,Movimientos!$F$2:$F$3001))</f>
        <v/>
      </c>
      <c r="M316" s="17">
        <f>IF(A316="","",IF(COUNTIF(Movimientos!$B$2:$B$3001,A316)=0,"",_xlfn.MAXIFS(Movimientos!$A$2:$A$3001,Movimientos!$B$2:$B$3001,A316)))</f>
        <v/>
      </c>
      <c r="N316" s="18">
        <f>IF(A316="","",IF(AND(H316="Sí",I316="Sí",K316&lt;&gt;"Sí"),"Sí","No"))</f>
        <v/>
      </c>
      <c r="O316" s="18">
        <f>IF(S316="","",1+COUNTIFS($N$2:$N$501,"Sí",$S$2:$S$501,"&gt;"&amp;S316))</f>
        <v/>
      </c>
      <c r="P316" s="18">
        <f>IF(A316="","",INDEX(Logros!$A$2:$A$6,MATCH(N(L316),Logros!$C$2:$C$6,1)))</f>
        <v/>
      </c>
      <c r="Q316" s="19" t="n"/>
      <c r="R316" s="18">
        <f>IF(OR(A316="",P316=""),"",IF(P316&gt;N(Q316),"Sí: entregar nivel "&amp;(N(Q316)+1)&amp;IF(P316&gt;N(Q316)+1," al "&amp;P316,"")&amp;" (ver Logros)",""))</f>
        <v/>
      </c>
      <c r="S316" s="20">
        <f>IF(OR(A316="",N316&lt;&gt;"Sí",N(L316)&lt;=0),"",(N(L316)*100000-MAX(0,ROUND((N(M316)-DATE(2026,10,1))*1440,0)))*1000-ROW())</f>
        <v/>
      </c>
    </row>
    <row r="317">
      <c r="A317" s="19" t="n"/>
      <c r="B317" s="19" t="n"/>
      <c r="C317" s="19" t="n"/>
      <c r="D317" s="21" t="n"/>
      <c r="E317" s="19" t="n"/>
      <c r="F317" s="19" t="n"/>
      <c r="G317" s="22" t="n"/>
      <c r="H317" s="19" t="n"/>
      <c r="I317" s="19" t="n"/>
      <c r="J317" s="19" t="n"/>
      <c r="K317" s="19" t="n"/>
      <c r="L317" s="16">
        <f>IF(A317="","",SUMIF(Movimientos!$B$2:$B$3001,A317,Movimientos!$F$2:$F$3001))</f>
        <v/>
      </c>
      <c r="M317" s="17">
        <f>IF(A317="","",IF(COUNTIF(Movimientos!$B$2:$B$3001,A317)=0,"",_xlfn.MAXIFS(Movimientos!$A$2:$A$3001,Movimientos!$B$2:$B$3001,A317)))</f>
        <v/>
      </c>
      <c r="N317" s="18">
        <f>IF(A317="","",IF(AND(H317="Sí",I317="Sí",K317&lt;&gt;"Sí"),"Sí","No"))</f>
        <v/>
      </c>
      <c r="O317" s="18">
        <f>IF(S317="","",1+COUNTIFS($N$2:$N$501,"Sí",$S$2:$S$501,"&gt;"&amp;S317))</f>
        <v/>
      </c>
      <c r="P317" s="18">
        <f>IF(A317="","",INDEX(Logros!$A$2:$A$6,MATCH(N(L317),Logros!$C$2:$C$6,1)))</f>
        <v/>
      </c>
      <c r="Q317" s="19" t="n"/>
      <c r="R317" s="18">
        <f>IF(OR(A317="",P317=""),"",IF(P317&gt;N(Q317),"Sí: entregar nivel "&amp;(N(Q317)+1)&amp;IF(P317&gt;N(Q317)+1," al "&amp;P317,"")&amp;" (ver Logros)",""))</f>
        <v/>
      </c>
      <c r="S317" s="20">
        <f>IF(OR(A317="",N317&lt;&gt;"Sí",N(L317)&lt;=0),"",(N(L317)*100000-MAX(0,ROUND((N(M317)-DATE(2026,10,1))*1440,0)))*1000-ROW())</f>
        <v/>
      </c>
    </row>
    <row r="318">
      <c r="A318" s="19" t="n"/>
      <c r="B318" s="19" t="n"/>
      <c r="C318" s="19" t="n"/>
      <c r="D318" s="21" t="n"/>
      <c r="E318" s="19" t="n"/>
      <c r="F318" s="19" t="n"/>
      <c r="G318" s="22" t="n"/>
      <c r="H318" s="19" t="n"/>
      <c r="I318" s="19" t="n"/>
      <c r="J318" s="19" t="n"/>
      <c r="K318" s="19" t="n"/>
      <c r="L318" s="16">
        <f>IF(A318="","",SUMIF(Movimientos!$B$2:$B$3001,A318,Movimientos!$F$2:$F$3001))</f>
        <v/>
      </c>
      <c r="M318" s="17">
        <f>IF(A318="","",IF(COUNTIF(Movimientos!$B$2:$B$3001,A318)=0,"",_xlfn.MAXIFS(Movimientos!$A$2:$A$3001,Movimientos!$B$2:$B$3001,A318)))</f>
        <v/>
      </c>
      <c r="N318" s="18">
        <f>IF(A318="","",IF(AND(H318="Sí",I318="Sí",K318&lt;&gt;"Sí"),"Sí","No"))</f>
        <v/>
      </c>
      <c r="O318" s="18">
        <f>IF(S318="","",1+COUNTIFS($N$2:$N$501,"Sí",$S$2:$S$501,"&gt;"&amp;S318))</f>
        <v/>
      </c>
      <c r="P318" s="18">
        <f>IF(A318="","",INDEX(Logros!$A$2:$A$6,MATCH(N(L318),Logros!$C$2:$C$6,1)))</f>
        <v/>
      </c>
      <c r="Q318" s="19" t="n"/>
      <c r="R318" s="18">
        <f>IF(OR(A318="",P318=""),"",IF(P318&gt;N(Q318),"Sí: entregar nivel "&amp;(N(Q318)+1)&amp;IF(P318&gt;N(Q318)+1," al "&amp;P318,"")&amp;" (ver Logros)",""))</f>
        <v/>
      </c>
      <c r="S318" s="20">
        <f>IF(OR(A318="",N318&lt;&gt;"Sí",N(L318)&lt;=0),"",(N(L318)*100000-MAX(0,ROUND((N(M318)-DATE(2026,10,1))*1440,0)))*1000-ROW())</f>
        <v/>
      </c>
    </row>
    <row r="319">
      <c r="A319" s="19" t="n"/>
      <c r="B319" s="19" t="n"/>
      <c r="C319" s="19" t="n"/>
      <c r="D319" s="21" t="n"/>
      <c r="E319" s="19" t="n"/>
      <c r="F319" s="19" t="n"/>
      <c r="G319" s="22" t="n"/>
      <c r="H319" s="19" t="n"/>
      <c r="I319" s="19" t="n"/>
      <c r="J319" s="19" t="n"/>
      <c r="K319" s="19" t="n"/>
      <c r="L319" s="16">
        <f>IF(A319="","",SUMIF(Movimientos!$B$2:$B$3001,A319,Movimientos!$F$2:$F$3001))</f>
        <v/>
      </c>
      <c r="M319" s="17">
        <f>IF(A319="","",IF(COUNTIF(Movimientos!$B$2:$B$3001,A319)=0,"",_xlfn.MAXIFS(Movimientos!$A$2:$A$3001,Movimientos!$B$2:$B$3001,A319)))</f>
        <v/>
      </c>
      <c r="N319" s="18">
        <f>IF(A319="","",IF(AND(H319="Sí",I319="Sí",K319&lt;&gt;"Sí"),"Sí","No"))</f>
        <v/>
      </c>
      <c r="O319" s="18">
        <f>IF(S319="","",1+COUNTIFS($N$2:$N$501,"Sí",$S$2:$S$501,"&gt;"&amp;S319))</f>
        <v/>
      </c>
      <c r="P319" s="18">
        <f>IF(A319="","",INDEX(Logros!$A$2:$A$6,MATCH(N(L319),Logros!$C$2:$C$6,1)))</f>
        <v/>
      </c>
      <c r="Q319" s="19" t="n"/>
      <c r="R319" s="18">
        <f>IF(OR(A319="",P319=""),"",IF(P319&gt;N(Q319),"Sí: entregar nivel "&amp;(N(Q319)+1)&amp;IF(P319&gt;N(Q319)+1," al "&amp;P319,"")&amp;" (ver Logros)",""))</f>
        <v/>
      </c>
      <c r="S319" s="20">
        <f>IF(OR(A319="",N319&lt;&gt;"Sí",N(L319)&lt;=0),"",(N(L319)*100000-MAX(0,ROUND((N(M319)-DATE(2026,10,1))*1440,0)))*1000-ROW())</f>
        <v/>
      </c>
    </row>
    <row r="320">
      <c r="A320" s="19" t="n"/>
      <c r="B320" s="19" t="n"/>
      <c r="C320" s="19" t="n"/>
      <c r="D320" s="21" t="n"/>
      <c r="E320" s="19" t="n"/>
      <c r="F320" s="19" t="n"/>
      <c r="G320" s="22" t="n"/>
      <c r="H320" s="19" t="n"/>
      <c r="I320" s="19" t="n"/>
      <c r="J320" s="19" t="n"/>
      <c r="K320" s="19" t="n"/>
      <c r="L320" s="16">
        <f>IF(A320="","",SUMIF(Movimientos!$B$2:$B$3001,A320,Movimientos!$F$2:$F$3001))</f>
        <v/>
      </c>
      <c r="M320" s="17">
        <f>IF(A320="","",IF(COUNTIF(Movimientos!$B$2:$B$3001,A320)=0,"",_xlfn.MAXIFS(Movimientos!$A$2:$A$3001,Movimientos!$B$2:$B$3001,A320)))</f>
        <v/>
      </c>
      <c r="N320" s="18">
        <f>IF(A320="","",IF(AND(H320="Sí",I320="Sí",K320&lt;&gt;"Sí"),"Sí","No"))</f>
        <v/>
      </c>
      <c r="O320" s="18">
        <f>IF(S320="","",1+COUNTIFS($N$2:$N$501,"Sí",$S$2:$S$501,"&gt;"&amp;S320))</f>
        <v/>
      </c>
      <c r="P320" s="18">
        <f>IF(A320="","",INDEX(Logros!$A$2:$A$6,MATCH(N(L320),Logros!$C$2:$C$6,1)))</f>
        <v/>
      </c>
      <c r="Q320" s="19" t="n"/>
      <c r="R320" s="18">
        <f>IF(OR(A320="",P320=""),"",IF(P320&gt;N(Q320),"Sí: entregar nivel "&amp;(N(Q320)+1)&amp;IF(P320&gt;N(Q320)+1," al "&amp;P320,"")&amp;" (ver Logros)",""))</f>
        <v/>
      </c>
      <c r="S320" s="20">
        <f>IF(OR(A320="",N320&lt;&gt;"Sí",N(L320)&lt;=0),"",(N(L320)*100000-MAX(0,ROUND((N(M320)-DATE(2026,10,1))*1440,0)))*1000-ROW())</f>
        <v/>
      </c>
    </row>
    <row r="321">
      <c r="A321" s="19" t="n"/>
      <c r="B321" s="19" t="n"/>
      <c r="C321" s="19" t="n"/>
      <c r="D321" s="21" t="n"/>
      <c r="E321" s="19" t="n"/>
      <c r="F321" s="19" t="n"/>
      <c r="G321" s="22" t="n"/>
      <c r="H321" s="19" t="n"/>
      <c r="I321" s="19" t="n"/>
      <c r="J321" s="19" t="n"/>
      <c r="K321" s="19" t="n"/>
      <c r="L321" s="16">
        <f>IF(A321="","",SUMIF(Movimientos!$B$2:$B$3001,A321,Movimientos!$F$2:$F$3001))</f>
        <v/>
      </c>
      <c r="M321" s="17">
        <f>IF(A321="","",IF(COUNTIF(Movimientos!$B$2:$B$3001,A321)=0,"",_xlfn.MAXIFS(Movimientos!$A$2:$A$3001,Movimientos!$B$2:$B$3001,A321)))</f>
        <v/>
      </c>
      <c r="N321" s="18">
        <f>IF(A321="","",IF(AND(H321="Sí",I321="Sí",K321&lt;&gt;"Sí"),"Sí","No"))</f>
        <v/>
      </c>
      <c r="O321" s="18">
        <f>IF(S321="","",1+COUNTIFS($N$2:$N$501,"Sí",$S$2:$S$501,"&gt;"&amp;S321))</f>
        <v/>
      </c>
      <c r="P321" s="18">
        <f>IF(A321="","",INDEX(Logros!$A$2:$A$6,MATCH(N(L321),Logros!$C$2:$C$6,1)))</f>
        <v/>
      </c>
      <c r="Q321" s="19" t="n"/>
      <c r="R321" s="18">
        <f>IF(OR(A321="",P321=""),"",IF(P321&gt;N(Q321),"Sí: entregar nivel "&amp;(N(Q321)+1)&amp;IF(P321&gt;N(Q321)+1," al "&amp;P321,"")&amp;" (ver Logros)",""))</f>
        <v/>
      </c>
      <c r="S321" s="20">
        <f>IF(OR(A321="",N321&lt;&gt;"Sí",N(L321)&lt;=0),"",(N(L321)*100000-MAX(0,ROUND((N(M321)-DATE(2026,10,1))*1440,0)))*1000-ROW())</f>
        <v/>
      </c>
    </row>
    <row r="322">
      <c r="A322" s="19" t="n"/>
      <c r="B322" s="19" t="n"/>
      <c r="C322" s="19" t="n"/>
      <c r="D322" s="21" t="n"/>
      <c r="E322" s="19" t="n"/>
      <c r="F322" s="19" t="n"/>
      <c r="G322" s="22" t="n"/>
      <c r="H322" s="19" t="n"/>
      <c r="I322" s="19" t="n"/>
      <c r="J322" s="19" t="n"/>
      <c r="K322" s="19" t="n"/>
      <c r="L322" s="16">
        <f>IF(A322="","",SUMIF(Movimientos!$B$2:$B$3001,A322,Movimientos!$F$2:$F$3001))</f>
        <v/>
      </c>
      <c r="M322" s="17">
        <f>IF(A322="","",IF(COUNTIF(Movimientos!$B$2:$B$3001,A322)=0,"",_xlfn.MAXIFS(Movimientos!$A$2:$A$3001,Movimientos!$B$2:$B$3001,A322)))</f>
        <v/>
      </c>
      <c r="N322" s="18">
        <f>IF(A322="","",IF(AND(H322="Sí",I322="Sí",K322&lt;&gt;"Sí"),"Sí","No"))</f>
        <v/>
      </c>
      <c r="O322" s="18">
        <f>IF(S322="","",1+COUNTIFS($N$2:$N$501,"Sí",$S$2:$S$501,"&gt;"&amp;S322))</f>
        <v/>
      </c>
      <c r="P322" s="18">
        <f>IF(A322="","",INDEX(Logros!$A$2:$A$6,MATCH(N(L322),Logros!$C$2:$C$6,1)))</f>
        <v/>
      </c>
      <c r="Q322" s="19" t="n"/>
      <c r="R322" s="18">
        <f>IF(OR(A322="",P322=""),"",IF(P322&gt;N(Q322),"Sí: entregar nivel "&amp;(N(Q322)+1)&amp;IF(P322&gt;N(Q322)+1," al "&amp;P322,"")&amp;" (ver Logros)",""))</f>
        <v/>
      </c>
      <c r="S322" s="20">
        <f>IF(OR(A322="",N322&lt;&gt;"Sí",N(L322)&lt;=0),"",(N(L322)*100000-MAX(0,ROUND((N(M322)-DATE(2026,10,1))*1440,0)))*1000-ROW())</f>
        <v/>
      </c>
    </row>
    <row r="323">
      <c r="A323" s="19" t="n"/>
      <c r="B323" s="19" t="n"/>
      <c r="C323" s="19" t="n"/>
      <c r="D323" s="21" t="n"/>
      <c r="E323" s="19" t="n"/>
      <c r="F323" s="19" t="n"/>
      <c r="G323" s="22" t="n"/>
      <c r="H323" s="19" t="n"/>
      <c r="I323" s="19" t="n"/>
      <c r="J323" s="19" t="n"/>
      <c r="K323" s="19" t="n"/>
      <c r="L323" s="16">
        <f>IF(A323="","",SUMIF(Movimientos!$B$2:$B$3001,A323,Movimientos!$F$2:$F$3001))</f>
        <v/>
      </c>
      <c r="M323" s="17">
        <f>IF(A323="","",IF(COUNTIF(Movimientos!$B$2:$B$3001,A323)=0,"",_xlfn.MAXIFS(Movimientos!$A$2:$A$3001,Movimientos!$B$2:$B$3001,A323)))</f>
        <v/>
      </c>
      <c r="N323" s="18">
        <f>IF(A323="","",IF(AND(H323="Sí",I323="Sí",K323&lt;&gt;"Sí"),"Sí","No"))</f>
        <v/>
      </c>
      <c r="O323" s="18">
        <f>IF(S323="","",1+COUNTIFS($N$2:$N$501,"Sí",$S$2:$S$501,"&gt;"&amp;S323))</f>
        <v/>
      </c>
      <c r="P323" s="18">
        <f>IF(A323="","",INDEX(Logros!$A$2:$A$6,MATCH(N(L323),Logros!$C$2:$C$6,1)))</f>
        <v/>
      </c>
      <c r="Q323" s="19" t="n"/>
      <c r="R323" s="18">
        <f>IF(OR(A323="",P323=""),"",IF(P323&gt;N(Q323),"Sí: entregar nivel "&amp;(N(Q323)+1)&amp;IF(P323&gt;N(Q323)+1," al "&amp;P323,"")&amp;" (ver Logros)",""))</f>
        <v/>
      </c>
      <c r="S323" s="20">
        <f>IF(OR(A323="",N323&lt;&gt;"Sí",N(L323)&lt;=0),"",(N(L323)*100000-MAX(0,ROUND((N(M323)-DATE(2026,10,1))*1440,0)))*1000-ROW())</f>
        <v/>
      </c>
    </row>
    <row r="324">
      <c r="A324" s="19" t="n"/>
      <c r="B324" s="19" t="n"/>
      <c r="C324" s="19" t="n"/>
      <c r="D324" s="21" t="n"/>
      <c r="E324" s="19" t="n"/>
      <c r="F324" s="19" t="n"/>
      <c r="G324" s="22" t="n"/>
      <c r="H324" s="19" t="n"/>
      <c r="I324" s="19" t="n"/>
      <c r="J324" s="19" t="n"/>
      <c r="K324" s="19" t="n"/>
      <c r="L324" s="16">
        <f>IF(A324="","",SUMIF(Movimientos!$B$2:$B$3001,A324,Movimientos!$F$2:$F$3001))</f>
        <v/>
      </c>
      <c r="M324" s="17">
        <f>IF(A324="","",IF(COUNTIF(Movimientos!$B$2:$B$3001,A324)=0,"",_xlfn.MAXIFS(Movimientos!$A$2:$A$3001,Movimientos!$B$2:$B$3001,A324)))</f>
        <v/>
      </c>
      <c r="N324" s="18">
        <f>IF(A324="","",IF(AND(H324="Sí",I324="Sí",K324&lt;&gt;"Sí"),"Sí","No"))</f>
        <v/>
      </c>
      <c r="O324" s="18">
        <f>IF(S324="","",1+COUNTIFS($N$2:$N$501,"Sí",$S$2:$S$501,"&gt;"&amp;S324))</f>
        <v/>
      </c>
      <c r="P324" s="18">
        <f>IF(A324="","",INDEX(Logros!$A$2:$A$6,MATCH(N(L324),Logros!$C$2:$C$6,1)))</f>
        <v/>
      </c>
      <c r="Q324" s="19" t="n"/>
      <c r="R324" s="18">
        <f>IF(OR(A324="",P324=""),"",IF(P324&gt;N(Q324),"Sí: entregar nivel "&amp;(N(Q324)+1)&amp;IF(P324&gt;N(Q324)+1," al "&amp;P324,"")&amp;" (ver Logros)",""))</f>
        <v/>
      </c>
      <c r="S324" s="20">
        <f>IF(OR(A324="",N324&lt;&gt;"Sí",N(L324)&lt;=0),"",(N(L324)*100000-MAX(0,ROUND((N(M324)-DATE(2026,10,1))*1440,0)))*1000-ROW())</f>
        <v/>
      </c>
    </row>
    <row r="325">
      <c r="A325" s="19" t="n"/>
      <c r="B325" s="19" t="n"/>
      <c r="C325" s="19" t="n"/>
      <c r="D325" s="21" t="n"/>
      <c r="E325" s="19" t="n"/>
      <c r="F325" s="19" t="n"/>
      <c r="G325" s="22" t="n"/>
      <c r="H325" s="19" t="n"/>
      <c r="I325" s="19" t="n"/>
      <c r="J325" s="19" t="n"/>
      <c r="K325" s="19" t="n"/>
      <c r="L325" s="16">
        <f>IF(A325="","",SUMIF(Movimientos!$B$2:$B$3001,A325,Movimientos!$F$2:$F$3001))</f>
        <v/>
      </c>
      <c r="M325" s="17">
        <f>IF(A325="","",IF(COUNTIF(Movimientos!$B$2:$B$3001,A325)=0,"",_xlfn.MAXIFS(Movimientos!$A$2:$A$3001,Movimientos!$B$2:$B$3001,A325)))</f>
        <v/>
      </c>
      <c r="N325" s="18">
        <f>IF(A325="","",IF(AND(H325="Sí",I325="Sí",K325&lt;&gt;"Sí"),"Sí","No"))</f>
        <v/>
      </c>
      <c r="O325" s="18">
        <f>IF(S325="","",1+COUNTIFS($N$2:$N$501,"Sí",$S$2:$S$501,"&gt;"&amp;S325))</f>
        <v/>
      </c>
      <c r="P325" s="18">
        <f>IF(A325="","",INDEX(Logros!$A$2:$A$6,MATCH(N(L325),Logros!$C$2:$C$6,1)))</f>
        <v/>
      </c>
      <c r="Q325" s="19" t="n"/>
      <c r="R325" s="18">
        <f>IF(OR(A325="",P325=""),"",IF(P325&gt;N(Q325),"Sí: entregar nivel "&amp;(N(Q325)+1)&amp;IF(P325&gt;N(Q325)+1," al "&amp;P325,"")&amp;" (ver Logros)",""))</f>
        <v/>
      </c>
      <c r="S325" s="20">
        <f>IF(OR(A325="",N325&lt;&gt;"Sí",N(L325)&lt;=0),"",(N(L325)*100000-MAX(0,ROUND((N(M325)-DATE(2026,10,1))*1440,0)))*1000-ROW())</f>
        <v/>
      </c>
    </row>
    <row r="326">
      <c r="A326" s="19" t="n"/>
      <c r="B326" s="19" t="n"/>
      <c r="C326" s="19" t="n"/>
      <c r="D326" s="21" t="n"/>
      <c r="E326" s="19" t="n"/>
      <c r="F326" s="19" t="n"/>
      <c r="G326" s="22" t="n"/>
      <c r="H326" s="19" t="n"/>
      <c r="I326" s="19" t="n"/>
      <c r="J326" s="19" t="n"/>
      <c r="K326" s="19" t="n"/>
      <c r="L326" s="16">
        <f>IF(A326="","",SUMIF(Movimientos!$B$2:$B$3001,A326,Movimientos!$F$2:$F$3001))</f>
        <v/>
      </c>
      <c r="M326" s="17">
        <f>IF(A326="","",IF(COUNTIF(Movimientos!$B$2:$B$3001,A326)=0,"",_xlfn.MAXIFS(Movimientos!$A$2:$A$3001,Movimientos!$B$2:$B$3001,A326)))</f>
        <v/>
      </c>
      <c r="N326" s="18">
        <f>IF(A326="","",IF(AND(H326="Sí",I326="Sí",K326&lt;&gt;"Sí"),"Sí","No"))</f>
        <v/>
      </c>
      <c r="O326" s="18">
        <f>IF(S326="","",1+COUNTIFS($N$2:$N$501,"Sí",$S$2:$S$501,"&gt;"&amp;S326))</f>
        <v/>
      </c>
      <c r="P326" s="18">
        <f>IF(A326="","",INDEX(Logros!$A$2:$A$6,MATCH(N(L326),Logros!$C$2:$C$6,1)))</f>
        <v/>
      </c>
      <c r="Q326" s="19" t="n"/>
      <c r="R326" s="18">
        <f>IF(OR(A326="",P326=""),"",IF(P326&gt;N(Q326),"Sí: entregar nivel "&amp;(N(Q326)+1)&amp;IF(P326&gt;N(Q326)+1," al "&amp;P326,"")&amp;" (ver Logros)",""))</f>
        <v/>
      </c>
      <c r="S326" s="20">
        <f>IF(OR(A326="",N326&lt;&gt;"Sí",N(L326)&lt;=0),"",(N(L326)*100000-MAX(0,ROUND((N(M326)-DATE(2026,10,1))*1440,0)))*1000-ROW())</f>
        <v/>
      </c>
    </row>
    <row r="327">
      <c r="A327" s="19" t="n"/>
      <c r="B327" s="19" t="n"/>
      <c r="C327" s="19" t="n"/>
      <c r="D327" s="21" t="n"/>
      <c r="E327" s="19" t="n"/>
      <c r="F327" s="19" t="n"/>
      <c r="G327" s="22" t="n"/>
      <c r="H327" s="19" t="n"/>
      <c r="I327" s="19" t="n"/>
      <c r="J327" s="19" t="n"/>
      <c r="K327" s="19" t="n"/>
      <c r="L327" s="16">
        <f>IF(A327="","",SUMIF(Movimientos!$B$2:$B$3001,A327,Movimientos!$F$2:$F$3001))</f>
        <v/>
      </c>
      <c r="M327" s="17">
        <f>IF(A327="","",IF(COUNTIF(Movimientos!$B$2:$B$3001,A327)=0,"",_xlfn.MAXIFS(Movimientos!$A$2:$A$3001,Movimientos!$B$2:$B$3001,A327)))</f>
        <v/>
      </c>
      <c r="N327" s="18">
        <f>IF(A327="","",IF(AND(H327="Sí",I327="Sí",K327&lt;&gt;"Sí"),"Sí","No"))</f>
        <v/>
      </c>
      <c r="O327" s="18">
        <f>IF(S327="","",1+COUNTIFS($N$2:$N$501,"Sí",$S$2:$S$501,"&gt;"&amp;S327))</f>
        <v/>
      </c>
      <c r="P327" s="18">
        <f>IF(A327="","",INDEX(Logros!$A$2:$A$6,MATCH(N(L327),Logros!$C$2:$C$6,1)))</f>
        <v/>
      </c>
      <c r="Q327" s="19" t="n"/>
      <c r="R327" s="18">
        <f>IF(OR(A327="",P327=""),"",IF(P327&gt;N(Q327),"Sí: entregar nivel "&amp;(N(Q327)+1)&amp;IF(P327&gt;N(Q327)+1," al "&amp;P327,"")&amp;" (ver Logros)",""))</f>
        <v/>
      </c>
      <c r="S327" s="20">
        <f>IF(OR(A327="",N327&lt;&gt;"Sí",N(L327)&lt;=0),"",(N(L327)*100000-MAX(0,ROUND((N(M327)-DATE(2026,10,1))*1440,0)))*1000-ROW())</f>
        <v/>
      </c>
    </row>
    <row r="328">
      <c r="A328" s="19" t="n"/>
      <c r="B328" s="19" t="n"/>
      <c r="C328" s="19" t="n"/>
      <c r="D328" s="21" t="n"/>
      <c r="E328" s="19" t="n"/>
      <c r="F328" s="19" t="n"/>
      <c r="G328" s="22" t="n"/>
      <c r="H328" s="19" t="n"/>
      <c r="I328" s="19" t="n"/>
      <c r="J328" s="19" t="n"/>
      <c r="K328" s="19" t="n"/>
      <c r="L328" s="16">
        <f>IF(A328="","",SUMIF(Movimientos!$B$2:$B$3001,A328,Movimientos!$F$2:$F$3001))</f>
        <v/>
      </c>
      <c r="M328" s="17">
        <f>IF(A328="","",IF(COUNTIF(Movimientos!$B$2:$B$3001,A328)=0,"",_xlfn.MAXIFS(Movimientos!$A$2:$A$3001,Movimientos!$B$2:$B$3001,A328)))</f>
        <v/>
      </c>
      <c r="N328" s="18">
        <f>IF(A328="","",IF(AND(H328="Sí",I328="Sí",K328&lt;&gt;"Sí"),"Sí","No"))</f>
        <v/>
      </c>
      <c r="O328" s="18">
        <f>IF(S328="","",1+COUNTIFS($N$2:$N$501,"Sí",$S$2:$S$501,"&gt;"&amp;S328))</f>
        <v/>
      </c>
      <c r="P328" s="18">
        <f>IF(A328="","",INDEX(Logros!$A$2:$A$6,MATCH(N(L328),Logros!$C$2:$C$6,1)))</f>
        <v/>
      </c>
      <c r="Q328" s="19" t="n"/>
      <c r="R328" s="18">
        <f>IF(OR(A328="",P328=""),"",IF(P328&gt;N(Q328),"Sí: entregar nivel "&amp;(N(Q328)+1)&amp;IF(P328&gt;N(Q328)+1," al "&amp;P328,"")&amp;" (ver Logros)",""))</f>
        <v/>
      </c>
      <c r="S328" s="20">
        <f>IF(OR(A328="",N328&lt;&gt;"Sí",N(L328)&lt;=0),"",(N(L328)*100000-MAX(0,ROUND((N(M328)-DATE(2026,10,1))*1440,0)))*1000-ROW())</f>
        <v/>
      </c>
    </row>
    <row r="329">
      <c r="A329" s="19" t="n"/>
      <c r="B329" s="19" t="n"/>
      <c r="C329" s="19" t="n"/>
      <c r="D329" s="21" t="n"/>
      <c r="E329" s="19" t="n"/>
      <c r="F329" s="19" t="n"/>
      <c r="G329" s="22" t="n"/>
      <c r="H329" s="19" t="n"/>
      <c r="I329" s="19" t="n"/>
      <c r="J329" s="19" t="n"/>
      <c r="K329" s="19" t="n"/>
      <c r="L329" s="16">
        <f>IF(A329="","",SUMIF(Movimientos!$B$2:$B$3001,A329,Movimientos!$F$2:$F$3001))</f>
        <v/>
      </c>
      <c r="M329" s="17">
        <f>IF(A329="","",IF(COUNTIF(Movimientos!$B$2:$B$3001,A329)=0,"",_xlfn.MAXIFS(Movimientos!$A$2:$A$3001,Movimientos!$B$2:$B$3001,A329)))</f>
        <v/>
      </c>
      <c r="N329" s="18">
        <f>IF(A329="","",IF(AND(H329="Sí",I329="Sí",K329&lt;&gt;"Sí"),"Sí","No"))</f>
        <v/>
      </c>
      <c r="O329" s="18">
        <f>IF(S329="","",1+COUNTIFS($N$2:$N$501,"Sí",$S$2:$S$501,"&gt;"&amp;S329))</f>
        <v/>
      </c>
      <c r="P329" s="18">
        <f>IF(A329="","",INDEX(Logros!$A$2:$A$6,MATCH(N(L329),Logros!$C$2:$C$6,1)))</f>
        <v/>
      </c>
      <c r="Q329" s="19" t="n"/>
      <c r="R329" s="18">
        <f>IF(OR(A329="",P329=""),"",IF(P329&gt;N(Q329),"Sí: entregar nivel "&amp;(N(Q329)+1)&amp;IF(P329&gt;N(Q329)+1," al "&amp;P329,"")&amp;" (ver Logros)",""))</f>
        <v/>
      </c>
      <c r="S329" s="20">
        <f>IF(OR(A329="",N329&lt;&gt;"Sí",N(L329)&lt;=0),"",(N(L329)*100000-MAX(0,ROUND((N(M329)-DATE(2026,10,1))*1440,0)))*1000-ROW())</f>
        <v/>
      </c>
    </row>
    <row r="330">
      <c r="A330" s="19" t="n"/>
      <c r="B330" s="19" t="n"/>
      <c r="C330" s="19" t="n"/>
      <c r="D330" s="21" t="n"/>
      <c r="E330" s="19" t="n"/>
      <c r="F330" s="19" t="n"/>
      <c r="G330" s="22" t="n"/>
      <c r="H330" s="19" t="n"/>
      <c r="I330" s="19" t="n"/>
      <c r="J330" s="19" t="n"/>
      <c r="K330" s="19" t="n"/>
      <c r="L330" s="16">
        <f>IF(A330="","",SUMIF(Movimientos!$B$2:$B$3001,A330,Movimientos!$F$2:$F$3001))</f>
        <v/>
      </c>
      <c r="M330" s="17">
        <f>IF(A330="","",IF(COUNTIF(Movimientos!$B$2:$B$3001,A330)=0,"",_xlfn.MAXIFS(Movimientos!$A$2:$A$3001,Movimientos!$B$2:$B$3001,A330)))</f>
        <v/>
      </c>
      <c r="N330" s="18">
        <f>IF(A330="","",IF(AND(H330="Sí",I330="Sí",K330&lt;&gt;"Sí"),"Sí","No"))</f>
        <v/>
      </c>
      <c r="O330" s="18">
        <f>IF(S330="","",1+COUNTIFS($N$2:$N$501,"Sí",$S$2:$S$501,"&gt;"&amp;S330))</f>
        <v/>
      </c>
      <c r="P330" s="18">
        <f>IF(A330="","",INDEX(Logros!$A$2:$A$6,MATCH(N(L330),Logros!$C$2:$C$6,1)))</f>
        <v/>
      </c>
      <c r="Q330" s="19" t="n"/>
      <c r="R330" s="18">
        <f>IF(OR(A330="",P330=""),"",IF(P330&gt;N(Q330),"Sí: entregar nivel "&amp;(N(Q330)+1)&amp;IF(P330&gt;N(Q330)+1," al "&amp;P330,"")&amp;" (ver Logros)",""))</f>
        <v/>
      </c>
      <c r="S330" s="20">
        <f>IF(OR(A330="",N330&lt;&gt;"Sí",N(L330)&lt;=0),"",(N(L330)*100000-MAX(0,ROUND((N(M330)-DATE(2026,10,1))*1440,0)))*1000-ROW())</f>
        <v/>
      </c>
    </row>
    <row r="331">
      <c r="A331" s="19" t="n"/>
      <c r="B331" s="19" t="n"/>
      <c r="C331" s="19" t="n"/>
      <c r="D331" s="21" t="n"/>
      <c r="E331" s="19" t="n"/>
      <c r="F331" s="19" t="n"/>
      <c r="G331" s="22" t="n"/>
      <c r="H331" s="19" t="n"/>
      <c r="I331" s="19" t="n"/>
      <c r="J331" s="19" t="n"/>
      <c r="K331" s="19" t="n"/>
      <c r="L331" s="16">
        <f>IF(A331="","",SUMIF(Movimientos!$B$2:$B$3001,A331,Movimientos!$F$2:$F$3001))</f>
        <v/>
      </c>
      <c r="M331" s="17">
        <f>IF(A331="","",IF(COUNTIF(Movimientos!$B$2:$B$3001,A331)=0,"",_xlfn.MAXIFS(Movimientos!$A$2:$A$3001,Movimientos!$B$2:$B$3001,A331)))</f>
        <v/>
      </c>
      <c r="N331" s="18">
        <f>IF(A331="","",IF(AND(H331="Sí",I331="Sí",K331&lt;&gt;"Sí"),"Sí","No"))</f>
        <v/>
      </c>
      <c r="O331" s="18">
        <f>IF(S331="","",1+COUNTIFS($N$2:$N$501,"Sí",$S$2:$S$501,"&gt;"&amp;S331))</f>
        <v/>
      </c>
      <c r="P331" s="18">
        <f>IF(A331="","",INDEX(Logros!$A$2:$A$6,MATCH(N(L331),Logros!$C$2:$C$6,1)))</f>
        <v/>
      </c>
      <c r="Q331" s="19" t="n"/>
      <c r="R331" s="18">
        <f>IF(OR(A331="",P331=""),"",IF(P331&gt;N(Q331),"Sí: entregar nivel "&amp;(N(Q331)+1)&amp;IF(P331&gt;N(Q331)+1," al "&amp;P331,"")&amp;" (ver Logros)",""))</f>
        <v/>
      </c>
      <c r="S331" s="20">
        <f>IF(OR(A331="",N331&lt;&gt;"Sí",N(L331)&lt;=0),"",(N(L331)*100000-MAX(0,ROUND((N(M331)-DATE(2026,10,1))*1440,0)))*1000-ROW())</f>
        <v/>
      </c>
    </row>
    <row r="332">
      <c r="A332" s="19" t="n"/>
      <c r="B332" s="19" t="n"/>
      <c r="C332" s="19" t="n"/>
      <c r="D332" s="21" t="n"/>
      <c r="E332" s="19" t="n"/>
      <c r="F332" s="19" t="n"/>
      <c r="G332" s="22" t="n"/>
      <c r="H332" s="19" t="n"/>
      <c r="I332" s="19" t="n"/>
      <c r="J332" s="19" t="n"/>
      <c r="K332" s="19" t="n"/>
      <c r="L332" s="16">
        <f>IF(A332="","",SUMIF(Movimientos!$B$2:$B$3001,A332,Movimientos!$F$2:$F$3001))</f>
        <v/>
      </c>
      <c r="M332" s="17">
        <f>IF(A332="","",IF(COUNTIF(Movimientos!$B$2:$B$3001,A332)=0,"",_xlfn.MAXIFS(Movimientos!$A$2:$A$3001,Movimientos!$B$2:$B$3001,A332)))</f>
        <v/>
      </c>
      <c r="N332" s="18">
        <f>IF(A332="","",IF(AND(H332="Sí",I332="Sí",K332&lt;&gt;"Sí"),"Sí","No"))</f>
        <v/>
      </c>
      <c r="O332" s="18">
        <f>IF(S332="","",1+COUNTIFS($N$2:$N$501,"Sí",$S$2:$S$501,"&gt;"&amp;S332))</f>
        <v/>
      </c>
      <c r="P332" s="18">
        <f>IF(A332="","",INDEX(Logros!$A$2:$A$6,MATCH(N(L332),Logros!$C$2:$C$6,1)))</f>
        <v/>
      </c>
      <c r="Q332" s="19" t="n"/>
      <c r="R332" s="18">
        <f>IF(OR(A332="",P332=""),"",IF(P332&gt;N(Q332),"Sí: entregar nivel "&amp;(N(Q332)+1)&amp;IF(P332&gt;N(Q332)+1," al "&amp;P332,"")&amp;" (ver Logros)",""))</f>
        <v/>
      </c>
      <c r="S332" s="20">
        <f>IF(OR(A332="",N332&lt;&gt;"Sí",N(L332)&lt;=0),"",(N(L332)*100000-MAX(0,ROUND((N(M332)-DATE(2026,10,1))*1440,0)))*1000-ROW())</f>
        <v/>
      </c>
    </row>
    <row r="333">
      <c r="A333" s="19" t="n"/>
      <c r="B333" s="19" t="n"/>
      <c r="C333" s="19" t="n"/>
      <c r="D333" s="21" t="n"/>
      <c r="E333" s="19" t="n"/>
      <c r="F333" s="19" t="n"/>
      <c r="G333" s="22" t="n"/>
      <c r="H333" s="19" t="n"/>
      <c r="I333" s="19" t="n"/>
      <c r="J333" s="19" t="n"/>
      <c r="K333" s="19" t="n"/>
      <c r="L333" s="16">
        <f>IF(A333="","",SUMIF(Movimientos!$B$2:$B$3001,A333,Movimientos!$F$2:$F$3001))</f>
        <v/>
      </c>
      <c r="M333" s="17">
        <f>IF(A333="","",IF(COUNTIF(Movimientos!$B$2:$B$3001,A333)=0,"",_xlfn.MAXIFS(Movimientos!$A$2:$A$3001,Movimientos!$B$2:$B$3001,A333)))</f>
        <v/>
      </c>
      <c r="N333" s="18">
        <f>IF(A333="","",IF(AND(H333="Sí",I333="Sí",K333&lt;&gt;"Sí"),"Sí","No"))</f>
        <v/>
      </c>
      <c r="O333" s="18">
        <f>IF(S333="","",1+COUNTIFS($N$2:$N$501,"Sí",$S$2:$S$501,"&gt;"&amp;S333))</f>
        <v/>
      </c>
      <c r="P333" s="18">
        <f>IF(A333="","",INDEX(Logros!$A$2:$A$6,MATCH(N(L333),Logros!$C$2:$C$6,1)))</f>
        <v/>
      </c>
      <c r="Q333" s="19" t="n"/>
      <c r="R333" s="18">
        <f>IF(OR(A333="",P333=""),"",IF(P333&gt;N(Q333),"Sí: entregar nivel "&amp;(N(Q333)+1)&amp;IF(P333&gt;N(Q333)+1," al "&amp;P333,"")&amp;" (ver Logros)",""))</f>
        <v/>
      </c>
      <c r="S333" s="20">
        <f>IF(OR(A333="",N333&lt;&gt;"Sí",N(L333)&lt;=0),"",(N(L333)*100000-MAX(0,ROUND((N(M333)-DATE(2026,10,1))*1440,0)))*1000-ROW())</f>
        <v/>
      </c>
    </row>
    <row r="334">
      <c r="A334" s="19" t="n"/>
      <c r="B334" s="19" t="n"/>
      <c r="C334" s="19" t="n"/>
      <c r="D334" s="21" t="n"/>
      <c r="E334" s="19" t="n"/>
      <c r="F334" s="19" t="n"/>
      <c r="G334" s="22" t="n"/>
      <c r="H334" s="19" t="n"/>
      <c r="I334" s="19" t="n"/>
      <c r="J334" s="19" t="n"/>
      <c r="K334" s="19" t="n"/>
      <c r="L334" s="16">
        <f>IF(A334="","",SUMIF(Movimientos!$B$2:$B$3001,A334,Movimientos!$F$2:$F$3001))</f>
        <v/>
      </c>
      <c r="M334" s="17">
        <f>IF(A334="","",IF(COUNTIF(Movimientos!$B$2:$B$3001,A334)=0,"",_xlfn.MAXIFS(Movimientos!$A$2:$A$3001,Movimientos!$B$2:$B$3001,A334)))</f>
        <v/>
      </c>
      <c r="N334" s="18">
        <f>IF(A334="","",IF(AND(H334="Sí",I334="Sí",K334&lt;&gt;"Sí"),"Sí","No"))</f>
        <v/>
      </c>
      <c r="O334" s="18">
        <f>IF(S334="","",1+COUNTIFS($N$2:$N$501,"Sí",$S$2:$S$501,"&gt;"&amp;S334))</f>
        <v/>
      </c>
      <c r="P334" s="18">
        <f>IF(A334="","",INDEX(Logros!$A$2:$A$6,MATCH(N(L334),Logros!$C$2:$C$6,1)))</f>
        <v/>
      </c>
      <c r="Q334" s="19" t="n"/>
      <c r="R334" s="18">
        <f>IF(OR(A334="",P334=""),"",IF(P334&gt;N(Q334),"Sí: entregar nivel "&amp;(N(Q334)+1)&amp;IF(P334&gt;N(Q334)+1," al "&amp;P334,"")&amp;" (ver Logros)",""))</f>
        <v/>
      </c>
      <c r="S334" s="20">
        <f>IF(OR(A334="",N334&lt;&gt;"Sí",N(L334)&lt;=0),"",(N(L334)*100000-MAX(0,ROUND((N(M334)-DATE(2026,10,1))*1440,0)))*1000-ROW())</f>
        <v/>
      </c>
    </row>
    <row r="335">
      <c r="A335" s="19" t="n"/>
      <c r="B335" s="19" t="n"/>
      <c r="C335" s="19" t="n"/>
      <c r="D335" s="21" t="n"/>
      <c r="E335" s="19" t="n"/>
      <c r="F335" s="19" t="n"/>
      <c r="G335" s="22" t="n"/>
      <c r="H335" s="19" t="n"/>
      <c r="I335" s="19" t="n"/>
      <c r="J335" s="19" t="n"/>
      <c r="K335" s="19" t="n"/>
      <c r="L335" s="16">
        <f>IF(A335="","",SUMIF(Movimientos!$B$2:$B$3001,A335,Movimientos!$F$2:$F$3001))</f>
        <v/>
      </c>
      <c r="M335" s="17">
        <f>IF(A335="","",IF(COUNTIF(Movimientos!$B$2:$B$3001,A335)=0,"",_xlfn.MAXIFS(Movimientos!$A$2:$A$3001,Movimientos!$B$2:$B$3001,A335)))</f>
        <v/>
      </c>
      <c r="N335" s="18">
        <f>IF(A335="","",IF(AND(H335="Sí",I335="Sí",K335&lt;&gt;"Sí"),"Sí","No"))</f>
        <v/>
      </c>
      <c r="O335" s="18">
        <f>IF(S335="","",1+COUNTIFS($N$2:$N$501,"Sí",$S$2:$S$501,"&gt;"&amp;S335))</f>
        <v/>
      </c>
      <c r="P335" s="18">
        <f>IF(A335="","",INDEX(Logros!$A$2:$A$6,MATCH(N(L335),Logros!$C$2:$C$6,1)))</f>
        <v/>
      </c>
      <c r="Q335" s="19" t="n"/>
      <c r="R335" s="18">
        <f>IF(OR(A335="",P335=""),"",IF(P335&gt;N(Q335),"Sí: entregar nivel "&amp;(N(Q335)+1)&amp;IF(P335&gt;N(Q335)+1," al "&amp;P335,"")&amp;" (ver Logros)",""))</f>
        <v/>
      </c>
      <c r="S335" s="20">
        <f>IF(OR(A335="",N335&lt;&gt;"Sí",N(L335)&lt;=0),"",(N(L335)*100000-MAX(0,ROUND((N(M335)-DATE(2026,10,1))*1440,0)))*1000-ROW())</f>
        <v/>
      </c>
    </row>
    <row r="336">
      <c r="A336" s="19" t="n"/>
      <c r="B336" s="19" t="n"/>
      <c r="C336" s="19" t="n"/>
      <c r="D336" s="21" t="n"/>
      <c r="E336" s="19" t="n"/>
      <c r="F336" s="19" t="n"/>
      <c r="G336" s="22" t="n"/>
      <c r="H336" s="19" t="n"/>
      <c r="I336" s="19" t="n"/>
      <c r="J336" s="19" t="n"/>
      <c r="K336" s="19" t="n"/>
      <c r="L336" s="16">
        <f>IF(A336="","",SUMIF(Movimientos!$B$2:$B$3001,A336,Movimientos!$F$2:$F$3001))</f>
        <v/>
      </c>
      <c r="M336" s="17">
        <f>IF(A336="","",IF(COUNTIF(Movimientos!$B$2:$B$3001,A336)=0,"",_xlfn.MAXIFS(Movimientos!$A$2:$A$3001,Movimientos!$B$2:$B$3001,A336)))</f>
        <v/>
      </c>
      <c r="N336" s="18">
        <f>IF(A336="","",IF(AND(H336="Sí",I336="Sí",K336&lt;&gt;"Sí"),"Sí","No"))</f>
        <v/>
      </c>
      <c r="O336" s="18">
        <f>IF(S336="","",1+COUNTIFS($N$2:$N$501,"Sí",$S$2:$S$501,"&gt;"&amp;S336))</f>
        <v/>
      </c>
      <c r="P336" s="18">
        <f>IF(A336="","",INDEX(Logros!$A$2:$A$6,MATCH(N(L336),Logros!$C$2:$C$6,1)))</f>
        <v/>
      </c>
      <c r="Q336" s="19" t="n"/>
      <c r="R336" s="18">
        <f>IF(OR(A336="",P336=""),"",IF(P336&gt;N(Q336),"Sí: entregar nivel "&amp;(N(Q336)+1)&amp;IF(P336&gt;N(Q336)+1," al "&amp;P336,"")&amp;" (ver Logros)",""))</f>
        <v/>
      </c>
      <c r="S336" s="20">
        <f>IF(OR(A336="",N336&lt;&gt;"Sí",N(L336)&lt;=0),"",(N(L336)*100000-MAX(0,ROUND((N(M336)-DATE(2026,10,1))*1440,0)))*1000-ROW())</f>
        <v/>
      </c>
    </row>
    <row r="337">
      <c r="A337" s="19" t="n"/>
      <c r="B337" s="19" t="n"/>
      <c r="C337" s="19" t="n"/>
      <c r="D337" s="21" t="n"/>
      <c r="E337" s="19" t="n"/>
      <c r="F337" s="19" t="n"/>
      <c r="G337" s="22" t="n"/>
      <c r="H337" s="19" t="n"/>
      <c r="I337" s="19" t="n"/>
      <c r="J337" s="19" t="n"/>
      <c r="K337" s="19" t="n"/>
      <c r="L337" s="16">
        <f>IF(A337="","",SUMIF(Movimientos!$B$2:$B$3001,A337,Movimientos!$F$2:$F$3001))</f>
        <v/>
      </c>
      <c r="M337" s="17">
        <f>IF(A337="","",IF(COUNTIF(Movimientos!$B$2:$B$3001,A337)=0,"",_xlfn.MAXIFS(Movimientos!$A$2:$A$3001,Movimientos!$B$2:$B$3001,A337)))</f>
        <v/>
      </c>
      <c r="N337" s="18">
        <f>IF(A337="","",IF(AND(H337="Sí",I337="Sí",K337&lt;&gt;"Sí"),"Sí","No"))</f>
        <v/>
      </c>
      <c r="O337" s="18">
        <f>IF(S337="","",1+COUNTIFS($N$2:$N$501,"Sí",$S$2:$S$501,"&gt;"&amp;S337))</f>
        <v/>
      </c>
      <c r="P337" s="18">
        <f>IF(A337="","",INDEX(Logros!$A$2:$A$6,MATCH(N(L337),Logros!$C$2:$C$6,1)))</f>
        <v/>
      </c>
      <c r="Q337" s="19" t="n"/>
      <c r="R337" s="18">
        <f>IF(OR(A337="",P337=""),"",IF(P337&gt;N(Q337),"Sí: entregar nivel "&amp;(N(Q337)+1)&amp;IF(P337&gt;N(Q337)+1," al "&amp;P337,"")&amp;" (ver Logros)",""))</f>
        <v/>
      </c>
      <c r="S337" s="20">
        <f>IF(OR(A337="",N337&lt;&gt;"Sí",N(L337)&lt;=0),"",(N(L337)*100000-MAX(0,ROUND((N(M337)-DATE(2026,10,1))*1440,0)))*1000-ROW())</f>
        <v/>
      </c>
    </row>
    <row r="338">
      <c r="A338" s="19" t="n"/>
      <c r="B338" s="19" t="n"/>
      <c r="C338" s="19" t="n"/>
      <c r="D338" s="21" t="n"/>
      <c r="E338" s="19" t="n"/>
      <c r="F338" s="19" t="n"/>
      <c r="G338" s="22" t="n"/>
      <c r="H338" s="19" t="n"/>
      <c r="I338" s="19" t="n"/>
      <c r="J338" s="19" t="n"/>
      <c r="K338" s="19" t="n"/>
      <c r="L338" s="16">
        <f>IF(A338="","",SUMIF(Movimientos!$B$2:$B$3001,A338,Movimientos!$F$2:$F$3001))</f>
        <v/>
      </c>
      <c r="M338" s="17">
        <f>IF(A338="","",IF(COUNTIF(Movimientos!$B$2:$B$3001,A338)=0,"",_xlfn.MAXIFS(Movimientos!$A$2:$A$3001,Movimientos!$B$2:$B$3001,A338)))</f>
        <v/>
      </c>
      <c r="N338" s="18">
        <f>IF(A338="","",IF(AND(H338="Sí",I338="Sí",K338&lt;&gt;"Sí"),"Sí","No"))</f>
        <v/>
      </c>
      <c r="O338" s="18">
        <f>IF(S338="","",1+COUNTIFS($N$2:$N$501,"Sí",$S$2:$S$501,"&gt;"&amp;S338))</f>
        <v/>
      </c>
      <c r="P338" s="18">
        <f>IF(A338="","",INDEX(Logros!$A$2:$A$6,MATCH(N(L338),Logros!$C$2:$C$6,1)))</f>
        <v/>
      </c>
      <c r="Q338" s="19" t="n"/>
      <c r="R338" s="18">
        <f>IF(OR(A338="",P338=""),"",IF(P338&gt;N(Q338),"Sí: entregar nivel "&amp;(N(Q338)+1)&amp;IF(P338&gt;N(Q338)+1," al "&amp;P338,"")&amp;" (ver Logros)",""))</f>
        <v/>
      </c>
      <c r="S338" s="20">
        <f>IF(OR(A338="",N338&lt;&gt;"Sí",N(L338)&lt;=0),"",(N(L338)*100000-MAX(0,ROUND((N(M338)-DATE(2026,10,1))*1440,0)))*1000-ROW())</f>
        <v/>
      </c>
    </row>
    <row r="339">
      <c r="A339" s="19" t="n"/>
      <c r="B339" s="19" t="n"/>
      <c r="C339" s="19" t="n"/>
      <c r="D339" s="21" t="n"/>
      <c r="E339" s="19" t="n"/>
      <c r="F339" s="19" t="n"/>
      <c r="G339" s="22" t="n"/>
      <c r="H339" s="19" t="n"/>
      <c r="I339" s="19" t="n"/>
      <c r="J339" s="19" t="n"/>
      <c r="K339" s="19" t="n"/>
      <c r="L339" s="16">
        <f>IF(A339="","",SUMIF(Movimientos!$B$2:$B$3001,A339,Movimientos!$F$2:$F$3001))</f>
        <v/>
      </c>
      <c r="M339" s="17">
        <f>IF(A339="","",IF(COUNTIF(Movimientos!$B$2:$B$3001,A339)=0,"",_xlfn.MAXIFS(Movimientos!$A$2:$A$3001,Movimientos!$B$2:$B$3001,A339)))</f>
        <v/>
      </c>
      <c r="N339" s="18">
        <f>IF(A339="","",IF(AND(H339="Sí",I339="Sí",K339&lt;&gt;"Sí"),"Sí","No"))</f>
        <v/>
      </c>
      <c r="O339" s="18">
        <f>IF(S339="","",1+COUNTIFS($N$2:$N$501,"Sí",$S$2:$S$501,"&gt;"&amp;S339))</f>
        <v/>
      </c>
      <c r="P339" s="18">
        <f>IF(A339="","",INDEX(Logros!$A$2:$A$6,MATCH(N(L339),Logros!$C$2:$C$6,1)))</f>
        <v/>
      </c>
      <c r="Q339" s="19" t="n"/>
      <c r="R339" s="18">
        <f>IF(OR(A339="",P339=""),"",IF(P339&gt;N(Q339),"Sí: entregar nivel "&amp;(N(Q339)+1)&amp;IF(P339&gt;N(Q339)+1," al "&amp;P339,"")&amp;" (ver Logros)",""))</f>
        <v/>
      </c>
      <c r="S339" s="20">
        <f>IF(OR(A339="",N339&lt;&gt;"Sí",N(L339)&lt;=0),"",(N(L339)*100000-MAX(0,ROUND((N(M339)-DATE(2026,10,1))*1440,0)))*1000-ROW())</f>
        <v/>
      </c>
    </row>
    <row r="340">
      <c r="A340" s="19" t="n"/>
      <c r="B340" s="19" t="n"/>
      <c r="C340" s="19" t="n"/>
      <c r="D340" s="21" t="n"/>
      <c r="E340" s="19" t="n"/>
      <c r="F340" s="19" t="n"/>
      <c r="G340" s="22" t="n"/>
      <c r="H340" s="19" t="n"/>
      <c r="I340" s="19" t="n"/>
      <c r="J340" s="19" t="n"/>
      <c r="K340" s="19" t="n"/>
      <c r="L340" s="16">
        <f>IF(A340="","",SUMIF(Movimientos!$B$2:$B$3001,A340,Movimientos!$F$2:$F$3001))</f>
        <v/>
      </c>
      <c r="M340" s="17">
        <f>IF(A340="","",IF(COUNTIF(Movimientos!$B$2:$B$3001,A340)=0,"",_xlfn.MAXIFS(Movimientos!$A$2:$A$3001,Movimientos!$B$2:$B$3001,A340)))</f>
        <v/>
      </c>
      <c r="N340" s="18">
        <f>IF(A340="","",IF(AND(H340="Sí",I340="Sí",K340&lt;&gt;"Sí"),"Sí","No"))</f>
        <v/>
      </c>
      <c r="O340" s="18">
        <f>IF(S340="","",1+COUNTIFS($N$2:$N$501,"Sí",$S$2:$S$501,"&gt;"&amp;S340))</f>
        <v/>
      </c>
      <c r="P340" s="18">
        <f>IF(A340="","",INDEX(Logros!$A$2:$A$6,MATCH(N(L340),Logros!$C$2:$C$6,1)))</f>
        <v/>
      </c>
      <c r="Q340" s="19" t="n"/>
      <c r="R340" s="18">
        <f>IF(OR(A340="",P340=""),"",IF(P340&gt;N(Q340),"Sí: entregar nivel "&amp;(N(Q340)+1)&amp;IF(P340&gt;N(Q340)+1," al "&amp;P340,"")&amp;" (ver Logros)",""))</f>
        <v/>
      </c>
      <c r="S340" s="20">
        <f>IF(OR(A340="",N340&lt;&gt;"Sí",N(L340)&lt;=0),"",(N(L340)*100000-MAX(0,ROUND((N(M340)-DATE(2026,10,1))*1440,0)))*1000-ROW())</f>
        <v/>
      </c>
    </row>
    <row r="341">
      <c r="A341" s="19" t="n"/>
      <c r="B341" s="19" t="n"/>
      <c r="C341" s="19" t="n"/>
      <c r="D341" s="21" t="n"/>
      <c r="E341" s="19" t="n"/>
      <c r="F341" s="19" t="n"/>
      <c r="G341" s="22" t="n"/>
      <c r="H341" s="19" t="n"/>
      <c r="I341" s="19" t="n"/>
      <c r="J341" s="19" t="n"/>
      <c r="K341" s="19" t="n"/>
      <c r="L341" s="16">
        <f>IF(A341="","",SUMIF(Movimientos!$B$2:$B$3001,A341,Movimientos!$F$2:$F$3001))</f>
        <v/>
      </c>
      <c r="M341" s="17">
        <f>IF(A341="","",IF(COUNTIF(Movimientos!$B$2:$B$3001,A341)=0,"",_xlfn.MAXIFS(Movimientos!$A$2:$A$3001,Movimientos!$B$2:$B$3001,A341)))</f>
        <v/>
      </c>
      <c r="N341" s="18">
        <f>IF(A341="","",IF(AND(H341="Sí",I341="Sí",K341&lt;&gt;"Sí"),"Sí","No"))</f>
        <v/>
      </c>
      <c r="O341" s="18">
        <f>IF(S341="","",1+COUNTIFS($N$2:$N$501,"Sí",$S$2:$S$501,"&gt;"&amp;S341))</f>
        <v/>
      </c>
      <c r="P341" s="18">
        <f>IF(A341="","",INDEX(Logros!$A$2:$A$6,MATCH(N(L341),Logros!$C$2:$C$6,1)))</f>
        <v/>
      </c>
      <c r="Q341" s="19" t="n"/>
      <c r="R341" s="18">
        <f>IF(OR(A341="",P341=""),"",IF(P341&gt;N(Q341),"Sí: entregar nivel "&amp;(N(Q341)+1)&amp;IF(P341&gt;N(Q341)+1," al "&amp;P341,"")&amp;" (ver Logros)",""))</f>
        <v/>
      </c>
      <c r="S341" s="20">
        <f>IF(OR(A341="",N341&lt;&gt;"Sí",N(L341)&lt;=0),"",(N(L341)*100000-MAX(0,ROUND((N(M341)-DATE(2026,10,1))*1440,0)))*1000-ROW())</f>
        <v/>
      </c>
    </row>
    <row r="342">
      <c r="A342" s="19" t="n"/>
      <c r="B342" s="19" t="n"/>
      <c r="C342" s="19" t="n"/>
      <c r="D342" s="21" t="n"/>
      <c r="E342" s="19" t="n"/>
      <c r="F342" s="19" t="n"/>
      <c r="G342" s="22" t="n"/>
      <c r="H342" s="19" t="n"/>
      <c r="I342" s="19" t="n"/>
      <c r="J342" s="19" t="n"/>
      <c r="K342" s="19" t="n"/>
      <c r="L342" s="16">
        <f>IF(A342="","",SUMIF(Movimientos!$B$2:$B$3001,A342,Movimientos!$F$2:$F$3001))</f>
        <v/>
      </c>
      <c r="M342" s="17">
        <f>IF(A342="","",IF(COUNTIF(Movimientos!$B$2:$B$3001,A342)=0,"",_xlfn.MAXIFS(Movimientos!$A$2:$A$3001,Movimientos!$B$2:$B$3001,A342)))</f>
        <v/>
      </c>
      <c r="N342" s="18">
        <f>IF(A342="","",IF(AND(H342="Sí",I342="Sí",K342&lt;&gt;"Sí"),"Sí","No"))</f>
        <v/>
      </c>
      <c r="O342" s="18">
        <f>IF(S342="","",1+COUNTIFS($N$2:$N$501,"Sí",$S$2:$S$501,"&gt;"&amp;S342))</f>
        <v/>
      </c>
      <c r="P342" s="18">
        <f>IF(A342="","",INDEX(Logros!$A$2:$A$6,MATCH(N(L342),Logros!$C$2:$C$6,1)))</f>
        <v/>
      </c>
      <c r="Q342" s="19" t="n"/>
      <c r="R342" s="18">
        <f>IF(OR(A342="",P342=""),"",IF(P342&gt;N(Q342),"Sí: entregar nivel "&amp;(N(Q342)+1)&amp;IF(P342&gt;N(Q342)+1," al "&amp;P342,"")&amp;" (ver Logros)",""))</f>
        <v/>
      </c>
      <c r="S342" s="20">
        <f>IF(OR(A342="",N342&lt;&gt;"Sí",N(L342)&lt;=0),"",(N(L342)*100000-MAX(0,ROUND((N(M342)-DATE(2026,10,1))*1440,0)))*1000-ROW())</f>
        <v/>
      </c>
    </row>
    <row r="343">
      <c r="A343" s="19" t="n"/>
      <c r="B343" s="19" t="n"/>
      <c r="C343" s="19" t="n"/>
      <c r="D343" s="21" t="n"/>
      <c r="E343" s="19" t="n"/>
      <c r="F343" s="19" t="n"/>
      <c r="G343" s="22" t="n"/>
      <c r="H343" s="19" t="n"/>
      <c r="I343" s="19" t="n"/>
      <c r="J343" s="19" t="n"/>
      <c r="K343" s="19" t="n"/>
      <c r="L343" s="16">
        <f>IF(A343="","",SUMIF(Movimientos!$B$2:$B$3001,A343,Movimientos!$F$2:$F$3001))</f>
        <v/>
      </c>
      <c r="M343" s="17">
        <f>IF(A343="","",IF(COUNTIF(Movimientos!$B$2:$B$3001,A343)=0,"",_xlfn.MAXIFS(Movimientos!$A$2:$A$3001,Movimientos!$B$2:$B$3001,A343)))</f>
        <v/>
      </c>
      <c r="N343" s="18">
        <f>IF(A343="","",IF(AND(H343="Sí",I343="Sí",K343&lt;&gt;"Sí"),"Sí","No"))</f>
        <v/>
      </c>
      <c r="O343" s="18">
        <f>IF(S343="","",1+COUNTIFS($N$2:$N$501,"Sí",$S$2:$S$501,"&gt;"&amp;S343))</f>
        <v/>
      </c>
      <c r="P343" s="18">
        <f>IF(A343="","",INDEX(Logros!$A$2:$A$6,MATCH(N(L343),Logros!$C$2:$C$6,1)))</f>
        <v/>
      </c>
      <c r="Q343" s="19" t="n"/>
      <c r="R343" s="18">
        <f>IF(OR(A343="",P343=""),"",IF(P343&gt;N(Q343),"Sí: entregar nivel "&amp;(N(Q343)+1)&amp;IF(P343&gt;N(Q343)+1," al "&amp;P343,"")&amp;" (ver Logros)",""))</f>
        <v/>
      </c>
      <c r="S343" s="20">
        <f>IF(OR(A343="",N343&lt;&gt;"Sí",N(L343)&lt;=0),"",(N(L343)*100000-MAX(0,ROUND((N(M343)-DATE(2026,10,1))*1440,0)))*1000-ROW())</f>
        <v/>
      </c>
    </row>
    <row r="344">
      <c r="A344" s="19" t="n"/>
      <c r="B344" s="19" t="n"/>
      <c r="C344" s="19" t="n"/>
      <c r="D344" s="21" t="n"/>
      <c r="E344" s="19" t="n"/>
      <c r="F344" s="19" t="n"/>
      <c r="G344" s="22" t="n"/>
      <c r="H344" s="19" t="n"/>
      <c r="I344" s="19" t="n"/>
      <c r="J344" s="19" t="n"/>
      <c r="K344" s="19" t="n"/>
      <c r="L344" s="16">
        <f>IF(A344="","",SUMIF(Movimientos!$B$2:$B$3001,A344,Movimientos!$F$2:$F$3001))</f>
        <v/>
      </c>
      <c r="M344" s="17">
        <f>IF(A344="","",IF(COUNTIF(Movimientos!$B$2:$B$3001,A344)=0,"",_xlfn.MAXIFS(Movimientos!$A$2:$A$3001,Movimientos!$B$2:$B$3001,A344)))</f>
        <v/>
      </c>
      <c r="N344" s="18">
        <f>IF(A344="","",IF(AND(H344="Sí",I344="Sí",K344&lt;&gt;"Sí"),"Sí","No"))</f>
        <v/>
      </c>
      <c r="O344" s="18">
        <f>IF(S344="","",1+COUNTIFS($N$2:$N$501,"Sí",$S$2:$S$501,"&gt;"&amp;S344))</f>
        <v/>
      </c>
      <c r="P344" s="18">
        <f>IF(A344="","",INDEX(Logros!$A$2:$A$6,MATCH(N(L344),Logros!$C$2:$C$6,1)))</f>
        <v/>
      </c>
      <c r="Q344" s="19" t="n"/>
      <c r="R344" s="18">
        <f>IF(OR(A344="",P344=""),"",IF(P344&gt;N(Q344),"Sí: entregar nivel "&amp;(N(Q344)+1)&amp;IF(P344&gt;N(Q344)+1," al "&amp;P344,"")&amp;" (ver Logros)",""))</f>
        <v/>
      </c>
      <c r="S344" s="20">
        <f>IF(OR(A344="",N344&lt;&gt;"Sí",N(L344)&lt;=0),"",(N(L344)*100000-MAX(0,ROUND((N(M344)-DATE(2026,10,1))*1440,0)))*1000-ROW())</f>
        <v/>
      </c>
    </row>
    <row r="345">
      <c r="A345" s="19" t="n"/>
      <c r="B345" s="19" t="n"/>
      <c r="C345" s="19" t="n"/>
      <c r="D345" s="21" t="n"/>
      <c r="E345" s="19" t="n"/>
      <c r="F345" s="19" t="n"/>
      <c r="G345" s="22" t="n"/>
      <c r="H345" s="19" t="n"/>
      <c r="I345" s="19" t="n"/>
      <c r="J345" s="19" t="n"/>
      <c r="K345" s="19" t="n"/>
      <c r="L345" s="16">
        <f>IF(A345="","",SUMIF(Movimientos!$B$2:$B$3001,A345,Movimientos!$F$2:$F$3001))</f>
        <v/>
      </c>
      <c r="M345" s="17">
        <f>IF(A345="","",IF(COUNTIF(Movimientos!$B$2:$B$3001,A345)=0,"",_xlfn.MAXIFS(Movimientos!$A$2:$A$3001,Movimientos!$B$2:$B$3001,A345)))</f>
        <v/>
      </c>
      <c r="N345" s="18">
        <f>IF(A345="","",IF(AND(H345="Sí",I345="Sí",K345&lt;&gt;"Sí"),"Sí","No"))</f>
        <v/>
      </c>
      <c r="O345" s="18">
        <f>IF(S345="","",1+COUNTIFS($N$2:$N$501,"Sí",$S$2:$S$501,"&gt;"&amp;S345))</f>
        <v/>
      </c>
      <c r="P345" s="18">
        <f>IF(A345="","",INDEX(Logros!$A$2:$A$6,MATCH(N(L345),Logros!$C$2:$C$6,1)))</f>
        <v/>
      </c>
      <c r="Q345" s="19" t="n"/>
      <c r="R345" s="18">
        <f>IF(OR(A345="",P345=""),"",IF(P345&gt;N(Q345),"Sí: entregar nivel "&amp;(N(Q345)+1)&amp;IF(P345&gt;N(Q345)+1," al "&amp;P345,"")&amp;" (ver Logros)",""))</f>
        <v/>
      </c>
      <c r="S345" s="20">
        <f>IF(OR(A345="",N345&lt;&gt;"Sí",N(L345)&lt;=0),"",(N(L345)*100000-MAX(0,ROUND((N(M345)-DATE(2026,10,1))*1440,0)))*1000-ROW())</f>
        <v/>
      </c>
    </row>
    <row r="346">
      <c r="A346" s="19" t="n"/>
      <c r="B346" s="19" t="n"/>
      <c r="C346" s="19" t="n"/>
      <c r="D346" s="21" t="n"/>
      <c r="E346" s="19" t="n"/>
      <c r="F346" s="19" t="n"/>
      <c r="G346" s="22" t="n"/>
      <c r="H346" s="19" t="n"/>
      <c r="I346" s="19" t="n"/>
      <c r="J346" s="19" t="n"/>
      <c r="K346" s="19" t="n"/>
      <c r="L346" s="16">
        <f>IF(A346="","",SUMIF(Movimientos!$B$2:$B$3001,A346,Movimientos!$F$2:$F$3001))</f>
        <v/>
      </c>
      <c r="M346" s="17">
        <f>IF(A346="","",IF(COUNTIF(Movimientos!$B$2:$B$3001,A346)=0,"",_xlfn.MAXIFS(Movimientos!$A$2:$A$3001,Movimientos!$B$2:$B$3001,A346)))</f>
        <v/>
      </c>
      <c r="N346" s="18">
        <f>IF(A346="","",IF(AND(H346="Sí",I346="Sí",K346&lt;&gt;"Sí"),"Sí","No"))</f>
        <v/>
      </c>
      <c r="O346" s="18">
        <f>IF(S346="","",1+COUNTIFS($N$2:$N$501,"Sí",$S$2:$S$501,"&gt;"&amp;S346))</f>
        <v/>
      </c>
      <c r="P346" s="18">
        <f>IF(A346="","",INDEX(Logros!$A$2:$A$6,MATCH(N(L346),Logros!$C$2:$C$6,1)))</f>
        <v/>
      </c>
      <c r="Q346" s="19" t="n"/>
      <c r="R346" s="18">
        <f>IF(OR(A346="",P346=""),"",IF(P346&gt;N(Q346),"Sí: entregar nivel "&amp;(N(Q346)+1)&amp;IF(P346&gt;N(Q346)+1," al "&amp;P346,"")&amp;" (ver Logros)",""))</f>
        <v/>
      </c>
      <c r="S346" s="20">
        <f>IF(OR(A346="",N346&lt;&gt;"Sí",N(L346)&lt;=0),"",(N(L346)*100000-MAX(0,ROUND((N(M346)-DATE(2026,10,1))*1440,0)))*1000-ROW())</f>
        <v/>
      </c>
    </row>
    <row r="347">
      <c r="A347" s="19" t="n"/>
      <c r="B347" s="19" t="n"/>
      <c r="C347" s="19" t="n"/>
      <c r="D347" s="21" t="n"/>
      <c r="E347" s="19" t="n"/>
      <c r="F347" s="19" t="n"/>
      <c r="G347" s="22" t="n"/>
      <c r="H347" s="19" t="n"/>
      <c r="I347" s="19" t="n"/>
      <c r="J347" s="19" t="n"/>
      <c r="K347" s="19" t="n"/>
      <c r="L347" s="16">
        <f>IF(A347="","",SUMIF(Movimientos!$B$2:$B$3001,A347,Movimientos!$F$2:$F$3001))</f>
        <v/>
      </c>
      <c r="M347" s="17">
        <f>IF(A347="","",IF(COUNTIF(Movimientos!$B$2:$B$3001,A347)=0,"",_xlfn.MAXIFS(Movimientos!$A$2:$A$3001,Movimientos!$B$2:$B$3001,A347)))</f>
        <v/>
      </c>
      <c r="N347" s="18">
        <f>IF(A347="","",IF(AND(H347="Sí",I347="Sí",K347&lt;&gt;"Sí"),"Sí","No"))</f>
        <v/>
      </c>
      <c r="O347" s="18">
        <f>IF(S347="","",1+COUNTIFS($N$2:$N$501,"Sí",$S$2:$S$501,"&gt;"&amp;S347))</f>
        <v/>
      </c>
      <c r="P347" s="18">
        <f>IF(A347="","",INDEX(Logros!$A$2:$A$6,MATCH(N(L347),Logros!$C$2:$C$6,1)))</f>
        <v/>
      </c>
      <c r="Q347" s="19" t="n"/>
      <c r="R347" s="18">
        <f>IF(OR(A347="",P347=""),"",IF(P347&gt;N(Q347),"Sí: entregar nivel "&amp;(N(Q347)+1)&amp;IF(P347&gt;N(Q347)+1," al "&amp;P347,"")&amp;" (ver Logros)",""))</f>
        <v/>
      </c>
      <c r="S347" s="20">
        <f>IF(OR(A347="",N347&lt;&gt;"Sí",N(L347)&lt;=0),"",(N(L347)*100000-MAX(0,ROUND((N(M347)-DATE(2026,10,1))*1440,0)))*1000-ROW())</f>
        <v/>
      </c>
    </row>
    <row r="348">
      <c r="A348" s="19" t="n"/>
      <c r="B348" s="19" t="n"/>
      <c r="C348" s="19" t="n"/>
      <c r="D348" s="21" t="n"/>
      <c r="E348" s="19" t="n"/>
      <c r="F348" s="19" t="n"/>
      <c r="G348" s="22" t="n"/>
      <c r="H348" s="19" t="n"/>
      <c r="I348" s="19" t="n"/>
      <c r="J348" s="19" t="n"/>
      <c r="K348" s="19" t="n"/>
      <c r="L348" s="16">
        <f>IF(A348="","",SUMIF(Movimientos!$B$2:$B$3001,A348,Movimientos!$F$2:$F$3001))</f>
        <v/>
      </c>
      <c r="M348" s="17">
        <f>IF(A348="","",IF(COUNTIF(Movimientos!$B$2:$B$3001,A348)=0,"",_xlfn.MAXIFS(Movimientos!$A$2:$A$3001,Movimientos!$B$2:$B$3001,A348)))</f>
        <v/>
      </c>
      <c r="N348" s="18">
        <f>IF(A348="","",IF(AND(H348="Sí",I348="Sí",K348&lt;&gt;"Sí"),"Sí","No"))</f>
        <v/>
      </c>
      <c r="O348" s="18">
        <f>IF(S348="","",1+COUNTIFS($N$2:$N$501,"Sí",$S$2:$S$501,"&gt;"&amp;S348))</f>
        <v/>
      </c>
      <c r="P348" s="18">
        <f>IF(A348="","",INDEX(Logros!$A$2:$A$6,MATCH(N(L348),Logros!$C$2:$C$6,1)))</f>
        <v/>
      </c>
      <c r="Q348" s="19" t="n"/>
      <c r="R348" s="18">
        <f>IF(OR(A348="",P348=""),"",IF(P348&gt;N(Q348),"Sí: entregar nivel "&amp;(N(Q348)+1)&amp;IF(P348&gt;N(Q348)+1," al "&amp;P348,"")&amp;" (ver Logros)",""))</f>
        <v/>
      </c>
      <c r="S348" s="20">
        <f>IF(OR(A348="",N348&lt;&gt;"Sí",N(L348)&lt;=0),"",(N(L348)*100000-MAX(0,ROUND((N(M348)-DATE(2026,10,1))*1440,0)))*1000-ROW())</f>
        <v/>
      </c>
    </row>
    <row r="349">
      <c r="A349" s="19" t="n"/>
      <c r="B349" s="19" t="n"/>
      <c r="C349" s="19" t="n"/>
      <c r="D349" s="21" t="n"/>
      <c r="E349" s="19" t="n"/>
      <c r="F349" s="19" t="n"/>
      <c r="G349" s="22" t="n"/>
      <c r="H349" s="19" t="n"/>
      <c r="I349" s="19" t="n"/>
      <c r="J349" s="19" t="n"/>
      <c r="K349" s="19" t="n"/>
      <c r="L349" s="16">
        <f>IF(A349="","",SUMIF(Movimientos!$B$2:$B$3001,A349,Movimientos!$F$2:$F$3001))</f>
        <v/>
      </c>
      <c r="M349" s="17">
        <f>IF(A349="","",IF(COUNTIF(Movimientos!$B$2:$B$3001,A349)=0,"",_xlfn.MAXIFS(Movimientos!$A$2:$A$3001,Movimientos!$B$2:$B$3001,A349)))</f>
        <v/>
      </c>
      <c r="N349" s="18">
        <f>IF(A349="","",IF(AND(H349="Sí",I349="Sí",K349&lt;&gt;"Sí"),"Sí","No"))</f>
        <v/>
      </c>
      <c r="O349" s="18">
        <f>IF(S349="","",1+COUNTIFS($N$2:$N$501,"Sí",$S$2:$S$501,"&gt;"&amp;S349))</f>
        <v/>
      </c>
      <c r="P349" s="18">
        <f>IF(A349="","",INDEX(Logros!$A$2:$A$6,MATCH(N(L349),Logros!$C$2:$C$6,1)))</f>
        <v/>
      </c>
      <c r="Q349" s="19" t="n"/>
      <c r="R349" s="18">
        <f>IF(OR(A349="",P349=""),"",IF(P349&gt;N(Q349),"Sí: entregar nivel "&amp;(N(Q349)+1)&amp;IF(P349&gt;N(Q349)+1," al "&amp;P349,"")&amp;" (ver Logros)",""))</f>
        <v/>
      </c>
      <c r="S349" s="20">
        <f>IF(OR(A349="",N349&lt;&gt;"Sí",N(L349)&lt;=0),"",(N(L349)*100000-MAX(0,ROUND((N(M349)-DATE(2026,10,1))*1440,0)))*1000-ROW())</f>
        <v/>
      </c>
    </row>
    <row r="350">
      <c r="A350" s="19" t="n"/>
      <c r="B350" s="19" t="n"/>
      <c r="C350" s="19" t="n"/>
      <c r="D350" s="21" t="n"/>
      <c r="E350" s="19" t="n"/>
      <c r="F350" s="19" t="n"/>
      <c r="G350" s="22" t="n"/>
      <c r="H350" s="19" t="n"/>
      <c r="I350" s="19" t="n"/>
      <c r="J350" s="19" t="n"/>
      <c r="K350" s="19" t="n"/>
      <c r="L350" s="16">
        <f>IF(A350="","",SUMIF(Movimientos!$B$2:$B$3001,A350,Movimientos!$F$2:$F$3001))</f>
        <v/>
      </c>
      <c r="M350" s="17">
        <f>IF(A350="","",IF(COUNTIF(Movimientos!$B$2:$B$3001,A350)=0,"",_xlfn.MAXIFS(Movimientos!$A$2:$A$3001,Movimientos!$B$2:$B$3001,A350)))</f>
        <v/>
      </c>
      <c r="N350" s="18">
        <f>IF(A350="","",IF(AND(H350="Sí",I350="Sí",K350&lt;&gt;"Sí"),"Sí","No"))</f>
        <v/>
      </c>
      <c r="O350" s="18">
        <f>IF(S350="","",1+COUNTIFS($N$2:$N$501,"Sí",$S$2:$S$501,"&gt;"&amp;S350))</f>
        <v/>
      </c>
      <c r="P350" s="18">
        <f>IF(A350="","",INDEX(Logros!$A$2:$A$6,MATCH(N(L350),Logros!$C$2:$C$6,1)))</f>
        <v/>
      </c>
      <c r="Q350" s="19" t="n"/>
      <c r="R350" s="18">
        <f>IF(OR(A350="",P350=""),"",IF(P350&gt;N(Q350),"Sí: entregar nivel "&amp;(N(Q350)+1)&amp;IF(P350&gt;N(Q350)+1," al "&amp;P350,"")&amp;" (ver Logros)",""))</f>
        <v/>
      </c>
      <c r="S350" s="20">
        <f>IF(OR(A350="",N350&lt;&gt;"Sí",N(L350)&lt;=0),"",(N(L350)*100000-MAX(0,ROUND((N(M350)-DATE(2026,10,1))*1440,0)))*1000-ROW())</f>
        <v/>
      </c>
    </row>
    <row r="351">
      <c r="A351" s="19" t="n"/>
      <c r="B351" s="19" t="n"/>
      <c r="C351" s="19" t="n"/>
      <c r="D351" s="21" t="n"/>
      <c r="E351" s="19" t="n"/>
      <c r="F351" s="19" t="n"/>
      <c r="G351" s="22" t="n"/>
      <c r="H351" s="19" t="n"/>
      <c r="I351" s="19" t="n"/>
      <c r="J351" s="19" t="n"/>
      <c r="K351" s="19" t="n"/>
      <c r="L351" s="16">
        <f>IF(A351="","",SUMIF(Movimientos!$B$2:$B$3001,A351,Movimientos!$F$2:$F$3001))</f>
        <v/>
      </c>
      <c r="M351" s="17">
        <f>IF(A351="","",IF(COUNTIF(Movimientos!$B$2:$B$3001,A351)=0,"",_xlfn.MAXIFS(Movimientos!$A$2:$A$3001,Movimientos!$B$2:$B$3001,A351)))</f>
        <v/>
      </c>
      <c r="N351" s="18">
        <f>IF(A351="","",IF(AND(H351="Sí",I351="Sí",K351&lt;&gt;"Sí"),"Sí","No"))</f>
        <v/>
      </c>
      <c r="O351" s="18">
        <f>IF(S351="","",1+COUNTIFS($N$2:$N$501,"Sí",$S$2:$S$501,"&gt;"&amp;S351))</f>
        <v/>
      </c>
      <c r="P351" s="18">
        <f>IF(A351="","",INDEX(Logros!$A$2:$A$6,MATCH(N(L351),Logros!$C$2:$C$6,1)))</f>
        <v/>
      </c>
      <c r="Q351" s="19" t="n"/>
      <c r="R351" s="18">
        <f>IF(OR(A351="",P351=""),"",IF(P351&gt;N(Q351),"Sí: entregar nivel "&amp;(N(Q351)+1)&amp;IF(P351&gt;N(Q351)+1," al "&amp;P351,"")&amp;" (ver Logros)",""))</f>
        <v/>
      </c>
      <c r="S351" s="20">
        <f>IF(OR(A351="",N351&lt;&gt;"Sí",N(L351)&lt;=0),"",(N(L351)*100000-MAX(0,ROUND((N(M351)-DATE(2026,10,1))*1440,0)))*1000-ROW())</f>
        <v/>
      </c>
    </row>
    <row r="352">
      <c r="A352" s="19" t="n"/>
      <c r="B352" s="19" t="n"/>
      <c r="C352" s="19" t="n"/>
      <c r="D352" s="21" t="n"/>
      <c r="E352" s="19" t="n"/>
      <c r="F352" s="19" t="n"/>
      <c r="G352" s="22" t="n"/>
      <c r="H352" s="19" t="n"/>
      <c r="I352" s="19" t="n"/>
      <c r="J352" s="19" t="n"/>
      <c r="K352" s="19" t="n"/>
      <c r="L352" s="16">
        <f>IF(A352="","",SUMIF(Movimientos!$B$2:$B$3001,A352,Movimientos!$F$2:$F$3001))</f>
        <v/>
      </c>
      <c r="M352" s="17">
        <f>IF(A352="","",IF(COUNTIF(Movimientos!$B$2:$B$3001,A352)=0,"",_xlfn.MAXIFS(Movimientos!$A$2:$A$3001,Movimientos!$B$2:$B$3001,A352)))</f>
        <v/>
      </c>
      <c r="N352" s="18">
        <f>IF(A352="","",IF(AND(H352="Sí",I352="Sí",K352&lt;&gt;"Sí"),"Sí","No"))</f>
        <v/>
      </c>
      <c r="O352" s="18">
        <f>IF(S352="","",1+COUNTIFS($N$2:$N$501,"Sí",$S$2:$S$501,"&gt;"&amp;S352))</f>
        <v/>
      </c>
      <c r="P352" s="18">
        <f>IF(A352="","",INDEX(Logros!$A$2:$A$6,MATCH(N(L352),Logros!$C$2:$C$6,1)))</f>
        <v/>
      </c>
      <c r="Q352" s="19" t="n"/>
      <c r="R352" s="18">
        <f>IF(OR(A352="",P352=""),"",IF(P352&gt;N(Q352),"Sí: entregar nivel "&amp;(N(Q352)+1)&amp;IF(P352&gt;N(Q352)+1," al "&amp;P352,"")&amp;" (ver Logros)",""))</f>
        <v/>
      </c>
      <c r="S352" s="20">
        <f>IF(OR(A352="",N352&lt;&gt;"Sí",N(L352)&lt;=0),"",(N(L352)*100000-MAX(0,ROUND((N(M352)-DATE(2026,10,1))*1440,0)))*1000-ROW())</f>
        <v/>
      </c>
    </row>
    <row r="353">
      <c r="A353" s="19" t="n"/>
      <c r="B353" s="19" t="n"/>
      <c r="C353" s="19" t="n"/>
      <c r="D353" s="21" t="n"/>
      <c r="E353" s="19" t="n"/>
      <c r="F353" s="19" t="n"/>
      <c r="G353" s="22" t="n"/>
      <c r="H353" s="19" t="n"/>
      <c r="I353" s="19" t="n"/>
      <c r="J353" s="19" t="n"/>
      <c r="K353" s="19" t="n"/>
      <c r="L353" s="16">
        <f>IF(A353="","",SUMIF(Movimientos!$B$2:$B$3001,A353,Movimientos!$F$2:$F$3001))</f>
        <v/>
      </c>
      <c r="M353" s="17">
        <f>IF(A353="","",IF(COUNTIF(Movimientos!$B$2:$B$3001,A353)=0,"",_xlfn.MAXIFS(Movimientos!$A$2:$A$3001,Movimientos!$B$2:$B$3001,A353)))</f>
        <v/>
      </c>
      <c r="N353" s="18">
        <f>IF(A353="","",IF(AND(H353="Sí",I353="Sí",K353&lt;&gt;"Sí"),"Sí","No"))</f>
        <v/>
      </c>
      <c r="O353" s="18">
        <f>IF(S353="","",1+COUNTIFS($N$2:$N$501,"Sí",$S$2:$S$501,"&gt;"&amp;S353))</f>
        <v/>
      </c>
      <c r="P353" s="18">
        <f>IF(A353="","",INDEX(Logros!$A$2:$A$6,MATCH(N(L353),Logros!$C$2:$C$6,1)))</f>
        <v/>
      </c>
      <c r="Q353" s="19" t="n"/>
      <c r="R353" s="18">
        <f>IF(OR(A353="",P353=""),"",IF(P353&gt;N(Q353),"Sí: entregar nivel "&amp;(N(Q353)+1)&amp;IF(P353&gt;N(Q353)+1," al "&amp;P353,"")&amp;" (ver Logros)",""))</f>
        <v/>
      </c>
      <c r="S353" s="20">
        <f>IF(OR(A353="",N353&lt;&gt;"Sí",N(L353)&lt;=0),"",(N(L353)*100000-MAX(0,ROUND((N(M353)-DATE(2026,10,1))*1440,0)))*1000-ROW())</f>
        <v/>
      </c>
    </row>
    <row r="354">
      <c r="A354" s="19" t="n"/>
      <c r="B354" s="19" t="n"/>
      <c r="C354" s="19" t="n"/>
      <c r="D354" s="21" t="n"/>
      <c r="E354" s="19" t="n"/>
      <c r="F354" s="19" t="n"/>
      <c r="G354" s="22" t="n"/>
      <c r="H354" s="19" t="n"/>
      <c r="I354" s="19" t="n"/>
      <c r="J354" s="19" t="n"/>
      <c r="K354" s="19" t="n"/>
      <c r="L354" s="16">
        <f>IF(A354="","",SUMIF(Movimientos!$B$2:$B$3001,A354,Movimientos!$F$2:$F$3001))</f>
        <v/>
      </c>
      <c r="M354" s="17">
        <f>IF(A354="","",IF(COUNTIF(Movimientos!$B$2:$B$3001,A354)=0,"",_xlfn.MAXIFS(Movimientos!$A$2:$A$3001,Movimientos!$B$2:$B$3001,A354)))</f>
        <v/>
      </c>
      <c r="N354" s="18">
        <f>IF(A354="","",IF(AND(H354="Sí",I354="Sí",K354&lt;&gt;"Sí"),"Sí","No"))</f>
        <v/>
      </c>
      <c r="O354" s="18">
        <f>IF(S354="","",1+COUNTIFS($N$2:$N$501,"Sí",$S$2:$S$501,"&gt;"&amp;S354))</f>
        <v/>
      </c>
      <c r="P354" s="18">
        <f>IF(A354="","",INDEX(Logros!$A$2:$A$6,MATCH(N(L354),Logros!$C$2:$C$6,1)))</f>
        <v/>
      </c>
      <c r="Q354" s="19" t="n"/>
      <c r="R354" s="18">
        <f>IF(OR(A354="",P354=""),"",IF(P354&gt;N(Q354),"Sí: entregar nivel "&amp;(N(Q354)+1)&amp;IF(P354&gt;N(Q354)+1," al "&amp;P354,"")&amp;" (ver Logros)",""))</f>
        <v/>
      </c>
      <c r="S354" s="20">
        <f>IF(OR(A354="",N354&lt;&gt;"Sí",N(L354)&lt;=0),"",(N(L354)*100000-MAX(0,ROUND((N(M354)-DATE(2026,10,1))*1440,0)))*1000-ROW())</f>
        <v/>
      </c>
    </row>
    <row r="355">
      <c r="A355" s="19" t="n"/>
      <c r="B355" s="19" t="n"/>
      <c r="C355" s="19" t="n"/>
      <c r="D355" s="21" t="n"/>
      <c r="E355" s="19" t="n"/>
      <c r="F355" s="19" t="n"/>
      <c r="G355" s="22" t="n"/>
      <c r="H355" s="19" t="n"/>
      <c r="I355" s="19" t="n"/>
      <c r="J355" s="19" t="n"/>
      <c r="K355" s="19" t="n"/>
      <c r="L355" s="16">
        <f>IF(A355="","",SUMIF(Movimientos!$B$2:$B$3001,A355,Movimientos!$F$2:$F$3001))</f>
        <v/>
      </c>
      <c r="M355" s="17">
        <f>IF(A355="","",IF(COUNTIF(Movimientos!$B$2:$B$3001,A355)=0,"",_xlfn.MAXIFS(Movimientos!$A$2:$A$3001,Movimientos!$B$2:$B$3001,A355)))</f>
        <v/>
      </c>
      <c r="N355" s="18">
        <f>IF(A355="","",IF(AND(H355="Sí",I355="Sí",K355&lt;&gt;"Sí"),"Sí","No"))</f>
        <v/>
      </c>
      <c r="O355" s="18">
        <f>IF(S355="","",1+COUNTIFS($N$2:$N$501,"Sí",$S$2:$S$501,"&gt;"&amp;S355))</f>
        <v/>
      </c>
      <c r="P355" s="18">
        <f>IF(A355="","",INDEX(Logros!$A$2:$A$6,MATCH(N(L355),Logros!$C$2:$C$6,1)))</f>
        <v/>
      </c>
      <c r="Q355" s="19" t="n"/>
      <c r="R355" s="18">
        <f>IF(OR(A355="",P355=""),"",IF(P355&gt;N(Q355),"Sí: entregar nivel "&amp;(N(Q355)+1)&amp;IF(P355&gt;N(Q355)+1," al "&amp;P355,"")&amp;" (ver Logros)",""))</f>
        <v/>
      </c>
      <c r="S355" s="20">
        <f>IF(OR(A355="",N355&lt;&gt;"Sí",N(L355)&lt;=0),"",(N(L355)*100000-MAX(0,ROUND((N(M355)-DATE(2026,10,1))*1440,0)))*1000-ROW())</f>
        <v/>
      </c>
    </row>
    <row r="356">
      <c r="A356" s="19" t="n"/>
      <c r="B356" s="19" t="n"/>
      <c r="C356" s="19" t="n"/>
      <c r="D356" s="21" t="n"/>
      <c r="E356" s="19" t="n"/>
      <c r="F356" s="19" t="n"/>
      <c r="G356" s="22" t="n"/>
      <c r="H356" s="19" t="n"/>
      <c r="I356" s="19" t="n"/>
      <c r="J356" s="19" t="n"/>
      <c r="K356" s="19" t="n"/>
      <c r="L356" s="16">
        <f>IF(A356="","",SUMIF(Movimientos!$B$2:$B$3001,A356,Movimientos!$F$2:$F$3001))</f>
        <v/>
      </c>
      <c r="M356" s="17">
        <f>IF(A356="","",IF(COUNTIF(Movimientos!$B$2:$B$3001,A356)=0,"",_xlfn.MAXIFS(Movimientos!$A$2:$A$3001,Movimientos!$B$2:$B$3001,A356)))</f>
        <v/>
      </c>
      <c r="N356" s="18">
        <f>IF(A356="","",IF(AND(H356="Sí",I356="Sí",K356&lt;&gt;"Sí"),"Sí","No"))</f>
        <v/>
      </c>
      <c r="O356" s="18">
        <f>IF(S356="","",1+COUNTIFS($N$2:$N$501,"Sí",$S$2:$S$501,"&gt;"&amp;S356))</f>
        <v/>
      </c>
      <c r="P356" s="18">
        <f>IF(A356="","",INDEX(Logros!$A$2:$A$6,MATCH(N(L356),Logros!$C$2:$C$6,1)))</f>
        <v/>
      </c>
      <c r="Q356" s="19" t="n"/>
      <c r="R356" s="18">
        <f>IF(OR(A356="",P356=""),"",IF(P356&gt;N(Q356),"Sí: entregar nivel "&amp;(N(Q356)+1)&amp;IF(P356&gt;N(Q356)+1," al "&amp;P356,"")&amp;" (ver Logros)",""))</f>
        <v/>
      </c>
      <c r="S356" s="20">
        <f>IF(OR(A356="",N356&lt;&gt;"Sí",N(L356)&lt;=0),"",(N(L356)*100000-MAX(0,ROUND((N(M356)-DATE(2026,10,1))*1440,0)))*1000-ROW())</f>
        <v/>
      </c>
    </row>
    <row r="357">
      <c r="A357" s="19" t="n"/>
      <c r="B357" s="19" t="n"/>
      <c r="C357" s="19" t="n"/>
      <c r="D357" s="21" t="n"/>
      <c r="E357" s="19" t="n"/>
      <c r="F357" s="19" t="n"/>
      <c r="G357" s="22" t="n"/>
      <c r="H357" s="19" t="n"/>
      <c r="I357" s="19" t="n"/>
      <c r="J357" s="19" t="n"/>
      <c r="K357" s="19" t="n"/>
      <c r="L357" s="16">
        <f>IF(A357="","",SUMIF(Movimientos!$B$2:$B$3001,A357,Movimientos!$F$2:$F$3001))</f>
        <v/>
      </c>
      <c r="M357" s="17">
        <f>IF(A357="","",IF(COUNTIF(Movimientos!$B$2:$B$3001,A357)=0,"",_xlfn.MAXIFS(Movimientos!$A$2:$A$3001,Movimientos!$B$2:$B$3001,A357)))</f>
        <v/>
      </c>
      <c r="N357" s="18">
        <f>IF(A357="","",IF(AND(H357="Sí",I357="Sí",K357&lt;&gt;"Sí"),"Sí","No"))</f>
        <v/>
      </c>
      <c r="O357" s="18">
        <f>IF(S357="","",1+COUNTIFS($N$2:$N$501,"Sí",$S$2:$S$501,"&gt;"&amp;S357))</f>
        <v/>
      </c>
      <c r="P357" s="18">
        <f>IF(A357="","",INDEX(Logros!$A$2:$A$6,MATCH(N(L357),Logros!$C$2:$C$6,1)))</f>
        <v/>
      </c>
      <c r="Q357" s="19" t="n"/>
      <c r="R357" s="18">
        <f>IF(OR(A357="",P357=""),"",IF(P357&gt;N(Q357),"Sí: entregar nivel "&amp;(N(Q357)+1)&amp;IF(P357&gt;N(Q357)+1," al "&amp;P357,"")&amp;" (ver Logros)",""))</f>
        <v/>
      </c>
      <c r="S357" s="20">
        <f>IF(OR(A357="",N357&lt;&gt;"Sí",N(L357)&lt;=0),"",(N(L357)*100000-MAX(0,ROUND((N(M357)-DATE(2026,10,1))*1440,0)))*1000-ROW())</f>
        <v/>
      </c>
    </row>
    <row r="358">
      <c r="A358" s="19" t="n"/>
      <c r="B358" s="19" t="n"/>
      <c r="C358" s="19" t="n"/>
      <c r="D358" s="21" t="n"/>
      <c r="E358" s="19" t="n"/>
      <c r="F358" s="19" t="n"/>
      <c r="G358" s="22" t="n"/>
      <c r="H358" s="19" t="n"/>
      <c r="I358" s="19" t="n"/>
      <c r="J358" s="19" t="n"/>
      <c r="K358" s="19" t="n"/>
      <c r="L358" s="16">
        <f>IF(A358="","",SUMIF(Movimientos!$B$2:$B$3001,A358,Movimientos!$F$2:$F$3001))</f>
        <v/>
      </c>
      <c r="M358" s="17">
        <f>IF(A358="","",IF(COUNTIF(Movimientos!$B$2:$B$3001,A358)=0,"",_xlfn.MAXIFS(Movimientos!$A$2:$A$3001,Movimientos!$B$2:$B$3001,A358)))</f>
        <v/>
      </c>
      <c r="N358" s="18">
        <f>IF(A358="","",IF(AND(H358="Sí",I358="Sí",K358&lt;&gt;"Sí"),"Sí","No"))</f>
        <v/>
      </c>
      <c r="O358" s="18">
        <f>IF(S358="","",1+COUNTIFS($N$2:$N$501,"Sí",$S$2:$S$501,"&gt;"&amp;S358))</f>
        <v/>
      </c>
      <c r="P358" s="18">
        <f>IF(A358="","",INDEX(Logros!$A$2:$A$6,MATCH(N(L358),Logros!$C$2:$C$6,1)))</f>
        <v/>
      </c>
      <c r="Q358" s="19" t="n"/>
      <c r="R358" s="18">
        <f>IF(OR(A358="",P358=""),"",IF(P358&gt;N(Q358),"Sí: entregar nivel "&amp;(N(Q358)+1)&amp;IF(P358&gt;N(Q358)+1," al "&amp;P358,"")&amp;" (ver Logros)",""))</f>
        <v/>
      </c>
      <c r="S358" s="20">
        <f>IF(OR(A358="",N358&lt;&gt;"Sí",N(L358)&lt;=0),"",(N(L358)*100000-MAX(0,ROUND((N(M358)-DATE(2026,10,1))*1440,0)))*1000-ROW())</f>
        <v/>
      </c>
    </row>
    <row r="359">
      <c r="A359" s="19" t="n"/>
      <c r="B359" s="19" t="n"/>
      <c r="C359" s="19" t="n"/>
      <c r="D359" s="21" t="n"/>
      <c r="E359" s="19" t="n"/>
      <c r="F359" s="19" t="n"/>
      <c r="G359" s="22" t="n"/>
      <c r="H359" s="19" t="n"/>
      <c r="I359" s="19" t="n"/>
      <c r="J359" s="19" t="n"/>
      <c r="K359" s="19" t="n"/>
      <c r="L359" s="16">
        <f>IF(A359="","",SUMIF(Movimientos!$B$2:$B$3001,A359,Movimientos!$F$2:$F$3001))</f>
        <v/>
      </c>
      <c r="M359" s="17">
        <f>IF(A359="","",IF(COUNTIF(Movimientos!$B$2:$B$3001,A359)=0,"",_xlfn.MAXIFS(Movimientos!$A$2:$A$3001,Movimientos!$B$2:$B$3001,A359)))</f>
        <v/>
      </c>
      <c r="N359" s="18">
        <f>IF(A359="","",IF(AND(H359="Sí",I359="Sí",K359&lt;&gt;"Sí"),"Sí","No"))</f>
        <v/>
      </c>
      <c r="O359" s="18">
        <f>IF(S359="","",1+COUNTIFS($N$2:$N$501,"Sí",$S$2:$S$501,"&gt;"&amp;S359))</f>
        <v/>
      </c>
      <c r="P359" s="18">
        <f>IF(A359="","",INDEX(Logros!$A$2:$A$6,MATCH(N(L359),Logros!$C$2:$C$6,1)))</f>
        <v/>
      </c>
      <c r="Q359" s="19" t="n"/>
      <c r="R359" s="18">
        <f>IF(OR(A359="",P359=""),"",IF(P359&gt;N(Q359),"Sí: entregar nivel "&amp;(N(Q359)+1)&amp;IF(P359&gt;N(Q359)+1," al "&amp;P359,"")&amp;" (ver Logros)",""))</f>
        <v/>
      </c>
      <c r="S359" s="20">
        <f>IF(OR(A359="",N359&lt;&gt;"Sí",N(L359)&lt;=0),"",(N(L359)*100000-MAX(0,ROUND((N(M359)-DATE(2026,10,1))*1440,0)))*1000-ROW())</f>
        <v/>
      </c>
    </row>
    <row r="360">
      <c r="A360" s="19" t="n"/>
      <c r="B360" s="19" t="n"/>
      <c r="C360" s="19" t="n"/>
      <c r="D360" s="21" t="n"/>
      <c r="E360" s="19" t="n"/>
      <c r="F360" s="19" t="n"/>
      <c r="G360" s="22" t="n"/>
      <c r="H360" s="19" t="n"/>
      <c r="I360" s="19" t="n"/>
      <c r="J360" s="19" t="n"/>
      <c r="K360" s="19" t="n"/>
      <c r="L360" s="16">
        <f>IF(A360="","",SUMIF(Movimientos!$B$2:$B$3001,A360,Movimientos!$F$2:$F$3001))</f>
        <v/>
      </c>
      <c r="M360" s="17">
        <f>IF(A360="","",IF(COUNTIF(Movimientos!$B$2:$B$3001,A360)=0,"",_xlfn.MAXIFS(Movimientos!$A$2:$A$3001,Movimientos!$B$2:$B$3001,A360)))</f>
        <v/>
      </c>
      <c r="N360" s="18">
        <f>IF(A360="","",IF(AND(H360="Sí",I360="Sí",K360&lt;&gt;"Sí"),"Sí","No"))</f>
        <v/>
      </c>
      <c r="O360" s="18">
        <f>IF(S360="","",1+COUNTIFS($N$2:$N$501,"Sí",$S$2:$S$501,"&gt;"&amp;S360))</f>
        <v/>
      </c>
      <c r="P360" s="18">
        <f>IF(A360="","",INDEX(Logros!$A$2:$A$6,MATCH(N(L360),Logros!$C$2:$C$6,1)))</f>
        <v/>
      </c>
      <c r="Q360" s="19" t="n"/>
      <c r="R360" s="18">
        <f>IF(OR(A360="",P360=""),"",IF(P360&gt;N(Q360),"Sí: entregar nivel "&amp;(N(Q360)+1)&amp;IF(P360&gt;N(Q360)+1," al "&amp;P360,"")&amp;" (ver Logros)",""))</f>
        <v/>
      </c>
      <c r="S360" s="20">
        <f>IF(OR(A360="",N360&lt;&gt;"Sí",N(L360)&lt;=0),"",(N(L360)*100000-MAX(0,ROUND((N(M360)-DATE(2026,10,1))*1440,0)))*1000-ROW())</f>
        <v/>
      </c>
    </row>
    <row r="361">
      <c r="A361" s="19" t="n"/>
      <c r="B361" s="19" t="n"/>
      <c r="C361" s="19" t="n"/>
      <c r="D361" s="21" t="n"/>
      <c r="E361" s="19" t="n"/>
      <c r="F361" s="19" t="n"/>
      <c r="G361" s="22" t="n"/>
      <c r="H361" s="19" t="n"/>
      <c r="I361" s="19" t="n"/>
      <c r="J361" s="19" t="n"/>
      <c r="K361" s="19" t="n"/>
      <c r="L361" s="16">
        <f>IF(A361="","",SUMIF(Movimientos!$B$2:$B$3001,A361,Movimientos!$F$2:$F$3001))</f>
        <v/>
      </c>
      <c r="M361" s="17">
        <f>IF(A361="","",IF(COUNTIF(Movimientos!$B$2:$B$3001,A361)=0,"",_xlfn.MAXIFS(Movimientos!$A$2:$A$3001,Movimientos!$B$2:$B$3001,A361)))</f>
        <v/>
      </c>
      <c r="N361" s="18">
        <f>IF(A361="","",IF(AND(H361="Sí",I361="Sí",K361&lt;&gt;"Sí"),"Sí","No"))</f>
        <v/>
      </c>
      <c r="O361" s="18">
        <f>IF(S361="","",1+COUNTIFS($N$2:$N$501,"Sí",$S$2:$S$501,"&gt;"&amp;S361))</f>
        <v/>
      </c>
      <c r="P361" s="18">
        <f>IF(A361="","",INDEX(Logros!$A$2:$A$6,MATCH(N(L361),Logros!$C$2:$C$6,1)))</f>
        <v/>
      </c>
      <c r="Q361" s="19" t="n"/>
      <c r="R361" s="18">
        <f>IF(OR(A361="",P361=""),"",IF(P361&gt;N(Q361),"Sí: entregar nivel "&amp;(N(Q361)+1)&amp;IF(P361&gt;N(Q361)+1," al "&amp;P361,"")&amp;" (ver Logros)",""))</f>
        <v/>
      </c>
      <c r="S361" s="20">
        <f>IF(OR(A361="",N361&lt;&gt;"Sí",N(L361)&lt;=0),"",(N(L361)*100000-MAX(0,ROUND((N(M361)-DATE(2026,10,1))*1440,0)))*1000-ROW())</f>
        <v/>
      </c>
    </row>
    <row r="362">
      <c r="A362" s="19" t="n"/>
      <c r="B362" s="19" t="n"/>
      <c r="C362" s="19" t="n"/>
      <c r="D362" s="21" t="n"/>
      <c r="E362" s="19" t="n"/>
      <c r="F362" s="19" t="n"/>
      <c r="G362" s="22" t="n"/>
      <c r="H362" s="19" t="n"/>
      <c r="I362" s="19" t="n"/>
      <c r="J362" s="19" t="n"/>
      <c r="K362" s="19" t="n"/>
      <c r="L362" s="16">
        <f>IF(A362="","",SUMIF(Movimientos!$B$2:$B$3001,A362,Movimientos!$F$2:$F$3001))</f>
        <v/>
      </c>
      <c r="M362" s="17">
        <f>IF(A362="","",IF(COUNTIF(Movimientos!$B$2:$B$3001,A362)=0,"",_xlfn.MAXIFS(Movimientos!$A$2:$A$3001,Movimientos!$B$2:$B$3001,A362)))</f>
        <v/>
      </c>
      <c r="N362" s="18">
        <f>IF(A362="","",IF(AND(H362="Sí",I362="Sí",K362&lt;&gt;"Sí"),"Sí","No"))</f>
        <v/>
      </c>
      <c r="O362" s="18">
        <f>IF(S362="","",1+COUNTIFS($N$2:$N$501,"Sí",$S$2:$S$501,"&gt;"&amp;S362))</f>
        <v/>
      </c>
      <c r="P362" s="18">
        <f>IF(A362="","",INDEX(Logros!$A$2:$A$6,MATCH(N(L362),Logros!$C$2:$C$6,1)))</f>
        <v/>
      </c>
      <c r="Q362" s="19" t="n"/>
      <c r="R362" s="18">
        <f>IF(OR(A362="",P362=""),"",IF(P362&gt;N(Q362),"Sí: entregar nivel "&amp;(N(Q362)+1)&amp;IF(P362&gt;N(Q362)+1," al "&amp;P362,"")&amp;" (ver Logros)",""))</f>
        <v/>
      </c>
      <c r="S362" s="20">
        <f>IF(OR(A362="",N362&lt;&gt;"Sí",N(L362)&lt;=0),"",(N(L362)*100000-MAX(0,ROUND((N(M362)-DATE(2026,10,1))*1440,0)))*1000-ROW())</f>
        <v/>
      </c>
    </row>
    <row r="363">
      <c r="A363" s="19" t="n"/>
      <c r="B363" s="19" t="n"/>
      <c r="C363" s="19" t="n"/>
      <c r="D363" s="21" t="n"/>
      <c r="E363" s="19" t="n"/>
      <c r="F363" s="19" t="n"/>
      <c r="G363" s="22" t="n"/>
      <c r="H363" s="19" t="n"/>
      <c r="I363" s="19" t="n"/>
      <c r="J363" s="19" t="n"/>
      <c r="K363" s="19" t="n"/>
      <c r="L363" s="16">
        <f>IF(A363="","",SUMIF(Movimientos!$B$2:$B$3001,A363,Movimientos!$F$2:$F$3001))</f>
        <v/>
      </c>
      <c r="M363" s="17">
        <f>IF(A363="","",IF(COUNTIF(Movimientos!$B$2:$B$3001,A363)=0,"",_xlfn.MAXIFS(Movimientos!$A$2:$A$3001,Movimientos!$B$2:$B$3001,A363)))</f>
        <v/>
      </c>
      <c r="N363" s="18">
        <f>IF(A363="","",IF(AND(H363="Sí",I363="Sí",K363&lt;&gt;"Sí"),"Sí","No"))</f>
        <v/>
      </c>
      <c r="O363" s="18">
        <f>IF(S363="","",1+COUNTIFS($N$2:$N$501,"Sí",$S$2:$S$501,"&gt;"&amp;S363))</f>
        <v/>
      </c>
      <c r="P363" s="18">
        <f>IF(A363="","",INDEX(Logros!$A$2:$A$6,MATCH(N(L363),Logros!$C$2:$C$6,1)))</f>
        <v/>
      </c>
      <c r="Q363" s="19" t="n"/>
      <c r="R363" s="18">
        <f>IF(OR(A363="",P363=""),"",IF(P363&gt;N(Q363),"Sí: entregar nivel "&amp;(N(Q363)+1)&amp;IF(P363&gt;N(Q363)+1," al "&amp;P363,"")&amp;" (ver Logros)",""))</f>
        <v/>
      </c>
      <c r="S363" s="20">
        <f>IF(OR(A363="",N363&lt;&gt;"Sí",N(L363)&lt;=0),"",(N(L363)*100000-MAX(0,ROUND((N(M363)-DATE(2026,10,1))*1440,0)))*1000-ROW())</f>
        <v/>
      </c>
    </row>
    <row r="364">
      <c r="A364" s="19" t="n"/>
      <c r="B364" s="19" t="n"/>
      <c r="C364" s="19" t="n"/>
      <c r="D364" s="21" t="n"/>
      <c r="E364" s="19" t="n"/>
      <c r="F364" s="19" t="n"/>
      <c r="G364" s="22" t="n"/>
      <c r="H364" s="19" t="n"/>
      <c r="I364" s="19" t="n"/>
      <c r="J364" s="19" t="n"/>
      <c r="K364" s="19" t="n"/>
      <c r="L364" s="16">
        <f>IF(A364="","",SUMIF(Movimientos!$B$2:$B$3001,A364,Movimientos!$F$2:$F$3001))</f>
        <v/>
      </c>
      <c r="M364" s="17">
        <f>IF(A364="","",IF(COUNTIF(Movimientos!$B$2:$B$3001,A364)=0,"",_xlfn.MAXIFS(Movimientos!$A$2:$A$3001,Movimientos!$B$2:$B$3001,A364)))</f>
        <v/>
      </c>
      <c r="N364" s="18">
        <f>IF(A364="","",IF(AND(H364="Sí",I364="Sí",K364&lt;&gt;"Sí"),"Sí","No"))</f>
        <v/>
      </c>
      <c r="O364" s="18">
        <f>IF(S364="","",1+COUNTIFS($N$2:$N$501,"Sí",$S$2:$S$501,"&gt;"&amp;S364))</f>
        <v/>
      </c>
      <c r="P364" s="18">
        <f>IF(A364="","",INDEX(Logros!$A$2:$A$6,MATCH(N(L364),Logros!$C$2:$C$6,1)))</f>
        <v/>
      </c>
      <c r="Q364" s="19" t="n"/>
      <c r="R364" s="18">
        <f>IF(OR(A364="",P364=""),"",IF(P364&gt;N(Q364),"Sí: entregar nivel "&amp;(N(Q364)+1)&amp;IF(P364&gt;N(Q364)+1," al "&amp;P364,"")&amp;" (ver Logros)",""))</f>
        <v/>
      </c>
      <c r="S364" s="20">
        <f>IF(OR(A364="",N364&lt;&gt;"Sí",N(L364)&lt;=0),"",(N(L364)*100000-MAX(0,ROUND((N(M364)-DATE(2026,10,1))*1440,0)))*1000-ROW())</f>
        <v/>
      </c>
    </row>
    <row r="365">
      <c r="A365" s="19" t="n"/>
      <c r="B365" s="19" t="n"/>
      <c r="C365" s="19" t="n"/>
      <c r="D365" s="21" t="n"/>
      <c r="E365" s="19" t="n"/>
      <c r="F365" s="19" t="n"/>
      <c r="G365" s="22" t="n"/>
      <c r="H365" s="19" t="n"/>
      <c r="I365" s="19" t="n"/>
      <c r="J365" s="19" t="n"/>
      <c r="K365" s="19" t="n"/>
      <c r="L365" s="16">
        <f>IF(A365="","",SUMIF(Movimientos!$B$2:$B$3001,A365,Movimientos!$F$2:$F$3001))</f>
        <v/>
      </c>
      <c r="M365" s="17">
        <f>IF(A365="","",IF(COUNTIF(Movimientos!$B$2:$B$3001,A365)=0,"",_xlfn.MAXIFS(Movimientos!$A$2:$A$3001,Movimientos!$B$2:$B$3001,A365)))</f>
        <v/>
      </c>
      <c r="N365" s="18">
        <f>IF(A365="","",IF(AND(H365="Sí",I365="Sí",K365&lt;&gt;"Sí"),"Sí","No"))</f>
        <v/>
      </c>
      <c r="O365" s="18">
        <f>IF(S365="","",1+COUNTIFS($N$2:$N$501,"Sí",$S$2:$S$501,"&gt;"&amp;S365))</f>
        <v/>
      </c>
      <c r="P365" s="18">
        <f>IF(A365="","",INDEX(Logros!$A$2:$A$6,MATCH(N(L365),Logros!$C$2:$C$6,1)))</f>
        <v/>
      </c>
      <c r="Q365" s="19" t="n"/>
      <c r="R365" s="18">
        <f>IF(OR(A365="",P365=""),"",IF(P365&gt;N(Q365),"Sí: entregar nivel "&amp;(N(Q365)+1)&amp;IF(P365&gt;N(Q365)+1," al "&amp;P365,"")&amp;" (ver Logros)",""))</f>
        <v/>
      </c>
      <c r="S365" s="20">
        <f>IF(OR(A365="",N365&lt;&gt;"Sí",N(L365)&lt;=0),"",(N(L365)*100000-MAX(0,ROUND((N(M365)-DATE(2026,10,1))*1440,0)))*1000-ROW())</f>
        <v/>
      </c>
    </row>
    <row r="366">
      <c r="A366" s="19" t="n"/>
      <c r="B366" s="19" t="n"/>
      <c r="C366" s="19" t="n"/>
      <c r="D366" s="21" t="n"/>
      <c r="E366" s="19" t="n"/>
      <c r="F366" s="19" t="n"/>
      <c r="G366" s="22" t="n"/>
      <c r="H366" s="19" t="n"/>
      <c r="I366" s="19" t="n"/>
      <c r="J366" s="19" t="n"/>
      <c r="K366" s="19" t="n"/>
      <c r="L366" s="16">
        <f>IF(A366="","",SUMIF(Movimientos!$B$2:$B$3001,A366,Movimientos!$F$2:$F$3001))</f>
        <v/>
      </c>
      <c r="M366" s="17">
        <f>IF(A366="","",IF(COUNTIF(Movimientos!$B$2:$B$3001,A366)=0,"",_xlfn.MAXIFS(Movimientos!$A$2:$A$3001,Movimientos!$B$2:$B$3001,A366)))</f>
        <v/>
      </c>
      <c r="N366" s="18">
        <f>IF(A366="","",IF(AND(H366="Sí",I366="Sí",K366&lt;&gt;"Sí"),"Sí","No"))</f>
        <v/>
      </c>
      <c r="O366" s="18">
        <f>IF(S366="","",1+COUNTIFS($N$2:$N$501,"Sí",$S$2:$S$501,"&gt;"&amp;S366))</f>
        <v/>
      </c>
      <c r="P366" s="18">
        <f>IF(A366="","",INDEX(Logros!$A$2:$A$6,MATCH(N(L366),Logros!$C$2:$C$6,1)))</f>
        <v/>
      </c>
      <c r="Q366" s="19" t="n"/>
      <c r="R366" s="18">
        <f>IF(OR(A366="",P366=""),"",IF(P366&gt;N(Q366),"Sí: entregar nivel "&amp;(N(Q366)+1)&amp;IF(P366&gt;N(Q366)+1," al "&amp;P366,"")&amp;" (ver Logros)",""))</f>
        <v/>
      </c>
      <c r="S366" s="20">
        <f>IF(OR(A366="",N366&lt;&gt;"Sí",N(L366)&lt;=0),"",(N(L366)*100000-MAX(0,ROUND((N(M366)-DATE(2026,10,1))*1440,0)))*1000-ROW())</f>
        <v/>
      </c>
    </row>
    <row r="367">
      <c r="A367" s="19" t="n"/>
      <c r="B367" s="19" t="n"/>
      <c r="C367" s="19" t="n"/>
      <c r="D367" s="21" t="n"/>
      <c r="E367" s="19" t="n"/>
      <c r="F367" s="19" t="n"/>
      <c r="G367" s="22" t="n"/>
      <c r="H367" s="19" t="n"/>
      <c r="I367" s="19" t="n"/>
      <c r="J367" s="19" t="n"/>
      <c r="K367" s="19" t="n"/>
      <c r="L367" s="16">
        <f>IF(A367="","",SUMIF(Movimientos!$B$2:$B$3001,A367,Movimientos!$F$2:$F$3001))</f>
        <v/>
      </c>
      <c r="M367" s="17">
        <f>IF(A367="","",IF(COUNTIF(Movimientos!$B$2:$B$3001,A367)=0,"",_xlfn.MAXIFS(Movimientos!$A$2:$A$3001,Movimientos!$B$2:$B$3001,A367)))</f>
        <v/>
      </c>
      <c r="N367" s="18">
        <f>IF(A367="","",IF(AND(H367="Sí",I367="Sí",K367&lt;&gt;"Sí"),"Sí","No"))</f>
        <v/>
      </c>
      <c r="O367" s="18">
        <f>IF(S367="","",1+COUNTIFS($N$2:$N$501,"Sí",$S$2:$S$501,"&gt;"&amp;S367))</f>
        <v/>
      </c>
      <c r="P367" s="18">
        <f>IF(A367="","",INDEX(Logros!$A$2:$A$6,MATCH(N(L367),Logros!$C$2:$C$6,1)))</f>
        <v/>
      </c>
      <c r="Q367" s="19" t="n"/>
      <c r="R367" s="18">
        <f>IF(OR(A367="",P367=""),"",IF(P367&gt;N(Q367),"Sí: entregar nivel "&amp;(N(Q367)+1)&amp;IF(P367&gt;N(Q367)+1," al "&amp;P367,"")&amp;" (ver Logros)",""))</f>
        <v/>
      </c>
      <c r="S367" s="20">
        <f>IF(OR(A367="",N367&lt;&gt;"Sí",N(L367)&lt;=0),"",(N(L367)*100000-MAX(0,ROUND((N(M367)-DATE(2026,10,1))*1440,0)))*1000-ROW())</f>
        <v/>
      </c>
    </row>
    <row r="368">
      <c r="A368" s="19" t="n"/>
      <c r="B368" s="19" t="n"/>
      <c r="C368" s="19" t="n"/>
      <c r="D368" s="21" t="n"/>
      <c r="E368" s="19" t="n"/>
      <c r="F368" s="19" t="n"/>
      <c r="G368" s="22" t="n"/>
      <c r="H368" s="19" t="n"/>
      <c r="I368" s="19" t="n"/>
      <c r="J368" s="19" t="n"/>
      <c r="K368" s="19" t="n"/>
      <c r="L368" s="16">
        <f>IF(A368="","",SUMIF(Movimientos!$B$2:$B$3001,A368,Movimientos!$F$2:$F$3001))</f>
        <v/>
      </c>
      <c r="M368" s="17">
        <f>IF(A368="","",IF(COUNTIF(Movimientos!$B$2:$B$3001,A368)=0,"",_xlfn.MAXIFS(Movimientos!$A$2:$A$3001,Movimientos!$B$2:$B$3001,A368)))</f>
        <v/>
      </c>
      <c r="N368" s="18">
        <f>IF(A368="","",IF(AND(H368="Sí",I368="Sí",K368&lt;&gt;"Sí"),"Sí","No"))</f>
        <v/>
      </c>
      <c r="O368" s="18">
        <f>IF(S368="","",1+COUNTIFS($N$2:$N$501,"Sí",$S$2:$S$501,"&gt;"&amp;S368))</f>
        <v/>
      </c>
      <c r="P368" s="18">
        <f>IF(A368="","",INDEX(Logros!$A$2:$A$6,MATCH(N(L368),Logros!$C$2:$C$6,1)))</f>
        <v/>
      </c>
      <c r="Q368" s="19" t="n"/>
      <c r="R368" s="18">
        <f>IF(OR(A368="",P368=""),"",IF(P368&gt;N(Q368),"Sí: entregar nivel "&amp;(N(Q368)+1)&amp;IF(P368&gt;N(Q368)+1," al "&amp;P368,"")&amp;" (ver Logros)",""))</f>
        <v/>
      </c>
      <c r="S368" s="20">
        <f>IF(OR(A368="",N368&lt;&gt;"Sí",N(L368)&lt;=0),"",(N(L368)*100000-MAX(0,ROUND((N(M368)-DATE(2026,10,1))*1440,0)))*1000-ROW())</f>
        <v/>
      </c>
    </row>
    <row r="369">
      <c r="A369" s="19" t="n"/>
      <c r="B369" s="19" t="n"/>
      <c r="C369" s="19" t="n"/>
      <c r="D369" s="21" t="n"/>
      <c r="E369" s="19" t="n"/>
      <c r="F369" s="19" t="n"/>
      <c r="G369" s="22" t="n"/>
      <c r="H369" s="19" t="n"/>
      <c r="I369" s="19" t="n"/>
      <c r="J369" s="19" t="n"/>
      <c r="K369" s="19" t="n"/>
      <c r="L369" s="16">
        <f>IF(A369="","",SUMIF(Movimientos!$B$2:$B$3001,A369,Movimientos!$F$2:$F$3001))</f>
        <v/>
      </c>
      <c r="M369" s="17">
        <f>IF(A369="","",IF(COUNTIF(Movimientos!$B$2:$B$3001,A369)=0,"",_xlfn.MAXIFS(Movimientos!$A$2:$A$3001,Movimientos!$B$2:$B$3001,A369)))</f>
        <v/>
      </c>
      <c r="N369" s="18">
        <f>IF(A369="","",IF(AND(H369="Sí",I369="Sí",K369&lt;&gt;"Sí"),"Sí","No"))</f>
        <v/>
      </c>
      <c r="O369" s="18">
        <f>IF(S369="","",1+COUNTIFS($N$2:$N$501,"Sí",$S$2:$S$501,"&gt;"&amp;S369))</f>
        <v/>
      </c>
      <c r="P369" s="18">
        <f>IF(A369="","",INDEX(Logros!$A$2:$A$6,MATCH(N(L369),Logros!$C$2:$C$6,1)))</f>
        <v/>
      </c>
      <c r="Q369" s="19" t="n"/>
      <c r="R369" s="18">
        <f>IF(OR(A369="",P369=""),"",IF(P369&gt;N(Q369),"Sí: entregar nivel "&amp;(N(Q369)+1)&amp;IF(P369&gt;N(Q369)+1," al "&amp;P369,"")&amp;" (ver Logros)",""))</f>
        <v/>
      </c>
      <c r="S369" s="20">
        <f>IF(OR(A369="",N369&lt;&gt;"Sí",N(L369)&lt;=0),"",(N(L369)*100000-MAX(0,ROUND((N(M369)-DATE(2026,10,1))*1440,0)))*1000-ROW())</f>
        <v/>
      </c>
    </row>
    <row r="370">
      <c r="A370" s="19" t="n"/>
      <c r="B370" s="19" t="n"/>
      <c r="C370" s="19" t="n"/>
      <c r="D370" s="21" t="n"/>
      <c r="E370" s="19" t="n"/>
      <c r="F370" s="19" t="n"/>
      <c r="G370" s="22" t="n"/>
      <c r="H370" s="19" t="n"/>
      <c r="I370" s="19" t="n"/>
      <c r="J370" s="19" t="n"/>
      <c r="K370" s="19" t="n"/>
      <c r="L370" s="16">
        <f>IF(A370="","",SUMIF(Movimientos!$B$2:$B$3001,A370,Movimientos!$F$2:$F$3001))</f>
        <v/>
      </c>
      <c r="M370" s="17">
        <f>IF(A370="","",IF(COUNTIF(Movimientos!$B$2:$B$3001,A370)=0,"",_xlfn.MAXIFS(Movimientos!$A$2:$A$3001,Movimientos!$B$2:$B$3001,A370)))</f>
        <v/>
      </c>
      <c r="N370" s="18">
        <f>IF(A370="","",IF(AND(H370="Sí",I370="Sí",K370&lt;&gt;"Sí"),"Sí","No"))</f>
        <v/>
      </c>
      <c r="O370" s="18">
        <f>IF(S370="","",1+COUNTIFS($N$2:$N$501,"Sí",$S$2:$S$501,"&gt;"&amp;S370))</f>
        <v/>
      </c>
      <c r="P370" s="18">
        <f>IF(A370="","",INDEX(Logros!$A$2:$A$6,MATCH(N(L370),Logros!$C$2:$C$6,1)))</f>
        <v/>
      </c>
      <c r="Q370" s="19" t="n"/>
      <c r="R370" s="18">
        <f>IF(OR(A370="",P370=""),"",IF(P370&gt;N(Q370),"Sí: entregar nivel "&amp;(N(Q370)+1)&amp;IF(P370&gt;N(Q370)+1," al "&amp;P370,"")&amp;" (ver Logros)",""))</f>
        <v/>
      </c>
      <c r="S370" s="20">
        <f>IF(OR(A370="",N370&lt;&gt;"Sí",N(L370)&lt;=0),"",(N(L370)*100000-MAX(0,ROUND((N(M370)-DATE(2026,10,1))*1440,0)))*1000-ROW())</f>
        <v/>
      </c>
    </row>
    <row r="371">
      <c r="A371" s="19" t="n"/>
      <c r="B371" s="19" t="n"/>
      <c r="C371" s="19" t="n"/>
      <c r="D371" s="21" t="n"/>
      <c r="E371" s="19" t="n"/>
      <c r="F371" s="19" t="n"/>
      <c r="G371" s="22" t="n"/>
      <c r="H371" s="19" t="n"/>
      <c r="I371" s="19" t="n"/>
      <c r="J371" s="19" t="n"/>
      <c r="K371" s="19" t="n"/>
      <c r="L371" s="16">
        <f>IF(A371="","",SUMIF(Movimientos!$B$2:$B$3001,A371,Movimientos!$F$2:$F$3001))</f>
        <v/>
      </c>
      <c r="M371" s="17">
        <f>IF(A371="","",IF(COUNTIF(Movimientos!$B$2:$B$3001,A371)=0,"",_xlfn.MAXIFS(Movimientos!$A$2:$A$3001,Movimientos!$B$2:$B$3001,A371)))</f>
        <v/>
      </c>
      <c r="N371" s="18">
        <f>IF(A371="","",IF(AND(H371="Sí",I371="Sí",K371&lt;&gt;"Sí"),"Sí","No"))</f>
        <v/>
      </c>
      <c r="O371" s="18">
        <f>IF(S371="","",1+COUNTIFS($N$2:$N$501,"Sí",$S$2:$S$501,"&gt;"&amp;S371))</f>
        <v/>
      </c>
      <c r="P371" s="18">
        <f>IF(A371="","",INDEX(Logros!$A$2:$A$6,MATCH(N(L371),Logros!$C$2:$C$6,1)))</f>
        <v/>
      </c>
      <c r="Q371" s="19" t="n"/>
      <c r="R371" s="18">
        <f>IF(OR(A371="",P371=""),"",IF(P371&gt;N(Q371),"Sí: entregar nivel "&amp;(N(Q371)+1)&amp;IF(P371&gt;N(Q371)+1," al "&amp;P371,"")&amp;" (ver Logros)",""))</f>
        <v/>
      </c>
      <c r="S371" s="20">
        <f>IF(OR(A371="",N371&lt;&gt;"Sí",N(L371)&lt;=0),"",(N(L371)*100000-MAX(0,ROUND((N(M371)-DATE(2026,10,1))*1440,0)))*1000-ROW())</f>
        <v/>
      </c>
    </row>
    <row r="372">
      <c r="A372" s="19" t="n"/>
      <c r="B372" s="19" t="n"/>
      <c r="C372" s="19" t="n"/>
      <c r="D372" s="21" t="n"/>
      <c r="E372" s="19" t="n"/>
      <c r="F372" s="19" t="n"/>
      <c r="G372" s="22" t="n"/>
      <c r="H372" s="19" t="n"/>
      <c r="I372" s="19" t="n"/>
      <c r="J372" s="19" t="n"/>
      <c r="K372" s="19" t="n"/>
      <c r="L372" s="16">
        <f>IF(A372="","",SUMIF(Movimientos!$B$2:$B$3001,A372,Movimientos!$F$2:$F$3001))</f>
        <v/>
      </c>
      <c r="M372" s="17">
        <f>IF(A372="","",IF(COUNTIF(Movimientos!$B$2:$B$3001,A372)=0,"",_xlfn.MAXIFS(Movimientos!$A$2:$A$3001,Movimientos!$B$2:$B$3001,A372)))</f>
        <v/>
      </c>
      <c r="N372" s="18">
        <f>IF(A372="","",IF(AND(H372="Sí",I372="Sí",K372&lt;&gt;"Sí"),"Sí","No"))</f>
        <v/>
      </c>
      <c r="O372" s="18">
        <f>IF(S372="","",1+COUNTIFS($N$2:$N$501,"Sí",$S$2:$S$501,"&gt;"&amp;S372))</f>
        <v/>
      </c>
      <c r="P372" s="18">
        <f>IF(A372="","",INDEX(Logros!$A$2:$A$6,MATCH(N(L372),Logros!$C$2:$C$6,1)))</f>
        <v/>
      </c>
      <c r="Q372" s="19" t="n"/>
      <c r="R372" s="18">
        <f>IF(OR(A372="",P372=""),"",IF(P372&gt;N(Q372),"Sí: entregar nivel "&amp;(N(Q372)+1)&amp;IF(P372&gt;N(Q372)+1," al "&amp;P372,"")&amp;" (ver Logros)",""))</f>
        <v/>
      </c>
      <c r="S372" s="20">
        <f>IF(OR(A372="",N372&lt;&gt;"Sí",N(L372)&lt;=0),"",(N(L372)*100000-MAX(0,ROUND((N(M372)-DATE(2026,10,1))*1440,0)))*1000-ROW())</f>
        <v/>
      </c>
    </row>
    <row r="373">
      <c r="A373" s="19" t="n"/>
      <c r="B373" s="19" t="n"/>
      <c r="C373" s="19" t="n"/>
      <c r="D373" s="21" t="n"/>
      <c r="E373" s="19" t="n"/>
      <c r="F373" s="19" t="n"/>
      <c r="G373" s="22" t="n"/>
      <c r="H373" s="19" t="n"/>
      <c r="I373" s="19" t="n"/>
      <c r="J373" s="19" t="n"/>
      <c r="K373" s="19" t="n"/>
      <c r="L373" s="16">
        <f>IF(A373="","",SUMIF(Movimientos!$B$2:$B$3001,A373,Movimientos!$F$2:$F$3001))</f>
        <v/>
      </c>
      <c r="M373" s="17">
        <f>IF(A373="","",IF(COUNTIF(Movimientos!$B$2:$B$3001,A373)=0,"",_xlfn.MAXIFS(Movimientos!$A$2:$A$3001,Movimientos!$B$2:$B$3001,A373)))</f>
        <v/>
      </c>
      <c r="N373" s="18">
        <f>IF(A373="","",IF(AND(H373="Sí",I373="Sí",K373&lt;&gt;"Sí"),"Sí","No"))</f>
        <v/>
      </c>
      <c r="O373" s="18">
        <f>IF(S373="","",1+COUNTIFS($N$2:$N$501,"Sí",$S$2:$S$501,"&gt;"&amp;S373))</f>
        <v/>
      </c>
      <c r="P373" s="18">
        <f>IF(A373="","",INDEX(Logros!$A$2:$A$6,MATCH(N(L373),Logros!$C$2:$C$6,1)))</f>
        <v/>
      </c>
      <c r="Q373" s="19" t="n"/>
      <c r="R373" s="18">
        <f>IF(OR(A373="",P373=""),"",IF(P373&gt;N(Q373),"Sí: entregar nivel "&amp;(N(Q373)+1)&amp;IF(P373&gt;N(Q373)+1," al "&amp;P373,"")&amp;" (ver Logros)",""))</f>
        <v/>
      </c>
      <c r="S373" s="20">
        <f>IF(OR(A373="",N373&lt;&gt;"Sí",N(L373)&lt;=0),"",(N(L373)*100000-MAX(0,ROUND((N(M373)-DATE(2026,10,1))*1440,0)))*1000-ROW())</f>
        <v/>
      </c>
    </row>
    <row r="374">
      <c r="A374" s="19" t="n"/>
      <c r="B374" s="19" t="n"/>
      <c r="C374" s="19" t="n"/>
      <c r="D374" s="21" t="n"/>
      <c r="E374" s="19" t="n"/>
      <c r="F374" s="19" t="n"/>
      <c r="G374" s="22" t="n"/>
      <c r="H374" s="19" t="n"/>
      <c r="I374" s="19" t="n"/>
      <c r="J374" s="19" t="n"/>
      <c r="K374" s="19" t="n"/>
      <c r="L374" s="16">
        <f>IF(A374="","",SUMIF(Movimientos!$B$2:$B$3001,A374,Movimientos!$F$2:$F$3001))</f>
        <v/>
      </c>
      <c r="M374" s="17">
        <f>IF(A374="","",IF(COUNTIF(Movimientos!$B$2:$B$3001,A374)=0,"",_xlfn.MAXIFS(Movimientos!$A$2:$A$3001,Movimientos!$B$2:$B$3001,A374)))</f>
        <v/>
      </c>
      <c r="N374" s="18">
        <f>IF(A374="","",IF(AND(H374="Sí",I374="Sí",K374&lt;&gt;"Sí"),"Sí","No"))</f>
        <v/>
      </c>
      <c r="O374" s="18">
        <f>IF(S374="","",1+COUNTIFS($N$2:$N$501,"Sí",$S$2:$S$501,"&gt;"&amp;S374))</f>
        <v/>
      </c>
      <c r="P374" s="18">
        <f>IF(A374="","",INDEX(Logros!$A$2:$A$6,MATCH(N(L374),Logros!$C$2:$C$6,1)))</f>
        <v/>
      </c>
      <c r="Q374" s="19" t="n"/>
      <c r="R374" s="18">
        <f>IF(OR(A374="",P374=""),"",IF(P374&gt;N(Q374),"Sí: entregar nivel "&amp;(N(Q374)+1)&amp;IF(P374&gt;N(Q374)+1," al "&amp;P374,"")&amp;" (ver Logros)",""))</f>
        <v/>
      </c>
      <c r="S374" s="20">
        <f>IF(OR(A374="",N374&lt;&gt;"Sí",N(L374)&lt;=0),"",(N(L374)*100000-MAX(0,ROUND((N(M374)-DATE(2026,10,1))*1440,0)))*1000-ROW())</f>
        <v/>
      </c>
    </row>
    <row r="375">
      <c r="A375" s="19" t="n"/>
      <c r="B375" s="19" t="n"/>
      <c r="C375" s="19" t="n"/>
      <c r="D375" s="21" t="n"/>
      <c r="E375" s="19" t="n"/>
      <c r="F375" s="19" t="n"/>
      <c r="G375" s="22" t="n"/>
      <c r="H375" s="19" t="n"/>
      <c r="I375" s="19" t="n"/>
      <c r="J375" s="19" t="n"/>
      <c r="K375" s="19" t="n"/>
      <c r="L375" s="16">
        <f>IF(A375="","",SUMIF(Movimientos!$B$2:$B$3001,A375,Movimientos!$F$2:$F$3001))</f>
        <v/>
      </c>
      <c r="M375" s="17">
        <f>IF(A375="","",IF(COUNTIF(Movimientos!$B$2:$B$3001,A375)=0,"",_xlfn.MAXIFS(Movimientos!$A$2:$A$3001,Movimientos!$B$2:$B$3001,A375)))</f>
        <v/>
      </c>
      <c r="N375" s="18">
        <f>IF(A375="","",IF(AND(H375="Sí",I375="Sí",K375&lt;&gt;"Sí"),"Sí","No"))</f>
        <v/>
      </c>
      <c r="O375" s="18">
        <f>IF(S375="","",1+COUNTIFS($N$2:$N$501,"Sí",$S$2:$S$501,"&gt;"&amp;S375))</f>
        <v/>
      </c>
      <c r="P375" s="18">
        <f>IF(A375="","",INDEX(Logros!$A$2:$A$6,MATCH(N(L375),Logros!$C$2:$C$6,1)))</f>
        <v/>
      </c>
      <c r="Q375" s="19" t="n"/>
      <c r="R375" s="18">
        <f>IF(OR(A375="",P375=""),"",IF(P375&gt;N(Q375),"Sí: entregar nivel "&amp;(N(Q375)+1)&amp;IF(P375&gt;N(Q375)+1," al "&amp;P375,"")&amp;" (ver Logros)",""))</f>
        <v/>
      </c>
      <c r="S375" s="20">
        <f>IF(OR(A375="",N375&lt;&gt;"Sí",N(L375)&lt;=0),"",(N(L375)*100000-MAX(0,ROUND((N(M375)-DATE(2026,10,1))*1440,0)))*1000-ROW())</f>
        <v/>
      </c>
    </row>
    <row r="376">
      <c r="A376" s="19" t="n"/>
      <c r="B376" s="19" t="n"/>
      <c r="C376" s="19" t="n"/>
      <c r="D376" s="21" t="n"/>
      <c r="E376" s="19" t="n"/>
      <c r="F376" s="19" t="n"/>
      <c r="G376" s="22" t="n"/>
      <c r="H376" s="19" t="n"/>
      <c r="I376" s="19" t="n"/>
      <c r="J376" s="19" t="n"/>
      <c r="K376" s="19" t="n"/>
      <c r="L376" s="16">
        <f>IF(A376="","",SUMIF(Movimientos!$B$2:$B$3001,A376,Movimientos!$F$2:$F$3001))</f>
        <v/>
      </c>
      <c r="M376" s="17">
        <f>IF(A376="","",IF(COUNTIF(Movimientos!$B$2:$B$3001,A376)=0,"",_xlfn.MAXIFS(Movimientos!$A$2:$A$3001,Movimientos!$B$2:$B$3001,A376)))</f>
        <v/>
      </c>
      <c r="N376" s="18">
        <f>IF(A376="","",IF(AND(H376="Sí",I376="Sí",K376&lt;&gt;"Sí"),"Sí","No"))</f>
        <v/>
      </c>
      <c r="O376" s="18">
        <f>IF(S376="","",1+COUNTIFS($N$2:$N$501,"Sí",$S$2:$S$501,"&gt;"&amp;S376))</f>
        <v/>
      </c>
      <c r="P376" s="18">
        <f>IF(A376="","",INDEX(Logros!$A$2:$A$6,MATCH(N(L376),Logros!$C$2:$C$6,1)))</f>
        <v/>
      </c>
      <c r="Q376" s="19" t="n"/>
      <c r="R376" s="18">
        <f>IF(OR(A376="",P376=""),"",IF(P376&gt;N(Q376),"Sí: entregar nivel "&amp;(N(Q376)+1)&amp;IF(P376&gt;N(Q376)+1," al "&amp;P376,"")&amp;" (ver Logros)",""))</f>
        <v/>
      </c>
      <c r="S376" s="20">
        <f>IF(OR(A376="",N376&lt;&gt;"Sí",N(L376)&lt;=0),"",(N(L376)*100000-MAX(0,ROUND((N(M376)-DATE(2026,10,1))*1440,0)))*1000-ROW())</f>
        <v/>
      </c>
    </row>
    <row r="377">
      <c r="A377" s="19" t="n"/>
      <c r="B377" s="19" t="n"/>
      <c r="C377" s="19" t="n"/>
      <c r="D377" s="21" t="n"/>
      <c r="E377" s="19" t="n"/>
      <c r="F377" s="19" t="n"/>
      <c r="G377" s="22" t="n"/>
      <c r="H377" s="19" t="n"/>
      <c r="I377" s="19" t="n"/>
      <c r="J377" s="19" t="n"/>
      <c r="K377" s="19" t="n"/>
      <c r="L377" s="16">
        <f>IF(A377="","",SUMIF(Movimientos!$B$2:$B$3001,A377,Movimientos!$F$2:$F$3001))</f>
        <v/>
      </c>
      <c r="M377" s="17">
        <f>IF(A377="","",IF(COUNTIF(Movimientos!$B$2:$B$3001,A377)=0,"",_xlfn.MAXIFS(Movimientos!$A$2:$A$3001,Movimientos!$B$2:$B$3001,A377)))</f>
        <v/>
      </c>
      <c r="N377" s="18">
        <f>IF(A377="","",IF(AND(H377="Sí",I377="Sí",K377&lt;&gt;"Sí"),"Sí","No"))</f>
        <v/>
      </c>
      <c r="O377" s="18">
        <f>IF(S377="","",1+COUNTIFS($N$2:$N$501,"Sí",$S$2:$S$501,"&gt;"&amp;S377))</f>
        <v/>
      </c>
      <c r="P377" s="18">
        <f>IF(A377="","",INDEX(Logros!$A$2:$A$6,MATCH(N(L377),Logros!$C$2:$C$6,1)))</f>
        <v/>
      </c>
      <c r="Q377" s="19" t="n"/>
      <c r="R377" s="18">
        <f>IF(OR(A377="",P377=""),"",IF(P377&gt;N(Q377),"Sí: entregar nivel "&amp;(N(Q377)+1)&amp;IF(P377&gt;N(Q377)+1," al "&amp;P377,"")&amp;" (ver Logros)",""))</f>
        <v/>
      </c>
      <c r="S377" s="20">
        <f>IF(OR(A377="",N377&lt;&gt;"Sí",N(L377)&lt;=0),"",(N(L377)*100000-MAX(0,ROUND((N(M377)-DATE(2026,10,1))*1440,0)))*1000-ROW())</f>
        <v/>
      </c>
    </row>
    <row r="378">
      <c r="A378" s="19" t="n"/>
      <c r="B378" s="19" t="n"/>
      <c r="C378" s="19" t="n"/>
      <c r="D378" s="21" t="n"/>
      <c r="E378" s="19" t="n"/>
      <c r="F378" s="19" t="n"/>
      <c r="G378" s="22" t="n"/>
      <c r="H378" s="19" t="n"/>
      <c r="I378" s="19" t="n"/>
      <c r="J378" s="19" t="n"/>
      <c r="K378" s="19" t="n"/>
      <c r="L378" s="16">
        <f>IF(A378="","",SUMIF(Movimientos!$B$2:$B$3001,A378,Movimientos!$F$2:$F$3001))</f>
        <v/>
      </c>
      <c r="M378" s="17">
        <f>IF(A378="","",IF(COUNTIF(Movimientos!$B$2:$B$3001,A378)=0,"",_xlfn.MAXIFS(Movimientos!$A$2:$A$3001,Movimientos!$B$2:$B$3001,A378)))</f>
        <v/>
      </c>
      <c r="N378" s="18">
        <f>IF(A378="","",IF(AND(H378="Sí",I378="Sí",K378&lt;&gt;"Sí"),"Sí","No"))</f>
        <v/>
      </c>
      <c r="O378" s="18">
        <f>IF(S378="","",1+COUNTIFS($N$2:$N$501,"Sí",$S$2:$S$501,"&gt;"&amp;S378))</f>
        <v/>
      </c>
      <c r="P378" s="18">
        <f>IF(A378="","",INDEX(Logros!$A$2:$A$6,MATCH(N(L378),Logros!$C$2:$C$6,1)))</f>
        <v/>
      </c>
      <c r="Q378" s="19" t="n"/>
      <c r="R378" s="18">
        <f>IF(OR(A378="",P378=""),"",IF(P378&gt;N(Q378),"Sí: entregar nivel "&amp;(N(Q378)+1)&amp;IF(P378&gt;N(Q378)+1," al "&amp;P378,"")&amp;" (ver Logros)",""))</f>
        <v/>
      </c>
      <c r="S378" s="20">
        <f>IF(OR(A378="",N378&lt;&gt;"Sí",N(L378)&lt;=0),"",(N(L378)*100000-MAX(0,ROUND((N(M378)-DATE(2026,10,1))*1440,0)))*1000-ROW())</f>
        <v/>
      </c>
    </row>
    <row r="379">
      <c r="A379" s="19" t="n"/>
      <c r="B379" s="19" t="n"/>
      <c r="C379" s="19" t="n"/>
      <c r="D379" s="21" t="n"/>
      <c r="E379" s="19" t="n"/>
      <c r="F379" s="19" t="n"/>
      <c r="G379" s="22" t="n"/>
      <c r="H379" s="19" t="n"/>
      <c r="I379" s="19" t="n"/>
      <c r="J379" s="19" t="n"/>
      <c r="K379" s="19" t="n"/>
      <c r="L379" s="16">
        <f>IF(A379="","",SUMIF(Movimientos!$B$2:$B$3001,A379,Movimientos!$F$2:$F$3001))</f>
        <v/>
      </c>
      <c r="M379" s="17">
        <f>IF(A379="","",IF(COUNTIF(Movimientos!$B$2:$B$3001,A379)=0,"",_xlfn.MAXIFS(Movimientos!$A$2:$A$3001,Movimientos!$B$2:$B$3001,A379)))</f>
        <v/>
      </c>
      <c r="N379" s="18">
        <f>IF(A379="","",IF(AND(H379="Sí",I379="Sí",K379&lt;&gt;"Sí"),"Sí","No"))</f>
        <v/>
      </c>
      <c r="O379" s="18">
        <f>IF(S379="","",1+COUNTIFS($N$2:$N$501,"Sí",$S$2:$S$501,"&gt;"&amp;S379))</f>
        <v/>
      </c>
      <c r="P379" s="18">
        <f>IF(A379="","",INDEX(Logros!$A$2:$A$6,MATCH(N(L379),Logros!$C$2:$C$6,1)))</f>
        <v/>
      </c>
      <c r="Q379" s="19" t="n"/>
      <c r="R379" s="18">
        <f>IF(OR(A379="",P379=""),"",IF(P379&gt;N(Q379),"Sí: entregar nivel "&amp;(N(Q379)+1)&amp;IF(P379&gt;N(Q379)+1," al "&amp;P379,"")&amp;" (ver Logros)",""))</f>
        <v/>
      </c>
      <c r="S379" s="20">
        <f>IF(OR(A379="",N379&lt;&gt;"Sí",N(L379)&lt;=0),"",(N(L379)*100000-MAX(0,ROUND((N(M379)-DATE(2026,10,1))*1440,0)))*1000-ROW())</f>
        <v/>
      </c>
    </row>
    <row r="380">
      <c r="A380" s="19" t="n"/>
      <c r="B380" s="19" t="n"/>
      <c r="C380" s="19" t="n"/>
      <c r="D380" s="21" t="n"/>
      <c r="E380" s="19" t="n"/>
      <c r="F380" s="19" t="n"/>
      <c r="G380" s="22" t="n"/>
      <c r="H380" s="19" t="n"/>
      <c r="I380" s="19" t="n"/>
      <c r="J380" s="19" t="n"/>
      <c r="K380" s="19" t="n"/>
      <c r="L380" s="16">
        <f>IF(A380="","",SUMIF(Movimientos!$B$2:$B$3001,A380,Movimientos!$F$2:$F$3001))</f>
        <v/>
      </c>
      <c r="M380" s="17">
        <f>IF(A380="","",IF(COUNTIF(Movimientos!$B$2:$B$3001,A380)=0,"",_xlfn.MAXIFS(Movimientos!$A$2:$A$3001,Movimientos!$B$2:$B$3001,A380)))</f>
        <v/>
      </c>
      <c r="N380" s="18">
        <f>IF(A380="","",IF(AND(H380="Sí",I380="Sí",K380&lt;&gt;"Sí"),"Sí","No"))</f>
        <v/>
      </c>
      <c r="O380" s="18">
        <f>IF(S380="","",1+COUNTIFS($N$2:$N$501,"Sí",$S$2:$S$501,"&gt;"&amp;S380))</f>
        <v/>
      </c>
      <c r="P380" s="18">
        <f>IF(A380="","",INDEX(Logros!$A$2:$A$6,MATCH(N(L380),Logros!$C$2:$C$6,1)))</f>
        <v/>
      </c>
      <c r="Q380" s="19" t="n"/>
      <c r="R380" s="18">
        <f>IF(OR(A380="",P380=""),"",IF(P380&gt;N(Q380),"Sí: entregar nivel "&amp;(N(Q380)+1)&amp;IF(P380&gt;N(Q380)+1," al "&amp;P380,"")&amp;" (ver Logros)",""))</f>
        <v/>
      </c>
      <c r="S380" s="20">
        <f>IF(OR(A380="",N380&lt;&gt;"Sí",N(L380)&lt;=0),"",(N(L380)*100000-MAX(0,ROUND((N(M380)-DATE(2026,10,1))*1440,0)))*1000-ROW())</f>
        <v/>
      </c>
    </row>
    <row r="381">
      <c r="A381" s="19" t="n"/>
      <c r="B381" s="19" t="n"/>
      <c r="C381" s="19" t="n"/>
      <c r="D381" s="21" t="n"/>
      <c r="E381" s="19" t="n"/>
      <c r="F381" s="19" t="n"/>
      <c r="G381" s="22" t="n"/>
      <c r="H381" s="19" t="n"/>
      <c r="I381" s="19" t="n"/>
      <c r="J381" s="19" t="n"/>
      <c r="K381" s="19" t="n"/>
      <c r="L381" s="16">
        <f>IF(A381="","",SUMIF(Movimientos!$B$2:$B$3001,A381,Movimientos!$F$2:$F$3001))</f>
        <v/>
      </c>
      <c r="M381" s="17">
        <f>IF(A381="","",IF(COUNTIF(Movimientos!$B$2:$B$3001,A381)=0,"",_xlfn.MAXIFS(Movimientos!$A$2:$A$3001,Movimientos!$B$2:$B$3001,A381)))</f>
        <v/>
      </c>
      <c r="N381" s="18">
        <f>IF(A381="","",IF(AND(H381="Sí",I381="Sí",K381&lt;&gt;"Sí"),"Sí","No"))</f>
        <v/>
      </c>
      <c r="O381" s="18">
        <f>IF(S381="","",1+COUNTIFS($N$2:$N$501,"Sí",$S$2:$S$501,"&gt;"&amp;S381))</f>
        <v/>
      </c>
      <c r="P381" s="18">
        <f>IF(A381="","",INDEX(Logros!$A$2:$A$6,MATCH(N(L381),Logros!$C$2:$C$6,1)))</f>
        <v/>
      </c>
      <c r="Q381" s="19" t="n"/>
      <c r="R381" s="18">
        <f>IF(OR(A381="",P381=""),"",IF(P381&gt;N(Q381),"Sí: entregar nivel "&amp;(N(Q381)+1)&amp;IF(P381&gt;N(Q381)+1," al "&amp;P381,"")&amp;" (ver Logros)",""))</f>
        <v/>
      </c>
      <c r="S381" s="20">
        <f>IF(OR(A381="",N381&lt;&gt;"Sí",N(L381)&lt;=0),"",(N(L381)*100000-MAX(0,ROUND((N(M381)-DATE(2026,10,1))*1440,0)))*1000-ROW())</f>
        <v/>
      </c>
    </row>
    <row r="382">
      <c r="A382" s="19" t="n"/>
      <c r="B382" s="19" t="n"/>
      <c r="C382" s="19" t="n"/>
      <c r="D382" s="21" t="n"/>
      <c r="E382" s="19" t="n"/>
      <c r="F382" s="19" t="n"/>
      <c r="G382" s="22" t="n"/>
      <c r="H382" s="19" t="n"/>
      <c r="I382" s="19" t="n"/>
      <c r="J382" s="19" t="n"/>
      <c r="K382" s="19" t="n"/>
      <c r="L382" s="16">
        <f>IF(A382="","",SUMIF(Movimientos!$B$2:$B$3001,A382,Movimientos!$F$2:$F$3001))</f>
        <v/>
      </c>
      <c r="M382" s="17">
        <f>IF(A382="","",IF(COUNTIF(Movimientos!$B$2:$B$3001,A382)=0,"",_xlfn.MAXIFS(Movimientos!$A$2:$A$3001,Movimientos!$B$2:$B$3001,A382)))</f>
        <v/>
      </c>
      <c r="N382" s="18">
        <f>IF(A382="","",IF(AND(H382="Sí",I382="Sí",K382&lt;&gt;"Sí"),"Sí","No"))</f>
        <v/>
      </c>
      <c r="O382" s="18">
        <f>IF(S382="","",1+COUNTIFS($N$2:$N$501,"Sí",$S$2:$S$501,"&gt;"&amp;S382))</f>
        <v/>
      </c>
      <c r="P382" s="18">
        <f>IF(A382="","",INDEX(Logros!$A$2:$A$6,MATCH(N(L382),Logros!$C$2:$C$6,1)))</f>
        <v/>
      </c>
      <c r="Q382" s="19" t="n"/>
      <c r="R382" s="18">
        <f>IF(OR(A382="",P382=""),"",IF(P382&gt;N(Q382),"Sí: entregar nivel "&amp;(N(Q382)+1)&amp;IF(P382&gt;N(Q382)+1," al "&amp;P382,"")&amp;" (ver Logros)",""))</f>
        <v/>
      </c>
      <c r="S382" s="20">
        <f>IF(OR(A382="",N382&lt;&gt;"Sí",N(L382)&lt;=0),"",(N(L382)*100000-MAX(0,ROUND((N(M382)-DATE(2026,10,1))*1440,0)))*1000-ROW())</f>
        <v/>
      </c>
    </row>
    <row r="383">
      <c r="A383" s="19" t="n"/>
      <c r="B383" s="19" t="n"/>
      <c r="C383" s="19" t="n"/>
      <c r="D383" s="21" t="n"/>
      <c r="E383" s="19" t="n"/>
      <c r="F383" s="19" t="n"/>
      <c r="G383" s="22" t="n"/>
      <c r="H383" s="19" t="n"/>
      <c r="I383" s="19" t="n"/>
      <c r="J383" s="19" t="n"/>
      <c r="K383" s="19" t="n"/>
      <c r="L383" s="16">
        <f>IF(A383="","",SUMIF(Movimientos!$B$2:$B$3001,A383,Movimientos!$F$2:$F$3001))</f>
        <v/>
      </c>
      <c r="M383" s="17">
        <f>IF(A383="","",IF(COUNTIF(Movimientos!$B$2:$B$3001,A383)=0,"",_xlfn.MAXIFS(Movimientos!$A$2:$A$3001,Movimientos!$B$2:$B$3001,A383)))</f>
        <v/>
      </c>
      <c r="N383" s="18">
        <f>IF(A383="","",IF(AND(H383="Sí",I383="Sí",K383&lt;&gt;"Sí"),"Sí","No"))</f>
        <v/>
      </c>
      <c r="O383" s="18">
        <f>IF(S383="","",1+COUNTIFS($N$2:$N$501,"Sí",$S$2:$S$501,"&gt;"&amp;S383))</f>
        <v/>
      </c>
      <c r="P383" s="18">
        <f>IF(A383="","",INDEX(Logros!$A$2:$A$6,MATCH(N(L383),Logros!$C$2:$C$6,1)))</f>
        <v/>
      </c>
      <c r="Q383" s="19" t="n"/>
      <c r="R383" s="18">
        <f>IF(OR(A383="",P383=""),"",IF(P383&gt;N(Q383),"Sí: entregar nivel "&amp;(N(Q383)+1)&amp;IF(P383&gt;N(Q383)+1," al "&amp;P383,"")&amp;" (ver Logros)",""))</f>
        <v/>
      </c>
      <c r="S383" s="20">
        <f>IF(OR(A383="",N383&lt;&gt;"Sí",N(L383)&lt;=0),"",(N(L383)*100000-MAX(0,ROUND((N(M383)-DATE(2026,10,1))*1440,0)))*1000-ROW())</f>
        <v/>
      </c>
    </row>
    <row r="384">
      <c r="A384" s="19" t="n"/>
      <c r="B384" s="19" t="n"/>
      <c r="C384" s="19" t="n"/>
      <c r="D384" s="21" t="n"/>
      <c r="E384" s="19" t="n"/>
      <c r="F384" s="19" t="n"/>
      <c r="G384" s="22" t="n"/>
      <c r="H384" s="19" t="n"/>
      <c r="I384" s="19" t="n"/>
      <c r="J384" s="19" t="n"/>
      <c r="K384" s="19" t="n"/>
      <c r="L384" s="16">
        <f>IF(A384="","",SUMIF(Movimientos!$B$2:$B$3001,A384,Movimientos!$F$2:$F$3001))</f>
        <v/>
      </c>
      <c r="M384" s="17">
        <f>IF(A384="","",IF(COUNTIF(Movimientos!$B$2:$B$3001,A384)=0,"",_xlfn.MAXIFS(Movimientos!$A$2:$A$3001,Movimientos!$B$2:$B$3001,A384)))</f>
        <v/>
      </c>
      <c r="N384" s="18">
        <f>IF(A384="","",IF(AND(H384="Sí",I384="Sí",K384&lt;&gt;"Sí"),"Sí","No"))</f>
        <v/>
      </c>
      <c r="O384" s="18">
        <f>IF(S384="","",1+COUNTIFS($N$2:$N$501,"Sí",$S$2:$S$501,"&gt;"&amp;S384))</f>
        <v/>
      </c>
      <c r="P384" s="18">
        <f>IF(A384="","",INDEX(Logros!$A$2:$A$6,MATCH(N(L384),Logros!$C$2:$C$6,1)))</f>
        <v/>
      </c>
      <c r="Q384" s="19" t="n"/>
      <c r="R384" s="18">
        <f>IF(OR(A384="",P384=""),"",IF(P384&gt;N(Q384),"Sí: entregar nivel "&amp;(N(Q384)+1)&amp;IF(P384&gt;N(Q384)+1," al "&amp;P384,"")&amp;" (ver Logros)",""))</f>
        <v/>
      </c>
      <c r="S384" s="20">
        <f>IF(OR(A384="",N384&lt;&gt;"Sí",N(L384)&lt;=0),"",(N(L384)*100000-MAX(0,ROUND((N(M384)-DATE(2026,10,1))*1440,0)))*1000-ROW())</f>
        <v/>
      </c>
    </row>
    <row r="385">
      <c r="A385" s="19" t="n"/>
      <c r="B385" s="19" t="n"/>
      <c r="C385" s="19" t="n"/>
      <c r="D385" s="21" t="n"/>
      <c r="E385" s="19" t="n"/>
      <c r="F385" s="19" t="n"/>
      <c r="G385" s="22" t="n"/>
      <c r="H385" s="19" t="n"/>
      <c r="I385" s="19" t="n"/>
      <c r="J385" s="19" t="n"/>
      <c r="K385" s="19" t="n"/>
      <c r="L385" s="16">
        <f>IF(A385="","",SUMIF(Movimientos!$B$2:$B$3001,A385,Movimientos!$F$2:$F$3001))</f>
        <v/>
      </c>
      <c r="M385" s="17">
        <f>IF(A385="","",IF(COUNTIF(Movimientos!$B$2:$B$3001,A385)=0,"",_xlfn.MAXIFS(Movimientos!$A$2:$A$3001,Movimientos!$B$2:$B$3001,A385)))</f>
        <v/>
      </c>
      <c r="N385" s="18">
        <f>IF(A385="","",IF(AND(H385="Sí",I385="Sí",K385&lt;&gt;"Sí"),"Sí","No"))</f>
        <v/>
      </c>
      <c r="O385" s="18">
        <f>IF(S385="","",1+COUNTIFS($N$2:$N$501,"Sí",$S$2:$S$501,"&gt;"&amp;S385))</f>
        <v/>
      </c>
      <c r="P385" s="18">
        <f>IF(A385="","",INDEX(Logros!$A$2:$A$6,MATCH(N(L385),Logros!$C$2:$C$6,1)))</f>
        <v/>
      </c>
      <c r="Q385" s="19" t="n"/>
      <c r="R385" s="18">
        <f>IF(OR(A385="",P385=""),"",IF(P385&gt;N(Q385),"Sí: entregar nivel "&amp;(N(Q385)+1)&amp;IF(P385&gt;N(Q385)+1," al "&amp;P385,"")&amp;" (ver Logros)",""))</f>
        <v/>
      </c>
      <c r="S385" s="20">
        <f>IF(OR(A385="",N385&lt;&gt;"Sí",N(L385)&lt;=0),"",(N(L385)*100000-MAX(0,ROUND((N(M385)-DATE(2026,10,1))*1440,0)))*1000-ROW())</f>
        <v/>
      </c>
    </row>
    <row r="386">
      <c r="A386" s="19" t="n"/>
      <c r="B386" s="19" t="n"/>
      <c r="C386" s="19" t="n"/>
      <c r="D386" s="21" t="n"/>
      <c r="E386" s="19" t="n"/>
      <c r="F386" s="19" t="n"/>
      <c r="G386" s="22" t="n"/>
      <c r="H386" s="19" t="n"/>
      <c r="I386" s="19" t="n"/>
      <c r="J386" s="19" t="n"/>
      <c r="K386" s="19" t="n"/>
      <c r="L386" s="16">
        <f>IF(A386="","",SUMIF(Movimientos!$B$2:$B$3001,A386,Movimientos!$F$2:$F$3001))</f>
        <v/>
      </c>
      <c r="M386" s="17">
        <f>IF(A386="","",IF(COUNTIF(Movimientos!$B$2:$B$3001,A386)=0,"",_xlfn.MAXIFS(Movimientos!$A$2:$A$3001,Movimientos!$B$2:$B$3001,A386)))</f>
        <v/>
      </c>
      <c r="N386" s="18">
        <f>IF(A386="","",IF(AND(H386="Sí",I386="Sí",K386&lt;&gt;"Sí"),"Sí","No"))</f>
        <v/>
      </c>
      <c r="O386" s="18">
        <f>IF(S386="","",1+COUNTIFS($N$2:$N$501,"Sí",$S$2:$S$501,"&gt;"&amp;S386))</f>
        <v/>
      </c>
      <c r="P386" s="18">
        <f>IF(A386="","",INDEX(Logros!$A$2:$A$6,MATCH(N(L386),Logros!$C$2:$C$6,1)))</f>
        <v/>
      </c>
      <c r="Q386" s="19" t="n"/>
      <c r="R386" s="18">
        <f>IF(OR(A386="",P386=""),"",IF(P386&gt;N(Q386),"Sí: entregar nivel "&amp;(N(Q386)+1)&amp;IF(P386&gt;N(Q386)+1," al "&amp;P386,"")&amp;" (ver Logros)",""))</f>
        <v/>
      </c>
      <c r="S386" s="20">
        <f>IF(OR(A386="",N386&lt;&gt;"Sí",N(L386)&lt;=0),"",(N(L386)*100000-MAX(0,ROUND((N(M386)-DATE(2026,10,1))*1440,0)))*1000-ROW())</f>
        <v/>
      </c>
    </row>
    <row r="387">
      <c r="A387" s="19" t="n"/>
      <c r="B387" s="19" t="n"/>
      <c r="C387" s="19" t="n"/>
      <c r="D387" s="21" t="n"/>
      <c r="E387" s="19" t="n"/>
      <c r="F387" s="19" t="n"/>
      <c r="G387" s="22" t="n"/>
      <c r="H387" s="19" t="n"/>
      <c r="I387" s="19" t="n"/>
      <c r="J387" s="19" t="n"/>
      <c r="K387" s="19" t="n"/>
      <c r="L387" s="16">
        <f>IF(A387="","",SUMIF(Movimientos!$B$2:$B$3001,A387,Movimientos!$F$2:$F$3001))</f>
        <v/>
      </c>
      <c r="M387" s="17">
        <f>IF(A387="","",IF(COUNTIF(Movimientos!$B$2:$B$3001,A387)=0,"",_xlfn.MAXIFS(Movimientos!$A$2:$A$3001,Movimientos!$B$2:$B$3001,A387)))</f>
        <v/>
      </c>
      <c r="N387" s="18">
        <f>IF(A387="","",IF(AND(H387="Sí",I387="Sí",K387&lt;&gt;"Sí"),"Sí","No"))</f>
        <v/>
      </c>
      <c r="O387" s="18">
        <f>IF(S387="","",1+COUNTIFS($N$2:$N$501,"Sí",$S$2:$S$501,"&gt;"&amp;S387))</f>
        <v/>
      </c>
      <c r="P387" s="18">
        <f>IF(A387="","",INDEX(Logros!$A$2:$A$6,MATCH(N(L387),Logros!$C$2:$C$6,1)))</f>
        <v/>
      </c>
      <c r="Q387" s="19" t="n"/>
      <c r="R387" s="18">
        <f>IF(OR(A387="",P387=""),"",IF(P387&gt;N(Q387),"Sí: entregar nivel "&amp;(N(Q387)+1)&amp;IF(P387&gt;N(Q387)+1," al "&amp;P387,"")&amp;" (ver Logros)",""))</f>
        <v/>
      </c>
      <c r="S387" s="20">
        <f>IF(OR(A387="",N387&lt;&gt;"Sí",N(L387)&lt;=0),"",(N(L387)*100000-MAX(0,ROUND((N(M387)-DATE(2026,10,1))*1440,0)))*1000-ROW())</f>
        <v/>
      </c>
    </row>
    <row r="388">
      <c r="A388" s="19" t="n"/>
      <c r="B388" s="19" t="n"/>
      <c r="C388" s="19" t="n"/>
      <c r="D388" s="21" t="n"/>
      <c r="E388" s="19" t="n"/>
      <c r="F388" s="19" t="n"/>
      <c r="G388" s="22" t="n"/>
      <c r="H388" s="19" t="n"/>
      <c r="I388" s="19" t="n"/>
      <c r="J388" s="19" t="n"/>
      <c r="K388" s="19" t="n"/>
      <c r="L388" s="16">
        <f>IF(A388="","",SUMIF(Movimientos!$B$2:$B$3001,A388,Movimientos!$F$2:$F$3001))</f>
        <v/>
      </c>
      <c r="M388" s="17">
        <f>IF(A388="","",IF(COUNTIF(Movimientos!$B$2:$B$3001,A388)=0,"",_xlfn.MAXIFS(Movimientos!$A$2:$A$3001,Movimientos!$B$2:$B$3001,A388)))</f>
        <v/>
      </c>
      <c r="N388" s="18">
        <f>IF(A388="","",IF(AND(H388="Sí",I388="Sí",K388&lt;&gt;"Sí"),"Sí","No"))</f>
        <v/>
      </c>
      <c r="O388" s="18">
        <f>IF(S388="","",1+COUNTIFS($N$2:$N$501,"Sí",$S$2:$S$501,"&gt;"&amp;S388))</f>
        <v/>
      </c>
      <c r="P388" s="18">
        <f>IF(A388="","",INDEX(Logros!$A$2:$A$6,MATCH(N(L388),Logros!$C$2:$C$6,1)))</f>
        <v/>
      </c>
      <c r="Q388" s="19" t="n"/>
      <c r="R388" s="18">
        <f>IF(OR(A388="",P388=""),"",IF(P388&gt;N(Q388),"Sí: entregar nivel "&amp;(N(Q388)+1)&amp;IF(P388&gt;N(Q388)+1," al "&amp;P388,"")&amp;" (ver Logros)",""))</f>
        <v/>
      </c>
      <c r="S388" s="20">
        <f>IF(OR(A388="",N388&lt;&gt;"Sí",N(L388)&lt;=0),"",(N(L388)*100000-MAX(0,ROUND((N(M388)-DATE(2026,10,1))*1440,0)))*1000-ROW())</f>
        <v/>
      </c>
    </row>
    <row r="389">
      <c r="A389" s="19" t="n"/>
      <c r="B389" s="19" t="n"/>
      <c r="C389" s="19" t="n"/>
      <c r="D389" s="21" t="n"/>
      <c r="E389" s="19" t="n"/>
      <c r="F389" s="19" t="n"/>
      <c r="G389" s="22" t="n"/>
      <c r="H389" s="19" t="n"/>
      <c r="I389" s="19" t="n"/>
      <c r="J389" s="19" t="n"/>
      <c r="K389" s="19" t="n"/>
      <c r="L389" s="16">
        <f>IF(A389="","",SUMIF(Movimientos!$B$2:$B$3001,A389,Movimientos!$F$2:$F$3001))</f>
        <v/>
      </c>
      <c r="M389" s="17">
        <f>IF(A389="","",IF(COUNTIF(Movimientos!$B$2:$B$3001,A389)=0,"",_xlfn.MAXIFS(Movimientos!$A$2:$A$3001,Movimientos!$B$2:$B$3001,A389)))</f>
        <v/>
      </c>
      <c r="N389" s="18">
        <f>IF(A389="","",IF(AND(H389="Sí",I389="Sí",K389&lt;&gt;"Sí"),"Sí","No"))</f>
        <v/>
      </c>
      <c r="O389" s="18">
        <f>IF(S389="","",1+COUNTIFS($N$2:$N$501,"Sí",$S$2:$S$501,"&gt;"&amp;S389))</f>
        <v/>
      </c>
      <c r="P389" s="18">
        <f>IF(A389="","",INDEX(Logros!$A$2:$A$6,MATCH(N(L389),Logros!$C$2:$C$6,1)))</f>
        <v/>
      </c>
      <c r="Q389" s="19" t="n"/>
      <c r="R389" s="18">
        <f>IF(OR(A389="",P389=""),"",IF(P389&gt;N(Q389),"Sí: entregar nivel "&amp;(N(Q389)+1)&amp;IF(P389&gt;N(Q389)+1," al "&amp;P389,"")&amp;" (ver Logros)",""))</f>
        <v/>
      </c>
      <c r="S389" s="20">
        <f>IF(OR(A389="",N389&lt;&gt;"Sí",N(L389)&lt;=0),"",(N(L389)*100000-MAX(0,ROUND((N(M389)-DATE(2026,10,1))*1440,0)))*1000-ROW())</f>
        <v/>
      </c>
    </row>
    <row r="390">
      <c r="A390" s="19" t="n"/>
      <c r="B390" s="19" t="n"/>
      <c r="C390" s="19" t="n"/>
      <c r="D390" s="21" t="n"/>
      <c r="E390" s="19" t="n"/>
      <c r="F390" s="19" t="n"/>
      <c r="G390" s="22" t="n"/>
      <c r="H390" s="19" t="n"/>
      <c r="I390" s="19" t="n"/>
      <c r="J390" s="19" t="n"/>
      <c r="K390" s="19" t="n"/>
      <c r="L390" s="16">
        <f>IF(A390="","",SUMIF(Movimientos!$B$2:$B$3001,A390,Movimientos!$F$2:$F$3001))</f>
        <v/>
      </c>
      <c r="M390" s="17">
        <f>IF(A390="","",IF(COUNTIF(Movimientos!$B$2:$B$3001,A390)=0,"",_xlfn.MAXIFS(Movimientos!$A$2:$A$3001,Movimientos!$B$2:$B$3001,A390)))</f>
        <v/>
      </c>
      <c r="N390" s="18">
        <f>IF(A390="","",IF(AND(H390="Sí",I390="Sí",K390&lt;&gt;"Sí"),"Sí","No"))</f>
        <v/>
      </c>
      <c r="O390" s="18">
        <f>IF(S390="","",1+COUNTIFS($N$2:$N$501,"Sí",$S$2:$S$501,"&gt;"&amp;S390))</f>
        <v/>
      </c>
      <c r="P390" s="18">
        <f>IF(A390="","",INDEX(Logros!$A$2:$A$6,MATCH(N(L390),Logros!$C$2:$C$6,1)))</f>
        <v/>
      </c>
      <c r="Q390" s="19" t="n"/>
      <c r="R390" s="18">
        <f>IF(OR(A390="",P390=""),"",IF(P390&gt;N(Q390),"Sí: entregar nivel "&amp;(N(Q390)+1)&amp;IF(P390&gt;N(Q390)+1," al "&amp;P390,"")&amp;" (ver Logros)",""))</f>
        <v/>
      </c>
      <c r="S390" s="20">
        <f>IF(OR(A390="",N390&lt;&gt;"Sí",N(L390)&lt;=0),"",(N(L390)*100000-MAX(0,ROUND((N(M390)-DATE(2026,10,1))*1440,0)))*1000-ROW())</f>
        <v/>
      </c>
    </row>
    <row r="391">
      <c r="A391" s="19" t="n"/>
      <c r="B391" s="19" t="n"/>
      <c r="C391" s="19" t="n"/>
      <c r="D391" s="21" t="n"/>
      <c r="E391" s="19" t="n"/>
      <c r="F391" s="19" t="n"/>
      <c r="G391" s="22" t="n"/>
      <c r="H391" s="19" t="n"/>
      <c r="I391" s="19" t="n"/>
      <c r="J391" s="19" t="n"/>
      <c r="K391" s="19" t="n"/>
      <c r="L391" s="16">
        <f>IF(A391="","",SUMIF(Movimientos!$B$2:$B$3001,A391,Movimientos!$F$2:$F$3001))</f>
        <v/>
      </c>
      <c r="M391" s="17">
        <f>IF(A391="","",IF(COUNTIF(Movimientos!$B$2:$B$3001,A391)=0,"",_xlfn.MAXIFS(Movimientos!$A$2:$A$3001,Movimientos!$B$2:$B$3001,A391)))</f>
        <v/>
      </c>
      <c r="N391" s="18">
        <f>IF(A391="","",IF(AND(H391="Sí",I391="Sí",K391&lt;&gt;"Sí"),"Sí","No"))</f>
        <v/>
      </c>
      <c r="O391" s="18">
        <f>IF(S391="","",1+COUNTIFS($N$2:$N$501,"Sí",$S$2:$S$501,"&gt;"&amp;S391))</f>
        <v/>
      </c>
      <c r="P391" s="18">
        <f>IF(A391="","",INDEX(Logros!$A$2:$A$6,MATCH(N(L391),Logros!$C$2:$C$6,1)))</f>
        <v/>
      </c>
      <c r="Q391" s="19" t="n"/>
      <c r="R391" s="18">
        <f>IF(OR(A391="",P391=""),"",IF(P391&gt;N(Q391),"Sí: entregar nivel "&amp;(N(Q391)+1)&amp;IF(P391&gt;N(Q391)+1," al "&amp;P391,"")&amp;" (ver Logros)",""))</f>
        <v/>
      </c>
      <c r="S391" s="20">
        <f>IF(OR(A391="",N391&lt;&gt;"Sí",N(L391)&lt;=0),"",(N(L391)*100000-MAX(0,ROUND((N(M391)-DATE(2026,10,1))*1440,0)))*1000-ROW())</f>
        <v/>
      </c>
    </row>
    <row r="392">
      <c r="A392" s="19" t="n"/>
      <c r="B392" s="19" t="n"/>
      <c r="C392" s="19" t="n"/>
      <c r="D392" s="21" t="n"/>
      <c r="E392" s="19" t="n"/>
      <c r="F392" s="19" t="n"/>
      <c r="G392" s="22" t="n"/>
      <c r="H392" s="19" t="n"/>
      <c r="I392" s="19" t="n"/>
      <c r="J392" s="19" t="n"/>
      <c r="K392" s="19" t="n"/>
      <c r="L392" s="16">
        <f>IF(A392="","",SUMIF(Movimientos!$B$2:$B$3001,A392,Movimientos!$F$2:$F$3001))</f>
        <v/>
      </c>
      <c r="M392" s="17">
        <f>IF(A392="","",IF(COUNTIF(Movimientos!$B$2:$B$3001,A392)=0,"",_xlfn.MAXIFS(Movimientos!$A$2:$A$3001,Movimientos!$B$2:$B$3001,A392)))</f>
        <v/>
      </c>
      <c r="N392" s="18">
        <f>IF(A392="","",IF(AND(H392="Sí",I392="Sí",K392&lt;&gt;"Sí"),"Sí","No"))</f>
        <v/>
      </c>
      <c r="O392" s="18">
        <f>IF(S392="","",1+COUNTIFS($N$2:$N$501,"Sí",$S$2:$S$501,"&gt;"&amp;S392))</f>
        <v/>
      </c>
      <c r="P392" s="18">
        <f>IF(A392="","",INDEX(Logros!$A$2:$A$6,MATCH(N(L392),Logros!$C$2:$C$6,1)))</f>
        <v/>
      </c>
      <c r="Q392" s="19" t="n"/>
      <c r="R392" s="18">
        <f>IF(OR(A392="",P392=""),"",IF(P392&gt;N(Q392),"Sí: entregar nivel "&amp;(N(Q392)+1)&amp;IF(P392&gt;N(Q392)+1," al "&amp;P392,"")&amp;" (ver Logros)",""))</f>
        <v/>
      </c>
      <c r="S392" s="20">
        <f>IF(OR(A392="",N392&lt;&gt;"Sí",N(L392)&lt;=0),"",(N(L392)*100000-MAX(0,ROUND((N(M392)-DATE(2026,10,1))*1440,0)))*1000-ROW())</f>
        <v/>
      </c>
    </row>
    <row r="393">
      <c r="A393" s="19" t="n"/>
      <c r="B393" s="19" t="n"/>
      <c r="C393" s="19" t="n"/>
      <c r="D393" s="21" t="n"/>
      <c r="E393" s="19" t="n"/>
      <c r="F393" s="19" t="n"/>
      <c r="G393" s="22" t="n"/>
      <c r="H393" s="19" t="n"/>
      <c r="I393" s="19" t="n"/>
      <c r="J393" s="19" t="n"/>
      <c r="K393" s="19" t="n"/>
      <c r="L393" s="16">
        <f>IF(A393="","",SUMIF(Movimientos!$B$2:$B$3001,A393,Movimientos!$F$2:$F$3001))</f>
        <v/>
      </c>
      <c r="M393" s="17">
        <f>IF(A393="","",IF(COUNTIF(Movimientos!$B$2:$B$3001,A393)=0,"",_xlfn.MAXIFS(Movimientos!$A$2:$A$3001,Movimientos!$B$2:$B$3001,A393)))</f>
        <v/>
      </c>
      <c r="N393" s="18">
        <f>IF(A393="","",IF(AND(H393="Sí",I393="Sí",K393&lt;&gt;"Sí"),"Sí","No"))</f>
        <v/>
      </c>
      <c r="O393" s="18">
        <f>IF(S393="","",1+COUNTIFS($N$2:$N$501,"Sí",$S$2:$S$501,"&gt;"&amp;S393))</f>
        <v/>
      </c>
      <c r="P393" s="18">
        <f>IF(A393="","",INDEX(Logros!$A$2:$A$6,MATCH(N(L393),Logros!$C$2:$C$6,1)))</f>
        <v/>
      </c>
      <c r="Q393" s="19" t="n"/>
      <c r="R393" s="18">
        <f>IF(OR(A393="",P393=""),"",IF(P393&gt;N(Q393),"Sí: entregar nivel "&amp;(N(Q393)+1)&amp;IF(P393&gt;N(Q393)+1," al "&amp;P393,"")&amp;" (ver Logros)",""))</f>
        <v/>
      </c>
      <c r="S393" s="20">
        <f>IF(OR(A393="",N393&lt;&gt;"Sí",N(L393)&lt;=0),"",(N(L393)*100000-MAX(0,ROUND((N(M393)-DATE(2026,10,1))*1440,0)))*1000-ROW())</f>
        <v/>
      </c>
    </row>
    <row r="394">
      <c r="A394" s="19" t="n"/>
      <c r="B394" s="19" t="n"/>
      <c r="C394" s="19" t="n"/>
      <c r="D394" s="21" t="n"/>
      <c r="E394" s="19" t="n"/>
      <c r="F394" s="19" t="n"/>
      <c r="G394" s="22" t="n"/>
      <c r="H394" s="19" t="n"/>
      <c r="I394" s="19" t="n"/>
      <c r="J394" s="19" t="n"/>
      <c r="K394" s="19" t="n"/>
      <c r="L394" s="16">
        <f>IF(A394="","",SUMIF(Movimientos!$B$2:$B$3001,A394,Movimientos!$F$2:$F$3001))</f>
        <v/>
      </c>
      <c r="M394" s="17">
        <f>IF(A394="","",IF(COUNTIF(Movimientos!$B$2:$B$3001,A394)=0,"",_xlfn.MAXIFS(Movimientos!$A$2:$A$3001,Movimientos!$B$2:$B$3001,A394)))</f>
        <v/>
      </c>
      <c r="N394" s="18">
        <f>IF(A394="","",IF(AND(H394="Sí",I394="Sí",K394&lt;&gt;"Sí"),"Sí","No"))</f>
        <v/>
      </c>
      <c r="O394" s="18">
        <f>IF(S394="","",1+COUNTIFS($N$2:$N$501,"Sí",$S$2:$S$501,"&gt;"&amp;S394))</f>
        <v/>
      </c>
      <c r="P394" s="18">
        <f>IF(A394="","",INDEX(Logros!$A$2:$A$6,MATCH(N(L394),Logros!$C$2:$C$6,1)))</f>
        <v/>
      </c>
      <c r="Q394" s="19" t="n"/>
      <c r="R394" s="18">
        <f>IF(OR(A394="",P394=""),"",IF(P394&gt;N(Q394),"Sí: entregar nivel "&amp;(N(Q394)+1)&amp;IF(P394&gt;N(Q394)+1," al "&amp;P394,"")&amp;" (ver Logros)",""))</f>
        <v/>
      </c>
      <c r="S394" s="20">
        <f>IF(OR(A394="",N394&lt;&gt;"Sí",N(L394)&lt;=0),"",(N(L394)*100000-MAX(0,ROUND((N(M394)-DATE(2026,10,1))*1440,0)))*1000-ROW())</f>
        <v/>
      </c>
    </row>
    <row r="395">
      <c r="A395" s="19" t="n"/>
      <c r="B395" s="19" t="n"/>
      <c r="C395" s="19" t="n"/>
      <c r="D395" s="21" t="n"/>
      <c r="E395" s="19" t="n"/>
      <c r="F395" s="19" t="n"/>
      <c r="G395" s="22" t="n"/>
      <c r="H395" s="19" t="n"/>
      <c r="I395" s="19" t="n"/>
      <c r="J395" s="19" t="n"/>
      <c r="K395" s="19" t="n"/>
      <c r="L395" s="16">
        <f>IF(A395="","",SUMIF(Movimientos!$B$2:$B$3001,A395,Movimientos!$F$2:$F$3001))</f>
        <v/>
      </c>
      <c r="M395" s="17">
        <f>IF(A395="","",IF(COUNTIF(Movimientos!$B$2:$B$3001,A395)=0,"",_xlfn.MAXIFS(Movimientos!$A$2:$A$3001,Movimientos!$B$2:$B$3001,A395)))</f>
        <v/>
      </c>
      <c r="N395" s="18">
        <f>IF(A395="","",IF(AND(H395="Sí",I395="Sí",K395&lt;&gt;"Sí"),"Sí","No"))</f>
        <v/>
      </c>
      <c r="O395" s="18">
        <f>IF(S395="","",1+COUNTIFS($N$2:$N$501,"Sí",$S$2:$S$501,"&gt;"&amp;S395))</f>
        <v/>
      </c>
      <c r="P395" s="18">
        <f>IF(A395="","",INDEX(Logros!$A$2:$A$6,MATCH(N(L395),Logros!$C$2:$C$6,1)))</f>
        <v/>
      </c>
      <c r="Q395" s="19" t="n"/>
      <c r="R395" s="18">
        <f>IF(OR(A395="",P395=""),"",IF(P395&gt;N(Q395),"Sí: entregar nivel "&amp;(N(Q395)+1)&amp;IF(P395&gt;N(Q395)+1," al "&amp;P395,"")&amp;" (ver Logros)",""))</f>
        <v/>
      </c>
      <c r="S395" s="20">
        <f>IF(OR(A395="",N395&lt;&gt;"Sí",N(L395)&lt;=0),"",(N(L395)*100000-MAX(0,ROUND((N(M395)-DATE(2026,10,1))*1440,0)))*1000-ROW())</f>
        <v/>
      </c>
    </row>
    <row r="396">
      <c r="A396" s="19" t="n"/>
      <c r="B396" s="19" t="n"/>
      <c r="C396" s="19" t="n"/>
      <c r="D396" s="21" t="n"/>
      <c r="E396" s="19" t="n"/>
      <c r="F396" s="19" t="n"/>
      <c r="G396" s="22" t="n"/>
      <c r="H396" s="19" t="n"/>
      <c r="I396" s="19" t="n"/>
      <c r="J396" s="19" t="n"/>
      <c r="K396" s="19" t="n"/>
      <c r="L396" s="16">
        <f>IF(A396="","",SUMIF(Movimientos!$B$2:$B$3001,A396,Movimientos!$F$2:$F$3001))</f>
        <v/>
      </c>
      <c r="M396" s="17">
        <f>IF(A396="","",IF(COUNTIF(Movimientos!$B$2:$B$3001,A396)=0,"",_xlfn.MAXIFS(Movimientos!$A$2:$A$3001,Movimientos!$B$2:$B$3001,A396)))</f>
        <v/>
      </c>
      <c r="N396" s="18">
        <f>IF(A396="","",IF(AND(H396="Sí",I396="Sí",K396&lt;&gt;"Sí"),"Sí","No"))</f>
        <v/>
      </c>
      <c r="O396" s="18">
        <f>IF(S396="","",1+COUNTIFS($N$2:$N$501,"Sí",$S$2:$S$501,"&gt;"&amp;S396))</f>
        <v/>
      </c>
      <c r="P396" s="18">
        <f>IF(A396="","",INDEX(Logros!$A$2:$A$6,MATCH(N(L396),Logros!$C$2:$C$6,1)))</f>
        <v/>
      </c>
      <c r="Q396" s="19" t="n"/>
      <c r="R396" s="18">
        <f>IF(OR(A396="",P396=""),"",IF(P396&gt;N(Q396),"Sí: entregar nivel "&amp;(N(Q396)+1)&amp;IF(P396&gt;N(Q396)+1," al "&amp;P396,"")&amp;" (ver Logros)",""))</f>
        <v/>
      </c>
      <c r="S396" s="20">
        <f>IF(OR(A396="",N396&lt;&gt;"Sí",N(L396)&lt;=0),"",(N(L396)*100000-MAX(0,ROUND((N(M396)-DATE(2026,10,1))*1440,0)))*1000-ROW())</f>
        <v/>
      </c>
    </row>
    <row r="397">
      <c r="A397" s="19" t="n"/>
      <c r="B397" s="19" t="n"/>
      <c r="C397" s="19" t="n"/>
      <c r="D397" s="21" t="n"/>
      <c r="E397" s="19" t="n"/>
      <c r="F397" s="19" t="n"/>
      <c r="G397" s="22" t="n"/>
      <c r="H397" s="19" t="n"/>
      <c r="I397" s="19" t="n"/>
      <c r="J397" s="19" t="n"/>
      <c r="K397" s="19" t="n"/>
      <c r="L397" s="16">
        <f>IF(A397="","",SUMIF(Movimientos!$B$2:$B$3001,A397,Movimientos!$F$2:$F$3001))</f>
        <v/>
      </c>
      <c r="M397" s="17">
        <f>IF(A397="","",IF(COUNTIF(Movimientos!$B$2:$B$3001,A397)=0,"",_xlfn.MAXIFS(Movimientos!$A$2:$A$3001,Movimientos!$B$2:$B$3001,A397)))</f>
        <v/>
      </c>
      <c r="N397" s="18">
        <f>IF(A397="","",IF(AND(H397="Sí",I397="Sí",K397&lt;&gt;"Sí"),"Sí","No"))</f>
        <v/>
      </c>
      <c r="O397" s="18">
        <f>IF(S397="","",1+COUNTIFS($N$2:$N$501,"Sí",$S$2:$S$501,"&gt;"&amp;S397))</f>
        <v/>
      </c>
      <c r="P397" s="18">
        <f>IF(A397="","",INDEX(Logros!$A$2:$A$6,MATCH(N(L397),Logros!$C$2:$C$6,1)))</f>
        <v/>
      </c>
      <c r="Q397" s="19" t="n"/>
      <c r="R397" s="18">
        <f>IF(OR(A397="",P397=""),"",IF(P397&gt;N(Q397),"Sí: entregar nivel "&amp;(N(Q397)+1)&amp;IF(P397&gt;N(Q397)+1," al "&amp;P397,"")&amp;" (ver Logros)",""))</f>
        <v/>
      </c>
      <c r="S397" s="20">
        <f>IF(OR(A397="",N397&lt;&gt;"Sí",N(L397)&lt;=0),"",(N(L397)*100000-MAX(0,ROUND((N(M397)-DATE(2026,10,1))*1440,0)))*1000-ROW())</f>
        <v/>
      </c>
    </row>
    <row r="398">
      <c r="A398" s="19" t="n"/>
      <c r="B398" s="19" t="n"/>
      <c r="C398" s="19" t="n"/>
      <c r="D398" s="21" t="n"/>
      <c r="E398" s="19" t="n"/>
      <c r="F398" s="19" t="n"/>
      <c r="G398" s="22" t="n"/>
      <c r="H398" s="19" t="n"/>
      <c r="I398" s="19" t="n"/>
      <c r="J398" s="19" t="n"/>
      <c r="K398" s="19" t="n"/>
      <c r="L398" s="16">
        <f>IF(A398="","",SUMIF(Movimientos!$B$2:$B$3001,A398,Movimientos!$F$2:$F$3001))</f>
        <v/>
      </c>
      <c r="M398" s="17">
        <f>IF(A398="","",IF(COUNTIF(Movimientos!$B$2:$B$3001,A398)=0,"",_xlfn.MAXIFS(Movimientos!$A$2:$A$3001,Movimientos!$B$2:$B$3001,A398)))</f>
        <v/>
      </c>
      <c r="N398" s="18">
        <f>IF(A398="","",IF(AND(H398="Sí",I398="Sí",K398&lt;&gt;"Sí"),"Sí","No"))</f>
        <v/>
      </c>
      <c r="O398" s="18">
        <f>IF(S398="","",1+COUNTIFS($N$2:$N$501,"Sí",$S$2:$S$501,"&gt;"&amp;S398))</f>
        <v/>
      </c>
      <c r="P398" s="18">
        <f>IF(A398="","",INDEX(Logros!$A$2:$A$6,MATCH(N(L398),Logros!$C$2:$C$6,1)))</f>
        <v/>
      </c>
      <c r="Q398" s="19" t="n"/>
      <c r="R398" s="18">
        <f>IF(OR(A398="",P398=""),"",IF(P398&gt;N(Q398),"Sí: entregar nivel "&amp;(N(Q398)+1)&amp;IF(P398&gt;N(Q398)+1," al "&amp;P398,"")&amp;" (ver Logros)",""))</f>
        <v/>
      </c>
      <c r="S398" s="20">
        <f>IF(OR(A398="",N398&lt;&gt;"Sí",N(L398)&lt;=0),"",(N(L398)*100000-MAX(0,ROUND((N(M398)-DATE(2026,10,1))*1440,0)))*1000-ROW())</f>
        <v/>
      </c>
    </row>
    <row r="399">
      <c r="A399" s="19" t="n"/>
      <c r="B399" s="19" t="n"/>
      <c r="C399" s="19" t="n"/>
      <c r="D399" s="21" t="n"/>
      <c r="E399" s="19" t="n"/>
      <c r="F399" s="19" t="n"/>
      <c r="G399" s="22" t="n"/>
      <c r="H399" s="19" t="n"/>
      <c r="I399" s="19" t="n"/>
      <c r="J399" s="19" t="n"/>
      <c r="K399" s="19" t="n"/>
      <c r="L399" s="16">
        <f>IF(A399="","",SUMIF(Movimientos!$B$2:$B$3001,A399,Movimientos!$F$2:$F$3001))</f>
        <v/>
      </c>
      <c r="M399" s="17">
        <f>IF(A399="","",IF(COUNTIF(Movimientos!$B$2:$B$3001,A399)=0,"",_xlfn.MAXIFS(Movimientos!$A$2:$A$3001,Movimientos!$B$2:$B$3001,A399)))</f>
        <v/>
      </c>
      <c r="N399" s="18">
        <f>IF(A399="","",IF(AND(H399="Sí",I399="Sí",K399&lt;&gt;"Sí"),"Sí","No"))</f>
        <v/>
      </c>
      <c r="O399" s="18">
        <f>IF(S399="","",1+COUNTIFS($N$2:$N$501,"Sí",$S$2:$S$501,"&gt;"&amp;S399))</f>
        <v/>
      </c>
      <c r="P399" s="18">
        <f>IF(A399="","",INDEX(Logros!$A$2:$A$6,MATCH(N(L399),Logros!$C$2:$C$6,1)))</f>
        <v/>
      </c>
      <c r="Q399" s="19" t="n"/>
      <c r="R399" s="18">
        <f>IF(OR(A399="",P399=""),"",IF(P399&gt;N(Q399),"Sí: entregar nivel "&amp;(N(Q399)+1)&amp;IF(P399&gt;N(Q399)+1," al "&amp;P399,"")&amp;" (ver Logros)",""))</f>
        <v/>
      </c>
      <c r="S399" s="20">
        <f>IF(OR(A399="",N399&lt;&gt;"Sí",N(L399)&lt;=0),"",(N(L399)*100000-MAX(0,ROUND((N(M399)-DATE(2026,10,1))*1440,0)))*1000-ROW())</f>
        <v/>
      </c>
    </row>
    <row r="400">
      <c r="A400" s="19" t="n"/>
      <c r="B400" s="19" t="n"/>
      <c r="C400" s="19" t="n"/>
      <c r="D400" s="21" t="n"/>
      <c r="E400" s="19" t="n"/>
      <c r="F400" s="19" t="n"/>
      <c r="G400" s="22" t="n"/>
      <c r="H400" s="19" t="n"/>
      <c r="I400" s="19" t="n"/>
      <c r="J400" s="19" t="n"/>
      <c r="K400" s="19" t="n"/>
      <c r="L400" s="16">
        <f>IF(A400="","",SUMIF(Movimientos!$B$2:$B$3001,A400,Movimientos!$F$2:$F$3001))</f>
        <v/>
      </c>
      <c r="M400" s="17">
        <f>IF(A400="","",IF(COUNTIF(Movimientos!$B$2:$B$3001,A400)=0,"",_xlfn.MAXIFS(Movimientos!$A$2:$A$3001,Movimientos!$B$2:$B$3001,A400)))</f>
        <v/>
      </c>
      <c r="N400" s="18">
        <f>IF(A400="","",IF(AND(H400="Sí",I400="Sí",K400&lt;&gt;"Sí"),"Sí","No"))</f>
        <v/>
      </c>
      <c r="O400" s="18">
        <f>IF(S400="","",1+COUNTIFS($N$2:$N$501,"Sí",$S$2:$S$501,"&gt;"&amp;S400))</f>
        <v/>
      </c>
      <c r="P400" s="18">
        <f>IF(A400="","",INDEX(Logros!$A$2:$A$6,MATCH(N(L400),Logros!$C$2:$C$6,1)))</f>
        <v/>
      </c>
      <c r="Q400" s="19" t="n"/>
      <c r="R400" s="18">
        <f>IF(OR(A400="",P400=""),"",IF(P400&gt;N(Q400),"Sí: entregar nivel "&amp;(N(Q400)+1)&amp;IF(P400&gt;N(Q400)+1," al "&amp;P400,"")&amp;" (ver Logros)",""))</f>
        <v/>
      </c>
      <c r="S400" s="20">
        <f>IF(OR(A400="",N400&lt;&gt;"Sí",N(L400)&lt;=0),"",(N(L400)*100000-MAX(0,ROUND((N(M400)-DATE(2026,10,1))*1440,0)))*1000-ROW())</f>
        <v/>
      </c>
    </row>
    <row r="401">
      <c r="A401" s="19" t="n"/>
      <c r="B401" s="19" t="n"/>
      <c r="C401" s="19" t="n"/>
      <c r="D401" s="21" t="n"/>
      <c r="E401" s="19" t="n"/>
      <c r="F401" s="19" t="n"/>
      <c r="G401" s="22" t="n"/>
      <c r="H401" s="19" t="n"/>
      <c r="I401" s="19" t="n"/>
      <c r="J401" s="19" t="n"/>
      <c r="K401" s="19" t="n"/>
      <c r="L401" s="16">
        <f>IF(A401="","",SUMIF(Movimientos!$B$2:$B$3001,A401,Movimientos!$F$2:$F$3001))</f>
        <v/>
      </c>
      <c r="M401" s="17">
        <f>IF(A401="","",IF(COUNTIF(Movimientos!$B$2:$B$3001,A401)=0,"",_xlfn.MAXIFS(Movimientos!$A$2:$A$3001,Movimientos!$B$2:$B$3001,A401)))</f>
        <v/>
      </c>
      <c r="N401" s="18">
        <f>IF(A401="","",IF(AND(H401="Sí",I401="Sí",K401&lt;&gt;"Sí"),"Sí","No"))</f>
        <v/>
      </c>
      <c r="O401" s="18">
        <f>IF(S401="","",1+COUNTIFS($N$2:$N$501,"Sí",$S$2:$S$501,"&gt;"&amp;S401))</f>
        <v/>
      </c>
      <c r="P401" s="18">
        <f>IF(A401="","",INDEX(Logros!$A$2:$A$6,MATCH(N(L401),Logros!$C$2:$C$6,1)))</f>
        <v/>
      </c>
      <c r="Q401" s="19" t="n"/>
      <c r="R401" s="18">
        <f>IF(OR(A401="",P401=""),"",IF(P401&gt;N(Q401),"Sí: entregar nivel "&amp;(N(Q401)+1)&amp;IF(P401&gt;N(Q401)+1," al "&amp;P401,"")&amp;" (ver Logros)",""))</f>
        <v/>
      </c>
      <c r="S401" s="20">
        <f>IF(OR(A401="",N401&lt;&gt;"Sí",N(L401)&lt;=0),"",(N(L401)*100000-MAX(0,ROUND((N(M401)-DATE(2026,10,1))*1440,0)))*1000-ROW())</f>
        <v/>
      </c>
    </row>
    <row r="402">
      <c r="A402" s="19" t="n"/>
      <c r="B402" s="19" t="n"/>
      <c r="C402" s="19" t="n"/>
      <c r="D402" s="21" t="n"/>
      <c r="E402" s="19" t="n"/>
      <c r="F402" s="19" t="n"/>
      <c r="G402" s="22" t="n"/>
      <c r="H402" s="19" t="n"/>
      <c r="I402" s="19" t="n"/>
      <c r="J402" s="19" t="n"/>
      <c r="K402" s="19" t="n"/>
      <c r="L402" s="16">
        <f>IF(A402="","",SUMIF(Movimientos!$B$2:$B$3001,A402,Movimientos!$F$2:$F$3001))</f>
        <v/>
      </c>
      <c r="M402" s="17">
        <f>IF(A402="","",IF(COUNTIF(Movimientos!$B$2:$B$3001,A402)=0,"",_xlfn.MAXIFS(Movimientos!$A$2:$A$3001,Movimientos!$B$2:$B$3001,A402)))</f>
        <v/>
      </c>
      <c r="N402" s="18">
        <f>IF(A402="","",IF(AND(H402="Sí",I402="Sí",K402&lt;&gt;"Sí"),"Sí","No"))</f>
        <v/>
      </c>
      <c r="O402" s="18">
        <f>IF(S402="","",1+COUNTIFS($N$2:$N$501,"Sí",$S$2:$S$501,"&gt;"&amp;S402))</f>
        <v/>
      </c>
      <c r="P402" s="18">
        <f>IF(A402="","",INDEX(Logros!$A$2:$A$6,MATCH(N(L402),Logros!$C$2:$C$6,1)))</f>
        <v/>
      </c>
      <c r="Q402" s="19" t="n"/>
      <c r="R402" s="18">
        <f>IF(OR(A402="",P402=""),"",IF(P402&gt;N(Q402),"Sí: entregar nivel "&amp;(N(Q402)+1)&amp;IF(P402&gt;N(Q402)+1," al "&amp;P402,"")&amp;" (ver Logros)",""))</f>
        <v/>
      </c>
      <c r="S402" s="20">
        <f>IF(OR(A402="",N402&lt;&gt;"Sí",N(L402)&lt;=0),"",(N(L402)*100000-MAX(0,ROUND((N(M402)-DATE(2026,10,1))*1440,0)))*1000-ROW())</f>
        <v/>
      </c>
    </row>
    <row r="403">
      <c r="A403" s="19" t="n"/>
      <c r="B403" s="19" t="n"/>
      <c r="C403" s="19" t="n"/>
      <c r="D403" s="21" t="n"/>
      <c r="E403" s="19" t="n"/>
      <c r="F403" s="19" t="n"/>
      <c r="G403" s="22" t="n"/>
      <c r="H403" s="19" t="n"/>
      <c r="I403" s="19" t="n"/>
      <c r="J403" s="19" t="n"/>
      <c r="K403" s="19" t="n"/>
      <c r="L403" s="16">
        <f>IF(A403="","",SUMIF(Movimientos!$B$2:$B$3001,A403,Movimientos!$F$2:$F$3001))</f>
        <v/>
      </c>
      <c r="M403" s="17">
        <f>IF(A403="","",IF(COUNTIF(Movimientos!$B$2:$B$3001,A403)=0,"",_xlfn.MAXIFS(Movimientos!$A$2:$A$3001,Movimientos!$B$2:$B$3001,A403)))</f>
        <v/>
      </c>
      <c r="N403" s="18">
        <f>IF(A403="","",IF(AND(H403="Sí",I403="Sí",K403&lt;&gt;"Sí"),"Sí","No"))</f>
        <v/>
      </c>
      <c r="O403" s="18">
        <f>IF(S403="","",1+COUNTIFS($N$2:$N$501,"Sí",$S$2:$S$501,"&gt;"&amp;S403))</f>
        <v/>
      </c>
      <c r="P403" s="18">
        <f>IF(A403="","",INDEX(Logros!$A$2:$A$6,MATCH(N(L403),Logros!$C$2:$C$6,1)))</f>
        <v/>
      </c>
      <c r="Q403" s="19" t="n"/>
      <c r="R403" s="18">
        <f>IF(OR(A403="",P403=""),"",IF(P403&gt;N(Q403),"Sí: entregar nivel "&amp;(N(Q403)+1)&amp;IF(P403&gt;N(Q403)+1," al "&amp;P403,"")&amp;" (ver Logros)",""))</f>
        <v/>
      </c>
      <c r="S403" s="20">
        <f>IF(OR(A403="",N403&lt;&gt;"Sí",N(L403)&lt;=0),"",(N(L403)*100000-MAX(0,ROUND((N(M403)-DATE(2026,10,1))*1440,0)))*1000-ROW())</f>
        <v/>
      </c>
    </row>
    <row r="404">
      <c r="A404" s="19" t="n"/>
      <c r="B404" s="19" t="n"/>
      <c r="C404" s="19" t="n"/>
      <c r="D404" s="21" t="n"/>
      <c r="E404" s="19" t="n"/>
      <c r="F404" s="19" t="n"/>
      <c r="G404" s="22" t="n"/>
      <c r="H404" s="19" t="n"/>
      <c r="I404" s="19" t="n"/>
      <c r="J404" s="19" t="n"/>
      <c r="K404" s="19" t="n"/>
      <c r="L404" s="16">
        <f>IF(A404="","",SUMIF(Movimientos!$B$2:$B$3001,A404,Movimientos!$F$2:$F$3001))</f>
        <v/>
      </c>
      <c r="M404" s="17">
        <f>IF(A404="","",IF(COUNTIF(Movimientos!$B$2:$B$3001,A404)=0,"",_xlfn.MAXIFS(Movimientos!$A$2:$A$3001,Movimientos!$B$2:$B$3001,A404)))</f>
        <v/>
      </c>
      <c r="N404" s="18">
        <f>IF(A404="","",IF(AND(H404="Sí",I404="Sí",K404&lt;&gt;"Sí"),"Sí","No"))</f>
        <v/>
      </c>
      <c r="O404" s="18">
        <f>IF(S404="","",1+COUNTIFS($N$2:$N$501,"Sí",$S$2:$S$501,"&gt;"&amp;S404))</f>
        <v/>
      </c>
      <c r="P404" s="18">
        <f>IF(A404="","",INDEX(Logros!$A$2:$A$6,MATCH(N(L404),Logros!$C$2:$C$6,1)))</f>
        <v/>
      </c>
      <c r="Q404" s="19" t="n"/>
      <c r="R404" s="18">
        <f>IF(OR(A404="",P404=""),"",IF(P404&gt;N(Q404),"Sí: entregar nivel "&amp;(N(Q404)+1)&amp;IF(P404&gt;N(Q404)+1," al "&amp;P404,"")&amp;" (ver Logros)",""))</f>
        <v/>
      </c>
      <c r="S404" s="20">
        <f>IF(OR(A404="",N404&lt;&gt;"Sí",N(L404)&lt;=0),"",(N(L404)*100000-MAX(0,ROUND((N(M404)-DATE(2026,10,1))*1440,0)))*1000-ROW())</f>
        <v/>
      </c>
    </row>
    <row r="405">
      <c r="A405" s="19" t="n"/>
      <c r="B405" s="19" t="n"/>
      <c r="C405" s="19" t="n"/>
      <c r="D405" s="21" t="n"/>
      <c r="E405" s="19" t="n"/>
      <c r="F405" s="19" t="n"/>
      <c r="G405" s="22" t="n"/>
      <c r="H405" s="19" t="n"/>
      <c r="I405" s="19" t="n"/>
      <c r="J405" s="19" t="n"/>
      <c r="K405" s="19" t="n"/>
      <c r="L405" s="16">
        <f>IF(A405="","",SUMIF(Movimientos!$B$2:$B$3001,A405,Movimientos!$F$2:$F$3001))</f>
        <v/>
      </c>
      <c r="M405" s="17">
        <f>IF(A405="","",IF(COUNTIF(Movimientos!$B$2:$B$3001,A405)=0,"",_xlfn.MAXIFS(Movimientos!$A$2:$A$3001,Movimientos!$B$2:$B$3001,A405)))</f>
        <v/>
      </c>
      <c r="N405" s="18">
        <f>IF(A405="","",IF(AND(H405="Sí",I405="Sí",K405&lt;&gt;"Sí"),"Sí","No"))</f>
        <v/>
      </c>
      <c r="O405" s="18">
        <f>IF(S405="","",1+COUNTIFS($N$2:$N$501,"Sí",$S$2:$S$501,"&gt;"&amp;S405))</f>
        <v/>
      </c>
      <c r="P405" s="18">
        <f>IF(A405="","",INDEX(Logros!$A$2:$A$6,MATCH(N(L405),Logros!$C$2:$C$6,1)))</f>
        <v/>
      </c>
      <c r="Q405" s="19" t="n"/>
      <c r="R405" s="18">
        <f>IF(OR(A405="",P405=""),"",IF(P405&gt;N(Q405),"Sí: entregar nivel "&amp;(N(Q405)+1)&amp;IF(P405&gt;N(Q405)+1," al "&amp;P405,"")&amp;" (ver Logros)",""))</f>
        <v/>
      </c>
      <c r="S405" s="20">
        <f>IF(OR(A405="",N405&lt;&gt;"Sí",N(L405)&lt;=0),"",(N(L405)*100000-MAX(0,ROUND((N(M405)-DATE(2026,10,1))*1440,0)))*1000-ROW())</f>
        <v/>
      </c>
    </row>
    <row r="406">
      <c r="A406" s="19" t="n"/>
      <c r="B406" s="19" t="n"/>
      <c r="C406" s="19" t="n"/>
      <c r="D406" s="21" t="n"/>
      <c r="E406" s="19" t="n"/>
      <c r="F406" s="19" t="n"/>
      <c r="G406" s="22" t="n"/>
      <c r="H406" s="19" t="n"/>
      <c r="I406" s="19" t="n"/>
      <c r="J406" s="19" t="n"/>
      <c r="K406" s="19" t="n"/>
      <c r="L406" s="16">
        <f>IF(A406="","",SUMIF(Movimientos!$B$2:$B$3001,A406,Movimientos!$F$2:$F$3001))</f>
        <v/>
      </c>
      <c r="M406" s="17">
        <f>IF(A406="","",IF(COUNTIF(Movimientos!$B$2:$B$3001,A406)=0,"",_xlfn.MAXIFS(Movimientos!$A$2:$A$3001,Movimientos!$B$2:$B$3001,A406)))</f>
        <v/>
      </c>
      <c r="N406" s="18">
        <f>IF(A406="","",IF(AND(H406="Sí",I406="Sí",K406&lt;&gt;"Sí"),"Sí","No"))</f>
        <v/>
      </c>
      <c r="O406" s="18">
        <f>IF(S406="","",1+COUNTIFS($N$2:$N$501,"Sí",$S$2:$S$501,"&gt;"&amp;S406))</f>
        <v/>
      </c>
      <c r="P406" s="18">
        <f>IF(A406="","",INDEX(Logros!$A$2:$A$6,MATCH(N(L406),Logros!$C$2:$C$6,1)))</f>
        <v/>
      </c>
      <c r="Q406" s="19" t="n"/>
      <c r="R406" s="18">
        <f>IF(OR(A406="",P406=""),"",IF(P406&gt;N(Q406),"Sí: entregar nivel "&amp;(N(Q406)+1)&amp;IF(P406&gt;N(Q406)+1," al "&amp;P406,"")&amp;" (ver Logros)",""))</f>
        <v/>
      </c>
      <c r="S406" s="20">
        <f>IF(OR(A406="",N406&lt;&gt;"Sí",N(L406)&lt;=0),"",(N(L406)*100000-MAX(0,ROUND((N(M406)-DATE(2026,10,1))*1440,0)))*1000-ROW())</f>
        <v/>
      </c>
    </row>
    <row r="407">
      <c r="A407" s="19" t="n"/>
      <c r="B407" s="19" t="n"/>
      <c r="C407" s="19" t="n"/>
      <c r="D407" s="21" t="n"/>
      <c r="E407" s="19" t="n"/>
      <c r="F407" s="19" t="n"/>
      <c r="G407" s="22" t="n"/>
      <c r="H407" s="19" t="n"/>
      <c r="I407" s="19" t="n"/>
      <c r="J407" s="19" t="n"/>
      <c r="K407" s="19" t="n"/>
      <c r="L407" s="16">
        <f>IF(A407="","",SUMIF(Movimientos!$B$2:$B$3001,A407,Movimientos!$F$2:$F$3001))</f>
        <v/>
      </c>
      <c r="M407" s="17">
        <f>IF(A407="","",IF(COUNTIF(Movimientos!$B$2:$B$3001,A407)=0,"",_xlfn.MAXIFS(Movimientos!$A$2:$A$3001,Movimientos!$B$2:$B$3001,A407)))</f>
        <v/>
      </c>
      <c r="N407" s="18">
        <f>IF(A407="","",IF(AND(H407="Sí",I407="Sí",K407&lt;&gt;"Sí"),"Sí","No"))</f>
        <v/>
      </c>
      <c r="O407" s="18">
        <f>IF(S407="","",1+COUNTIFS($N$2:$N$501,"Sí",$S$2:$S$501,"&gt;"&amp;S407))</f>
        <v/>
      </c>
      <c r="P407" s="18">
        <f>IF(A407="","",INDEX(Logros!$A$2:$A$6,MATCH(N(L407),Logros!$C$2:$C$6,1)))</f>
        <v/>
      </c>
      <c r="Q407" s="19" t="n"/>
      <c r="R407" s="18">
        <f>IF(OR(A407="",P407=""),"",IF(P407&gt;N(Q407),"Sí: entregar nivel "&amp;(N(Q407)+1)&amp;IF(P407&gt;N(Q407)+1," al "&amp;P407,"")&amp;" (ver Logros)",""))</f>
        <v/>
      </c>
      <c r="S407" s="20">
        <f>IF(OR(A407="",N407&lt;&gt;"Sí",N(L407)&lt;=0),"",(N(L407)*100000-MAX(0,ROUND((N(M407)-DATE(2026,10,1))*1440,0)))*1000-ROW())</f>
        <v/>
      </c>
    </row>
    <row r="408">
      <c r="A408" s="19" t="n"/>
      <c r="B408" s="19" t="n"/>
      <c r="C408" s="19" t="n"/>
      <c r="D408" s="21" t="n"/>
      <c r="E408" s="19" t="n"/>
      <c r="F408" s="19" t="n"/>
      <c r="G408" s="22" t="n"/>
      <c r="H408" s="19" t="n"/>
      <c r="I408" s="19" t="n"/>
      <c r="J408" s="19" t="n"/>
      <c r="K408" s="19" t="n"/>
      <c r="L408" s="16">
        <f>IF(A408="","",SUMIF(Movimientos!$B$2:$B$3001,A408,Movimientos!$F$2:$F$3001))</f>
        <v/>
      </c>
      <c r="M408" s="17">
        <f>IF(A408="","",IF(COUNTIF(Movimientos!$B$2:$B$3001,A408)=0,"",_xlfn.MAXIFS(Movimientos!$A$2:$A$3001,Movimientos!$B$2:$B$3001,A408)))</f>
        <v/>
      </c>
      <c r="N408" s="18">
        <f>IF(A408="","",IF(AND(H408="Sí",I408="Sí",K408&lt;&gt;"Sí"),"Sí","No"))</f>
        <v/>
      </c>
      <c r="O408" s="18">
        <f>IF(S408="","",1+COUNTIFS($N$2:$N$501,"Sí",$S$2:$S$501,"&gt;"&amp;S408))</f>
        <v/>
      </c>
      <c r="P408" s="18">
        <f>IF(A408="","",INDEX(Logros!$A$2:$A$6,MATCH(N(L408),Logros!$C$2:$C$6,1)))</f>
        <v/>
      </c>
      <c r="Q408" s="19" t="n"/>
      <c r="R408" s="18">
        <f>IF(OR(A408="",P408=""),"",IF(P408&gt;N(Q408),"Sí: entregar nivel "&amp;(N(Q408)+1)&amp;IF(P408&gt;N(Q408)+1," al "&amp;P408,"")&amp;" (ver Logros)",""))</f>
        <v/>
      </c>
      <c r="S408" s="20">
        <f>IF(OR(A408="",N408&lt;&gt;"Sí",N(L408)&lt;=0),"",(N(L408)*100000-MAX(0,ROUND((N(M408)-DATE(2026,10,1))*1440,0)))*1000-ROW())</f>
        <v/>
      </c>
    </row>
    <row r="409">
      <c r="A409" s="19" t="n"/>
      <c r="B409" s="19" t="n"/>
      <c r="C409" s="19" t="n"/>
      <c r="D409" s="21" t="n"/>
      <c r="E409" s="19" t="n"/>
      <c r="F409" s="19" t="n"/>
      <c r="G409" s="22" t="n"/>
      <c r="H409" s="19" t="n"/>
      <c r="I409" s="19" t="n"/>
      <c r="J409" s="19" t="n"/>
      <c r="K409" s="19" t="n"/>
      <c r="L409" s="16">
        <f>IF(A409="","",SUMIF(Movimientos!$B$2:$B$3001,A409,Movimientos!$F$2:$F$3001))</f>
        <v/>
      </c>
      <c r="M409" s="17">
        <f>IF(A409="","",IF(COUNTIF(Movimientos!$B$2:$B$3001,A409)=0,"",_xlfn.MAXIFS(Movimientos!$A$2:$A$3001,Movimientos!$B$2:$B$3001,A409)))</f>
        <v/>
      </c>
      <c r="N409" s="18">
        <f>IF(A409="","",IF(AND(H409="Sí",I409="Sí",K409&lt;&gt;"Sí"),"Sí","No"))</f>
        <v/>
      </c>
      <c r="O409" s="18">
        <f>IF(S409="","",1+COUNTIFS($N$2:$N$501,"Sí",$S$2:$S$501,"&gt;"&amp;S409))</f>
        <v/>
      </c>
      <c r="P409" s="18">
        <f>IF(A409="","",INDEX(Logros!$A$2:$A$6,MATCH(N(L409),Logros!$C$2:$C$6,1)))</f>
        <v/>
      </c>
      <c r="Q409" s="19" t="n"/>
      <c r="R409" s="18">
        <f>IF(OR(A409="",P409=""),"",IF(P409&gt;N(Q409),"Sí: entregar nivel "&amp;(N(Q409)+1)&amp;IF(P409&gt;N(Q409)+1," al "&amp;P409,"")&amp;" (ver Logros)",""))</f>
        <v/>
      </c>
      <c r="S409" s="20">
        <f>IF(OR(A409="",N409&lt;&gt;"Sí",N(L409)&lt;=0),"",(N(L409)*100000-MAX(0,ROUND((N(M409)-DATE(2026,10,1))*1440,0)))*1000-ROW())</f>
        <v/>
      </c>
    </row>
    <row r="410">
      <c r="A410" s="19" t="n"/>
      <c r="B410" s="19" t="n"/>
      <c r="C410" s="19" t="n"/>
      <c r="D410" s="21" t="n"/>
      <c r="E410" s="19" t="n"/>
      <c r="F410" s="19" t="n"/>
      <c r="G410" s="22" t="n"/>
      <c r="H410" s="19" t="n"/>
      <c r="I410" s="19" t="n"/>
      <c r="J410" s="19" t="n"/>
      <c r="K410" s="19" t="n"/>
      <c r="L410" s="16">
        <f>IF(A410="","",SUMIF(Movimientos!$B$2:$B$3001,A410,Movimientos!$F$2:$F$3001))</f>
        <v/>
      </c>
      <c r="M410" s="17">
        <f>IF(A410="","",IF(COUNTIF(Movimientos!$B$2:$B$3001,A410)=0,"",_xlfn.MAXIFS(Movimientos!$A$2:$A$3001,Movimientos!$B$2:$B$3001,A410)))</f>
        <v/>
      </c>
      <c r="N410" s="18">
        <f>IF(A410="","",IF(AND(H410="Sí",I410="Sí",K410&lt;&gt;"Sí"),"Sí","No"))</f>
        <v/>
      </c>
      <c r="O410" s="18">
        <f>IF(S410="","",1+COUNTIFS($N$2:$N$501,"Sí",$S$2:$S$501,"&gt;"&amp;S410))</f>
        <v/>
      </c>
      <c r="P410" s="18">
        <f>IF(A410="","",INDEX(Logros!$A$2:$A$6,MATCH(N(L410),Logros!$C$2:$C$6,1)))</f>
        <v/>
      </c>
      <c r="Q410" s="19" t="n"/>
      <c r="R410" s="18">
        <f>IF(OR(A410="",P410=""),"",IF(P410&gt;N(Q410),"Sí: entregar nivel "&amp;(N(Q410)+1)&amp;IF(P410&gt;N(Q410)+1," al "&amp;P410,"")&amp;" (ver Logros)",""))</f>
        <v/>
      </c>
      <c r="S410" s="20">
        <f>IF(OR(A410="",N410&lt;&gt;"Sí",N(L410)&lt;=0),"",(N(L410)*100000-MAX(0,ROUND((N(M410)-DATE(2026,10,1))*1440,0)))*1000-ROW())</f>
        <v/>
      </c>
    </row>
    <row r="411">
      <c r="A411" s="19" t="n"/>
      <c r="B411" s="19" t="n"/>
      <c r="C411" s="19" t="n"/>
      <c r="D411" s="21" t="n"/>
      <c r="E411" s="19" t="n"/>
      <c r="F411" s="19" t="n"/>
      <c r="G411" s="22" t="n"/>
      <c r="H411" s="19" t="n"/>
      <c r="I411" s="19" t="n"/>
      <c r="J411" s="19" t="n"/>
      <c r="K411" s="19" t="n"/>
      <c r="L411" s="16">
        <f>IF(A411="","",SUMIF(Movimientos!$B$2:$B$3001,A411,Movimientos!$F$2:$F$3001))</f>
        <v/>
      </c>
      <c r="M411" s="17">
        <f>IF(A411="","",IF(COUNTIF(Movimientos!$B$2:$B$3001,A411)=0,"",_xlfn.MAXIFS(Movimientos!$A$2:$A$3001,Movimientos!$B$2:$B$3001,A411)))</f>
        <v/>
      </c>
      <c r="N411" s="18">
        <f>IF(A411="","",IF(AND(H411="Sí",I411="Sí",K411&lt;&gt;"Sí"),"Sí","No"))</f>
        <v/>
      </c>
      <c r="O411" s="18">
        <f>IF(S411="","",1+COUNTIFS($N$2:$N$501,"Sí",$S$2:$S$501,"&gt;"&amp;S411))</f>
        <v/>
      </c>
      <c r="P411" s="18">
        <f>IF(A411="","",INDEX(Logros!$A$2:$A$6,MATCH(N(L411),Logros!$C$2:$C$6,1)))</f>
        <v/>
      </c>
      <c r="Q411" s="19" t="n"/>
      <c r="R411" s="18">
        <f>IF(OR(A411="",P411=""),"",IF(P411&gt;N(Q411),"Sí: entregar nivel "&amp;(N(Q411)+1)&amp;IF(P411&gt;N(Q411)+1," al "&amp;P411,"")&amp;" (ver Logros)",""))</f>
        <v/>
      </c>
      <c r="S411" s="20">
        <f>IF(OR(A411="",N411&lt;&gt;"Sí",N(L411)&lt;=0),"",(N(L411)*100000-MAX(0,ROUND((N(M411)-DATE(2026,10,1))*1440,0)))*1000-ROW())</f>
        <v/>
      </c>
    </row>
    <row r="412">
      <c r="A412" s="19" t="n"/>
      <c r="B412" s="19" t="n"/>
      <c r="C412" s="19" t="n"/>
      <c r="D412" s="21" t="n"/>
      <c r="E412" s="19" t="n"/>
      <c r="F412" s="19" t="n"/>
      <c r="G412" s="22" t="n"/>
      <c r="H412" s="19" t="n"/>
      <c r="I412" s="19" t="n"/>
      <c r="J412" s="19" t="n"/>
      <c r="K412" s="19" t="n"/>
      <c r="L412" s="16">
        <f>IF(A412="","",SUMIF(Movimientos!$B$2:$B$3001,A412,Movimientos!$F$2:$F$3001))</f>
        <v/>
      </c>
      <c r="M412" s="17">
        <f>IF(A412="","",IF(COUNTIF(Movimientos!$B$2:$B$3001,A412)=0,"",_xlfn.MAXIFS(Movimientos!$A$2:$A$3001,Movimientos!$B$2:$B$3001,A412)))</f>
        <v/>
      </c>
      <c r="N412" s="18">
        <f>IF(A412="","",IF(AND(H412="Sí",I412="Sí",K412&lt;&gt;"Sí"),"Sí","No"))</f>
        <v/>
      </c>
      <c r="O412" s="18">
        <f>IF(S412="","",1+COUNTIFS($N$2:$N$501,"Sí",$S$2:$S$501,"&gt;"&amp;S412))</f>
        <v/>
      </c>
      <c r="P412" s="18">
        <f>IF(A412="","",INDEX(Logros!$A$2:$A$6,MATCH(N(L412),Logros!$C$2:$C$6,1)))</f>
        <v/>
      </c>
      <c r="Q412" s="19" t="n"/>
      <c r="R412" s="18">
        <f>IF(OR(A412="",P412=""),"",IF(P412&gt;N(Q412),"Sí: entregar nivel "&amp;(N(Q412)+1)&amp;IF(P412&gt;N(Q412)+1," al "&amp;P412,"")&amp;" (ver Logros)",""))</f>
        <v/>
      </c>
      <c r="S412" s="20">
        <f>IF(OR(A412="",N412&lt;&gt;"Sí",N(L412)&lt;=0),"",(N(L412)*100000-MAX(0,ROUND((N(M412)-DATE(2026,10,1))*1440,0)))*1000-ROW())</f>
        <v/>
      </c>
    </row>
    <row r="413">
      <c r="A413" s="19" t="n"/>
      <c r="B413" s="19" t="n"/>
      <c r="C413" s="19" t="n"/>
      <c r="D413" s="21" t="n"/>
      <c r="E413" s="19" t="n"/>
      <c r="F413" s="19" t="n"/>
      <c r="G413" s="22" t="n"/>
      <c r="H413" s="19" t="n"/>
      <c r="I413" s="19" t="n"/>
      <c r="J413" s="19" t="n"/>
      <c r="K413" s="19" t="n"/>
      <c r="L413" s="16">
        <f>IF(A413="","",SUMIF(Movimientos!$B$2:$B$3001,A413,Movimientos!$F$2:$F$3001))</f>
        <v/>
      </c>
      <c r="M413" s="17">
        <f>IF(A413="","",IF(COUNTIF(Movimientos!$B$2:$B$3001,A413)=0,"",_xlfn.MAXIFS(Movimientos!$A$2:$A$3001,Movimientos!$B$2:$B$3001,A413)))</f>
        <v/>
      </c>
      <c r="N413" s="18">
        <f>IF(A413="","",IF(AND(H413="Sí",I413="Sí",K413&lt;&gt;"Sí"),"Sí","No"))</f>
        <v/>
      </c>
      <c r="O413" s="18">
        <f>IF(S413="","",1+COUNTIFS($N$2:$N$501,"Sí",$S$2:$S$501,"&gt;"&amp;S413))</f>
        <v/>
      </c>
      <c r="P413" s="18">
        <f>IF(A413="","",INDEX(Logros!$A$2:$A$6,MATCH(N(L413),Logros!$C$2:$C$6,1)))</f>
        <v/>
      </c>
      <c r="Q413" s="19" t="n"/>
      <c r="R413" s="18">
        <f>IF(OR(A413="",P413=""),"",IF(P413&gt;N(Q413),"Sí: entregar nivel "&amp;(N(Q413)+1)&amp;IF(P413&gt;N(Q413)+1," al "&amp;P413,"")&amp;" (ver Logros)",""))</f>
        <v/>
      </c>
      <c r="S413" s="20">
        <f>IF(OR(A413="",N413&lt;&gt;"Sí",N(L413)&lt;=0),"",(N(L413)*100000-MAX(0,ROUND((N(M413)-DATE(2026,10,1))*1440,0)))*1000-ROW())</f>
        <v/>
      </c>
    </row>
    <row r="414">
      <c r="A414" s="19" t="n"/>
      <c r="B414" s="19" t="n"/>
      <c r="C414" s="19" t="n"/>
      <c r="D414" s="21" t="n"/>
      <c r="E414" s="19" t="n"/>
      <c r="F414" s="19" t="n"/>
      <c r="G414" s="22" t="n"/>
      <c r="H414" s="19" t="n"/>
      <c r="I414" s="19" t="n"/>
      <c r="J414" s="19" t="n"/>
      <c r="K414" s="19" t="n"/>
      <c r="L414" s="16">
        <f>IF(A414="","",SUMIF(Movimientos!$B$2:$B$3001,A414,Movimientos!$F$2:$F$3001))</f>
        <v/>
      </c>
      <c r="M414" s="17">
        <f>IF(A414="","",IF(COUNTIF(Movimientos!$B$2:$B$3001,A414)=0,"",_xlfn.MAXIFS(Movimientos!$A$2:$A$3001,Movimientos!$B$2:$B$3001,A414)))</f>
        <v/>
      </c>
      <c r="N414" s="18">
        <f>IF(A414="","",IF(AND(H414="Sí",I414="Sí",K414&lt;&gt;"Sí"),"Sí","No"))</f>
        <v/>
      </c>
      <c r="O414" s="18">
        <f>IF(S414="","",1+COUNTIFS($N$2:$N$501,"Sí",$S$2:$S$501,"&gt;"&amp;S414))</f>
        <v/>
      </c>
      <c r="P414" s="18">
        <f>IF(A414="","",INDEX(Logros!$A$2:$A$6,MATCH(N(L414),Logros!$C$2:$C$6,1)))</f>
        <v/>
      </c>
      <c r="Q414" s="19" t="n"/>
      <c r="R414" s="18">
        <f>IF(OR(A414="",P414=""),"",IF(P414&gt;N(Q414),"Sí: entregar nivel "&amp;(N(Q414)+1)&amp;IF(P414&gt;N(Q414)+1," al "&amp;P414,"")&amp;" (ver Logros)",""))</f>
        <v/>
      </c>
      <c r="S414" s="20">
        <f>IF(OR(A414="",N414&lt;&gt;"Sí",N(L414)&lt;=0),"",(N(L414)*100000-MAX(0,ROUND((N(M414)-DATE(2026,10,1))*1440,0)))*1000-ROW())</f>
        <v/>
      </c>
    </row>
    <row r="415">
      <c r="A415" s="19" t="n"/>
      <c r="B415" s="19" t="n"/>
      <c r="C415" s="19" t="n"/>
      <c r="D415" s="21" t="n"/>
      <c r="E415" s="19" t="n"/>
      <c r="F415" s="19" t="n"/>
      <c r="G415" s="22" t="n"/>
      <c r="H415" s="19" t="n"/>
      <c r="I415" s="19" t="n"/>
      <c r="J415" s="19" t="n"/>
      <c r="K415" s="19" t="n"/>
      <c r="L415" s="16">
        <f>IF(A415="","",SUMIF(Movimientos!$B$2:$B$3001,A415,Movimientos!$F$2:$F$3001))</f>
        <v/>
      </c>
      <c r="M415" s="17">
        <f>IF(A415="","",IF(COUNTIF(Movimientos!$B$2:$B$3001,A415)=0,"",_xlfn.MAXIFS(Movimientos!$A$2:$A$3001,Movimientos!$B$2:$B$3001,A415)))</f>
        <v/>
      </c>
      <c r="N415" s="18">
        <f>IF(A415="","",IF(AND(H415="Sí",I415="Sí",K415&lt;&gt;"Sí"),"Sí","No"))</f>
        <v/>
      </c>
      <c r="O415" s="18">
        <f>IF(S415="","",1+COUNTIFS($N$2:$N$501,"Sí",$S$2:$S$501,"&gt;"&amp;S415))</f>
        <v/>
      </c>
      <c r="P415" s="18">
        <f>IF(A415="","",INDEX(Logros!$A$2:$A$6,MATCH(N(L415),Logros!$C$2:$C$6,1)))</f>
        <v/>
      </c>
      <c r="Q415" s="19" t="n"/>
      <c r="R415" s="18">
        <f>IF(OR(A415="",P415=""),"",IF(P415&gt;N(Q415),"Sí: entregar nivel "&amp;(N(Q415)+1)&amp;IF(P415&gt;N(Q415)+1," al "&amp;P415,"")&amp;" (ver Logros)",""))</f>
        <v/>
      </c>
      <c r="S415" s="20">
        <f>IF(OR(A415="",N415&lt;&gt;"Sí",N(L415)&lt;=0),"",(N(L415)*100000-MAX(0,ROUND((N(M415)-DATE(2026,10,1))*1440,0)))*1000-ROW())</f>
        <v/>
      </c>
    </row>
    <row r="416">
      <c r="A416" s="19" t="n"/>
      <c r="B416" s="19" t="n"/>
      <c r="C416" s="19" t="n"/>
      <c r="D416" s="21" t="n"/>
      <c r="E416" s="19" t="n"/>
      <c r="F416" s="19" t="n"/>
      <c r="G416" s="22" t="n"/>
      <c r="H416" s="19" t="n"/>
      <c r="I416" s="19" t="n"/>
      <c r="J416" s="19" t="n"/>
      <c r="K416" s="19" t="n"/>
      <c r="L416" s="16">
        <f>IF(A416="","",SUMIF(Movimientos!$B$2:$B$3001,A416,Movimientos!$F$2:$F$3001))</f>
        <v/>
      </c>
      <c r="M416" s="17">
        <f>IF(A416="","",IF(COUNTIF(Movimientos!$B$2:$B$3001,A416)=0,"",_xlfn.MAXIFS(Movimientos!$A$2:$A$3001,Movimientos!$B$2:$B$3001,A416)))</f>
        <v/>
      </c>
      <c r="N416" s="18">
        <f>IF(A416="","",IF(AND(H416="Sí",I416="Sí",K416&lt;&gt;"Sí"),"Sí","No"))</f>
        <v/>
      </c>
      <c r="O416" s="18">
        <f>IF(S416="","",1+COUNTIFS($N$2:$N$501,"Sí",$S$2:$S$501,"&gt;"&amp;S416))</f>
        <v/>
      </c>
      <c r="P416" s="18">
        <f>IF(A416="","",INDEX(Logros!$A$2:$A$6,MATCH(N(L416),Logros!$C$2:$C$6,1)))</f>
        <v/>
      </c>
      <c r="Q416" s="19" t="n"/>
      <c r="R416" s="18">
        <f>IF(OR(A416="",P416=""),"",IF(P416&gt;N(Q416),"Sí: entregar nivel "&amp;(N(Q416)+1)&amp;IF(P416&gt;N(Q416)+1," al "&amp;P416,"")&amp;" (ver Logros)",""))</f>
        <v/>
      </c>
      <c r="S416" s="20">
        <f>IF(OR(A416="",N416&lt;&gt;"Sí",N(L416)&lt;=0),"",(N(L416)*100000-MAX(0,ROUND((N(M416)-DATE(2026,10,1))*1440,0)))*1000-ROW())</f>
        <v/>
      </c>
    </row>
    <row r="417">
      <c r="A417" s="19" t="n"/>
      <c r="B417" s="19" t="n"/>
      <c r="C417" s="19" t="n"/>
      <c r="D417" s="21" t="n"/>
      <c r="E417" s="19" t="n"/>
      <c r="F417" s="19" t="n"/>
      <c r="G417" s="22" t="n"/>
      <c r="H417" s="19" t="n"/>
      <c r="I417" s="19" t="n"/>
      <c r="J417" s="19" t="n"/>
      <c r="K417" s="19" t="n"/>
      <c r="L417" s="16">
        <f>IF(A417="","",SUMIF(Movimientos!$B$2:$B$3001,A417,Movimientos!$F$2:$F$3001))</f>
        <v/>
      </c>
      <c r="M417" s="17">
        <f>IF(A417="","",IF(COUNTIF(Movimientos!$B$2:$B$3001,A417)=0,"",_xlfn.MAXIFS(Movimientos!$A$2:$A$3001,Movimientos!$B$2:$B$3001,A417)))</f>
        <v/>
      </c>
      <c r="N417" s="18">
        <f>IF(A417="","",IF(AND(H417="Sí",I417="Sí",K417&lt;&gt;"Sí"),"Sí","No"))</f>
        <v/>
      </c>
      <c r="O417" s="18">
        <f>IF(S417="","",1+COUNTIFS($N$2:$N$501,"Sí",$S$2:$S$501,"&gt;"&amp;S417))</f>
        <v/>
      </c>
      <c r="P417" s="18">
        <f>IF(A417="","",INDEX(Logros!$A$2:$A$6,MATCH(N(L417),Logros!$C$2:$C$6,1)))</f>
        <v/>
      </c>
      <c r="Q417" s="19" t="n"/>
      <c r="R417" s="18">
        <f>IF(OR(A417="",P417=""),"",IF(P417&gt;N(Q417),"Sí: entregar nivel "&amp;(N(Q417)+1)&amp;IF(P417&gt;N(Q417)+1," al "&amp;P417,"")&amp;" (ver Logros)",""))</f>
        <v/>
      </c>
      <c r="S417" s="20">
        <f>IF(OR(A417="",N417&lt;&gt;"Sí",N(L417)&lt;=0),"",(N(L417)*100000-MAX(0,ROUND((N(M417)-DATE(2026,10,1))*1440,0)))*1000-ROW())</f>
        <v/>
      </c>
    </row>
    <row r="418">
      <c r="A418" s="19" t="n"/>
      <c r="B418" s="19" t="n"/>
      <c r="C418" s="19" t="n"/>
      <c r="D418" s="21" t="n"/>
      <c r="E418" s="19" t="n"/>
      <c r="F418" s="19" t="n"/>
      <c r="G418" s="22" t="n"/>
      <c r="H418" s="19" t="n"/>
      <c r="I418" s="19" t="n"/>
      <c r="J418" s="19" t="n"/>
      <c r="K418" s="19" t="n"/>
      <c r="L418" s="16">
        <f>IF(A418="","",SUMIF(Movimientos!$B$2:$B$3001,A418,Movimientos!$F$2:$F$3001))</f>
        <v/>
      </c>
      <c r="M418" s="17">
        <f>IF(A418="","",IF(COUNTIF(Movimientos!$B$2:$B$3001,A418)=0,"",_xlfn.MAXIFS(Movimientos!$A$2:$A$3001,Movimientos!$B$2:$B$3001,A418)))</f>
        <v/>
      </c>
      <c r="N418" s="18">
        <f>IF(A418="","",IF(AND(H418="Sí",I418="Sí",K418&lt;&gt;"Sí"),"Sí","No"))</f>
        <v/>
      </c>
      <c r="O418" s="18">
        <f>IF(S418="","",1+COUNTIFS($N$2:$N$501,"Sí",$S$2:$S$501,"&gt;"&amp;S418))</f>
        <v/>
      </c>
      <c r="P418" s="18">
        <f>IF(A418="","",INDEX(Logros!$A$2:$A$6,MATCH(N(L418),Logros!$C$2:$C$6,1)))</f>
        <v/>
      </c>
      <c r="Q418" s="19" t="n"/>
      <c r="R418" s="18">
        <f>IF(OR(A418="",P418=""),"",IF(P418&gt;N(Q418),"Sí: entregar nivel "&amp;(N(Q418)+1)&amp;IF(P418&gt;N(Q418)+1," al "&amp;P418,"")&amp;" (ver Logros)",""))</f>
        <v/>
      </c>
      <c r="S418" s="20">
        <f>IF(OR(A418="",N418&lt;&gt;"Sí",N(L418)&lt;=0),"",(N(L418)*100000-MAX(0,ROUND((N(M418)-DATE(2026,10,1))*1440,0)))*1000-ROW())</f>
        <v/>
      </c>
    </row>
    <row r="419">
      <c r="A419" s="19" t="n"/>
      <c r="B419" s="19" t="n"/>
      <c r="C419" s="19" t="n"/>
      <c r="D419" s="21" t="n"/>
      <c r="E419" s="19" t="n"/>
      <c r="F419" s="19" t="n"/>
      <c r="G419" s="22" t="n"/>
      <c r="H419" s="19" t="n"/>
      <c r="I419" s="19" t="n"/>
      <c r="J419" s="19" t="n"/>
      <c r="K419" s="19" t="n"/>
      <c r="L419" s="16">
        <f>IF(A419="","",SUMIF(Movimientos!$B$2:$B$3001,A419,Movimientos!$F$2:$F$3001))</f>
        <v/>
      </c>
      <c r="M419" s="17">
        <f>IF(A419="","",IF(COUNTIF(Movimientos!$B$2:$B$3001,A419)=0,"",_xlfn.MAXIFS(Movimientos!$A$2:$A$3001,Movimientos!$B$2:$B$3001,A419)))</f>
        <v/>
      </c>
      <c r="N419" s="18">
        <f>IF(A419="","",IF(AND(H419="Sí",I419="Sí",K419&lt;&gt;"Sí"),"Sí","No"))</f>
        <v/>
      </c>
      <c r="O419" s="18">
        <f>IF(S419="","",1+COUNTIFS($N$2:$N$501,"Sí",$S$2:$S$501,"&gt;"&amp;S419))</f>
        <v/>
      </c>
      <c r="P419" s="18">
        <f>IF(A419="","",INDEX(Logros!$A$2:$A$6,MATCH(N(L419),Logros!$C$2:$C$6,1)))</f>
        <v/>
      </c>
      <c r="Q419" s="19" t="n"/>
      <c r="R419" s="18">
        <f>IF(OR(A419="",P419=""),"",IF(P419&gt;N(Q419),"Sí: entregar nivel "&amp;(N(Q419)+1)&amp;IF(P419&gt;N(Q419)+1," al "&amp;P419,"")&amp;" (ver Logros)",""))</f>
        <v/>
      </c>
      <c r="S419" s="20">
        <f>IF(OR(A419="",N419&lt;&gt;"Sí",N(L419)&lt;=0),"",(N(L419)*100000-MAX(0,ROUND((N(M419)-DATE(2026,10,1))*1440,0)))*1000-ROW())</f>
        <v/>
      </c>
    </row>
    <row r="420">
      <c r="A420" s="19" t="n"/>
      <c r="B420" s="19" t="n"/>
      <c r="C420" s="19" t="n"/>
      <c r="D420" s="21" t="n"/>
      <c r="E420" s="19" t="n"/>
      <c r="F420" s="19" t="n"/>
      <c r="G420" s="22" t="n"/>
      <c r="H420" s="19" t="n"/>
      <c r="I420" s="19" t="n"/>
      <c r="J420" s="19" t="n"/>
      <c r="K420" s="19" t="n"/>
      <c r="L420" s="16">
        <f>IF(A420="","",SUMIF(Movimientos!$B$2:$B$3001,A420,Movimientos!$F$2:$F$3001))</f>
        <v/>
      </c>
      <c r="M420" s="17">
        <f>IF(A420="","",IF(COUNTIF(Movimientos!$B$2:$B$3001,A420)=0,"",_xlfn.MAXIFS(Movimientos!$A$2:$A$3001,Movimientos!$B$2:$B$3001,A420)))</f>
        <v/>
      </c>
      <c r="N420" s="18">
        <f>IF(A420="","",IF(AND(H420="Sí",I420="Sí",K420&lt;&gt;"Sí"),"Sí","No"))</f>
        <v/>
      </c>
      <c r="O420" s="18">
        <f>IF(S420="","",1+COUNTIFS($N$2:$N$501,"Sí",$S$2:$S$501,"&gt;"&amp;S420))</f>
        <v/>
      </c>
      <c r="P420" s="18">
        <f>IF(A420="","",INDEX(Logros!$A$2:$A$6,MATCH(N(L420),Logros!$C$2:$C$6,1)))</f>
        <v/>
      </c>
      <c r="Q420" s="19" t="n"/>
      <c r="R420" s="18">
        <f>IF(OR(A420="",P420=""),"",IF(P420&gt;N(Q420),"Sí: entregar nivel "&amp;(N(Q420)+1)&amp;IF(P420&gt;N(Q420)+1," al "&amp;P420,"")&amp;" (ver Logros)",""))</f>
        <v/>
      </c>
      <c r="S420" s="20">
        <f>IF(OR(A420="",N420&lt;&gt;"Sí",N(L420)&lt;=0),"",(N(L420)*100000-MAX(0,ROUND((N(M420)-DATE(2026,10,1))*1440,0)))*1000-ROW())</f>
        <v/>
      </c>
    </row>
    <row r="421">
      <c r="A421" s="19" t="n"/>
      <c r="B421" s="19" t="n"/>
      <c r="C421" s="19" t="n"/>
      <c r="D421" s="21" t="n"/>
      <c r="E421" s="19" t="n"/>
      <c r="F421" s="19" t="n"/>
      <c r="G421" s="22" t="n"/>
      <c r="H421" s="19" t="n"/>
      <c r="I421" s="19" t="n"/>
      <c r="J421" s="19" t="n"/>
      <c r="K421" s="19" t="n"/>
      <c r="L421" s="16">
        <f>IF(A421="","",SUMIF(Movimientos!$B$2:$B$3001,A421,Movimientos!$F$2:$F$3001))</f>
        <v/>
      </c>
      <c r="M421" s="17">
        <f>IF(A421="","",IF(COUNTIF(Movimientos!$B$2:$B$3001,A421)=0,"",_xlfn.MAXIFS(Movimientos!$A$2:$A$3001,Movimientos!$B$2:$B$3001,A421)))</f>
        <v/>
      </c>
      <c r="N421" s="18">
        <f>IF(A421="","",IF(AND(H421="Sí",I421="Sí",K421&lt;&gt;"Sí"),"Sí","No"))</f>
        <v/>
      </c>
      <c r="O421" s="18">
        <f>IF(S421="","",1+COUNTIFS($N$2:$N$501,"Sí",$S$2:$S$501,"&gt;"&amp;S421))</f>
        <v/>
      </c>
      <c r="P421" s="18">
        <f>IF(A421="","",INDEX(Logros!$A$2:$A$6,MATCH(N(L421),Logros!$C$2:$C$6,1)))</f>
        <v/>
      </c>
      <c r="Q421" s="19" t="n"/>
      <c r="R421" s="18">
        <f>IF(OR(A421="",P421=""),"",IF(P421&gt;N(Q421),"Sí: entregar nivel "&amp;(N(Q421)+1)&amp;IF(P421&gt;N(Q421)+1," al "&amp;P421,"")&amp;" (ver Logros)",""))</f>
        <v/>
      </c>
      <c r="S421" s="20">
        <f>IF(OR(A421="",N421&lt;&gt;"Sí",N(L421)&lt;=0),"",(N(L421)*100000-MAX(0,ROUND((N(M421)-DATE(2026,10,1))*1440,0)))*1000-ROW())</f>
        <v/>
      </c>
    </row>
    <row r="422">
      <c r="A422" s="19" t="n"/>
      <c r="B422" s="19" t="n"/>
      <c r="C422" s="19" t="n"/>
      <c r="D422" s="21" t="n"/>
      <c r="E422" s="19" t="n"/>
      <c r="F422" s="19" t="n"/>
      <c r="G422" s="22" t="n"/>
      <c r="H422" s="19" t="n"/>
      <c r="I422" s="19" t="n"/>
      <c r="J422" s="19" t="n"/>
      <c r="K422" s="19" t="n"/>
      <c r="L422" s="16">
        <f>IF(A422="","",SUMIF(Movimientos!$B$2:$B$3001,A422,Movimientos!$F$2:$F$3001))</f>
        <v/>
      </c>
      <c r="M422" s="17">
        <f>IF(A422="","",IF(COUNTIF(Movimientos!$B$2:$B$3001,A422)=0,"",_xlfn.MAXIFS(Movimientos!$A$2:$A$3001,Movimientos!$B$2:$B$3001,A422)))</f>
        <v/>
      </c>
      <c r="N422" s="18">
        <f>IF(A422="","",IF(AND(H422="Sí",I422="Sí",K422&lt;&gt;"Sí"),"Sí","No"))</f>
        <v/>
      </c>
      <c r="O422" s="18">
        <f>IF(S422="","",1+COUNTIFS($N$2:$N$501,"Sí",$S$2:$S$501,"&gt;"&amp;S422))</f>
        <v/>
      </c>
      <c r="P422" s="18">
        <f>IF(A422="","",INDEX(Logros!$A$2:$A$6,MATCH(N(L422),Logros!$C$2:$C$6,1)))</f>
        <v/>
      </c>
      <c r="Q422" s="19" t="n"/>
      <c r="R422" s="18">
        <f>IF(OR(A422="",P422=""),"",IF(P422&gt;N(Q422),"Sí: entregar nivel "&amp;(N(Q422)+1)&amp;IF(P422&gt;N(Q422)+1," al "&amp;P422,"")&amp;" (ver Logros)",""))</f>
        <v/>
      </c>
      <c r="S422" s="20">
        <f>IF(OR(A422="",N422&lt;&gt;"Sí",N(L422)&lt;=0),"",(N(L422)*100000-MAX(0,ROUND((N(M422)-DATE(2026,10,1))*1440,0)))*1000-ROW())</f>
        <v/>
      </c>
    </row>
    <row r="423">
      <c r="A423" s="19" t="n"/>
      <c r="B423" s="19" t="n"/>
      <c r="C423" s="19" t="n"/>
      <c r="D423" s="21" t="n"/>
      <c r="E423" s="19" t="n"/>
      <c r="F423" s="19" t="n"/>
      <c r="G423" s="22" t="n"/>
      <c r="H423" s="19" t="n"/>
      <c r="I423" s="19" t="n"/>
      <c r="J423" s="19" t="n"/>
      <c r="K423" s="19" t="n"/>
      <c r="L423" s="16">
        <f>IF(A423="","",SUMIF(Movimientos!$B$2:$B$3001,A423,Movimientos!$F$2:$F$3001))</f>
        <v/>
      </c>
      <c r="M423" s="17">
        <f>IF(A423="","",IF(COUNTIF(Movimientos!$B$2:$B$3001,A423)=0,"",_xlfn.MAXIFS(Movimientos!$A$2:$A$3001,Movimientos!$B$2:$B$3001,A423)))</f>
        <v/>
      </c>
      <c r="N423" s="18">
        <f>IF(A423="","",IF(AND(H423="Sí",I423="Sí",K423&lt;&gt;"Sí"),"Sí","No"))</f>
        <v/>
      </c>
      <c r="O423" s="18">
        <f>IF(S423="","",1+COUNTIFS($N$2:$N$501,"Sí",$S$2:$S$501,"&gt;"&amp;S423))</f>
        <v/>
      </c>
      <c r="P423" s="18">
        <f>IF(A423="","",INDEX(Logros!$A$2:$A$6,MATCH(N(L423),Logros!$C$2:$C$6,1)))</f>
        <v/>
      </c>
      <c r="Q423" s="19" t="n"/>
      <c r="R423" s="18">
        <f>IF(OR(A423="",P423=""),"",IF(P423&gt;N(Q423),"Sí: entregar nivel "&amp;(N(Q423)+1)&amp;IF(P423&gt;N(Q423)+1," al "&amp;P423,"")&amp;" (ver Logros)",""))</f>
        <v/>
      </c>
      <c r="S423" s="20">
        <f>IF(OR(A423="",N423&lt;&gt;"Sí",N(L423)&lt;=0),"",(N(L423)*100000-MAX(0,ROUND((N(M423)-DATE(2026,10,1))*1440,0)))*1000-ROW())</f>
        <v/>
      </c>
    </row>
    <row r="424">
      <c r="A424" s="19" t="n"/>
      <c r="B424" s="19" t="n"/>
      <c r="C424" s="19" t="n"/>
      <c r="D424" s="21" t="n"/>
      <c r="E424" s="19" t="n"/>
      <c r="F424" s="19" t="n"/>
      <c r="G424" s="22" t="n"/>
      <c r="H424" s="19" t="n"/>
      <c r="I424" s="19" t="n"/>
      <c r="J424" s="19" t="n"/>
      <c r="K424" s="19" t="n"/>
      <c r="L424" s="16">
        <f>IF(A424="","",SUMIF(Movimientos!$B$2:$B$3001,A424,Movimientos!$F$2:$F$3001))</f>
        <v/>
      </c>
      <c r="M424" s="17">
        <f>IF(A424="","",IF(COUNTIF(Movimientos!$B$2:$B$3001,A424)=0,"",_xlfn.MAXIFS(Movimientos!$A$2:$A$3001,Movimientos!$B$2:$B$3001,A424)))</f>
        <v/>
      </c>
      <c r="N424" s="18">
        <f>IF(A424="","",IF(AND(H424="Sí",I424="Sí",K424&lt;&gt;"Sí"),"Sí","No"))</f>
        <v/>
      </c>
      <c r="O424" s="18">
        <f>IF(S424="","",1+COUNTIFS($N$2:$N$501,"Sí",$S$2:$S$501,"&gt;"&amp;S424))</f>
        <v/>
      </c>
      <c r="P424" s="18">
        <f>IF(A424="","",INDEX(Logros!$A$2:$A$6,MATCH(N(L424),Logros!$C$2:$C$6,1)))</f>
        <v/>
      </c>
      <c r="Q424" s="19" t="n"/>
      <c r="R424" s="18">
        <f>IF(OR(A424="",P424=""),"",IF(P424&gt;N(Q424),"Sí: entregar nivel "&amp;(N(Q424)+1)&amp;IF(P424&gt;N(Q424)+1," al "&amp;P424,"")&amp;" (ver Logros)",""))</f>
        <v/>
      </c>
      <c r="S424" s="20">
        <f>IF(OR(A424="",N424&lt;&gt;"Sí",N(L424)&lt;=0),"",(N(L424)*100000-MAX(0,ROUND((N(M424)-DATE(2026,10,1))*1440,0)))*1000-ROW())</f>
        <v/>
      </c>
    </row>
    <row r="425">
      <c r="A425" s="19" t="n"/>
      <c r="B425" s="19" t="n"/>
      <c r="C425" s="19" t="n"/>
      <c r="D425" s="21" t="n"/>
      <c r="E425" s="19" t="n"/>
      <c r="F425" s="19" t="n"/>
      <c r="G425" s="22" t="n"/>
      <c r="H425" s="19" t="n"/>
      <c r="I425" s="19" t="n"/>
      <c r="J425" s="19" t="n"/>
      <c r="K425" s="19" t="n"/>
      <c r="L425" s="16">
        <f>IF(A425="","",SUMIF(Movimientos!$B$2:$B$3001,A425,Movimientos!$F$2:$F$3001))</f>
        <v/>
      </c>
      <c r="M425" s="17">
        <f>IF(A425="","",IF(COUNTIF(Movimientos!$B$2:$B$3001,A425)=0,"",_xlfn.MAXIFS(Movimientos!$A$2:$A$3001,Movimientos!$B$2:$B$3001,A425)))</f>
        <v/>
      </c>
      <c r="N425" s="18">
        <f>IF(A425="","",IF(AND(H425="Sí",I425="Sí",K425&lt;&gt;"Sí"),"Sí","No"))</f>
        <v/>
      </c>
      <c r="O425" s="18">
        <f>IF(S425="","",1+COUNTIFS($N$2:$N$501,"Sí",$S$2:$S$501,"&gt;"&amp;S425))</f>
        <v/>
      </c>
      <c r="P425" s="18">
        <f>IF(A425="","",INDEX(Logros!$A$2:$A$6,MATCH(N(L425),Logros!$C$2:$C$6,1)))</f>
        <v/>
      </c>
      <c r="Q425" s="19" t="n"/>
      <c r="R425" s="18">
        <f>IF(OR(A425="",P425=""),"",IF(P425&gt;N(Q425),"Sí: entregar nivel "&amp;(N(Q425)+1)&amp;IF(P425&gt;N(Q425)+1," al "&amp;P425,"")&amp;" (ver Logros)",""))</f>
        <v/>
      </c>
      <c r="S425" s="20">
        <f>IF(OR(A425="",N425&lt;&gt;"Sí",N(L425)&lt;=0),"",(N(L425)*100000-MAX(0,ROUND((N(M425)-DATE(2026,10,1))*1440,0)))*1000-ROW())</f>
        <v/>
      </c>
    </row>
    <row r="426">
      <c r="A426" s="19" t="n"/>
      <c r="B426" s="19" t="n"/>
      <c r="C426" s="19" t="n"/>
      <c r="D426" s="21" t="n"/>
      <c r="E426" s="19" t="n"/>
      <c r="F426" s="19" t="n"/>
      <c r="G426" s="22" t="n"/>
      <c r="H426" s="19" t="n"/>
      <c r="I426" s="19" t="n"/>
      <c r="J426" s="19" t="n"/>
      <c r="K426" s="19" t="n"/>
      <c r="L426" s="16">
        <f>IF(A426="","",SUMIF(Movimientos!$B$2:$B$3001,A426,Movimientos!$F$2:$F$3001))</f>
        <v/>
      </c>
      <c r="M426" s="17">
        <f>IF(A426="","",IF(COUNTIF(Movimientos!$B$2:$B$3001,A426)=0,"",_xlfn.MAXIFS(Movimientos!$A$2:$A$3001,Movimientos!$B$2:$B$3001,A426)))</f>
        <v/>
      </c>
      <c r="N426" s="18">
        <f>IF(A426="","",IF(AND(H426="Sí",I426="Sí",K426&lt;&gt;"Sí"),"Sí","No"))</f>
        <v/>
      </c>
      <c r="O426" s="18">
        <f>IF(S426="","",1+COUNTIFS($N$2:$N$501,"Sí",$S$2:$S$501,"&gt;"&amp;S426))</f>
        <v/>
      </c>
      <c r="P426" s="18">
        <f>IF(A426="","",INDEX(Logros!$A$2:$A$6,MATCH(N(L426),Logros!$C$2:$C$6,1)))</f>
        <v/>
      </c>
      <c r="Q426" s="19" t="n"/>
      <c r="R426" s="18">
        <f>IF(OR(A426="",P426=""),"",IF(P426&gt;N(Q426),"Sí: entregar nivel "&amp;(N(Q426)+1)&amp;IF(P426&gt;N(Q426)+1," al "&amp;P426,"")&amp;" (ver Logros)",""))</f>
        <v/>
      </c>
      <c r="S426" s="20">
        <f>IF(OR(A426="",N426&lt;&gt;"Sí",N(L426)&lt;=0),"",(N(L426)*100000-MAX(0,ROUND((N(M426)-DATE(2026,10,1))*1440,0)))*1000-ROW())</f>
        <v/>
      </c>
    </row>
    <row r="427">
      <c r="A427" s="19" t="n"/>
      <c r="B427" s="19" t="n"/>
      <c r="C427" s="19" t="n"/>
      <c r="D427" s="21" t="n"/>
      <c r="E427" s="19" t="n"/>
      <c r="F427" s="19" t="n"/>
      <c r="G427" s="22" t="n"/>
      <c r="H427" s="19" t="n"/>
      <c r="I427" s="19" t="n"/>
      <c r="J427" s="19" t="n"/>
      <c r="K427" s="19" t="n"/>
      <c r="L427" s="16">
        <f>IF(A427="","",SUMIF(Movimientos!$B$2:$B$3001,A427,Movimientos!$F$2:$F$3001))</f>
        <v/>
      </c>
      <c r="M427" s="17">
        <f>IF(A427="","",IF(COUNTIF(Movimientos!$B$2:$B$3001,A427)=0,"",_xlfn.MAXIFS(Movimientos!$A$2:$A$3001,Movimientos!$B$2:$B$3001,A427)))</f>
        <v/>
      </c>
      <c r="N427" s="18">
        <f>IF(A427="","",IF(AND(H427="Sí",I427="Sí",K427&lt;&gt;"Sí"),"Sí","No"))</f>
        <v/>
      </c>
      <c r="O427" s="18">
        <f>IF(S427="","",1+COUNTIFS($N$2:$N$501,"Sí",$S$2:$S$501,"&gt;"&amp;S427))</f>
        <v/>
      </c>
      <c r="P427" s="18">
        <f>IF(A427="","",INDEX(Logros!$A$2:$A$6,MATCH(N(L427),Logros!$C$2:$C$6,1)))</f>
        <v/>
      </c>
      <c r="Q427" s="19" t="n"/>
      <c r="R427" s="18">
        <f>IF(OR(A427="",P427=""),"",IF(P427&gt;N(Q427),"Sí: entregar nivel "&amp;(N(Q427)+1)&amp;IF(P427&gt;N(Q427)+1," al "&amp;P427,"")&amp;" (ver Logros)",""))</f>
        <v/>
      </c>
      <c r="S427" s="20">
        <f>IF(OR(A427="",N427&lt;&gt;"Sí",N(L427)&lt;=0),"",(N(L427)*100000-MAX(0,ROUND((N(M427)-DATE(2026,10,1))*1440,0)))*1000-ROW())</f>
        <v/>
      </c>
    </row>
    <row r="428">
      <c r="A428" s="19" t="n"/>
      <c r="B428" s="19" t="n"/>
      <c r="C428" s="19" t="n"/>
      <c r="D428" s="21" t="n"/>
      <c r="E428" s="19" t="n"/>
      <c r="F428" s="19" t="n"/>
      <c r="G428" s="22" t="n"/>
      <c r="H428" s="19" t="n"/>
      <c r="I428" s="19" t="n"/>
      <c r="J428" s="19" t="n"/>
      <c r="K428" s="19" t="n"/>
      <c r="L428" s="16">
        <f>IF(A428="","",SUMIF(Movimientos!$B$2:$B$3001,A428,Movimientos!$F$2:$F$3001))</f>
        <v/>
      </c>
      <c r="M428" s="17">
        <f>IF(A428="","",IF(COUNTIF(Movimientos!$B$2:$B$3001,A428)=0,"",_xlfn.MAXIFS(Movimientos!$A$2:$A$3001,Movimientos!$B$2:$B$3001,A428)))</f>
        <v/>
      </c>
      <c r="N428" s="18">
        <f>IF(A428="","",IF(AND(H428="Sí",I428="Sí",K428&lt;&gt;"Sí"),"Sí","No"))</f>
        <v/>
      </c>
      <c r="O428" s="18">
        <f>IF(S428="","",1+COUNTIFS($N$2:$N$501,"Sí",$S$2:$S$501,"&gt;"&amp;S428))</f>
        <v/>
      </c>
      <c r="P428" s="18">
        <f>IF(A428="","",INDEX(Logros!$A$2:$A$6,MATCH(N(L428),Logros!$C$2:$C$6,1)))</f>
        <v/>
      </c>
      <c r="Q428" s="19" t="n"/>
      <c r="R428" s="18">
        <f>IF(OR(A428="",P428=""),"",IF(P428&gt;N(Q428),"Sí: entregar nivel "&amp;(N(Q428)+1)&amp;IF(P428&gt;N(Q428)+1," al "&amp;P428,"")&amp;" (ver Logros)",""))</f>
        <v/>
      </c>
      <c r="S428" s="20">
        <f>IF(OR(A428="",N428&lt;&gt;"Sí",N(L428)&lt;=0),"",(N(L428)*100000-MAX(0,ROUND((N(M428)-DATE(2026,10,1))*1440,0)))*1000-ROW())</f>
        <v/>
      </c>
    </row>
    <row r="429">
      <c r="A429" s="19" t="n"/>
      <c r="B429" s="19" t="n"/>
      <c r="C429" s="19" t="n"/>
      <c r="D429" s="21" t="n"/>
      <c r="E429" s="19" t="n"/>
      <c r="F429" s="19" t="n"/>
      <c r="G429" s="22" t="n"/>
      <c r="H429" s="19" t="n"/>
      <c r="I429" s="19" t="n"/>
      <c r="J429" s="19" t="n"/>
      <c r="K429" s="19" t="n"/>
      <c r="L429" s="16">
        <f>IF(A429="","",SUMIF(Movimientos!$B$2:$B$3001,A429,Movimientos!$F$2:$F$3001))</f>
        <v/>
      </c>
      <c r="M429" s="17">
        <f>IF(A429="","",IF(COUNTIF(Movimientos!$B$2:$B$3001,A429)=0,"",_xlfn.MAXIFS(Movimientos!$A$2:$A$3001,Movimientos!$B$2:$B$3001,A429)))</f>
        <v/>
      </c>
      <c r="N429" s="18">
        <f>IF(A429="","",IF(AND(H429="Sí",I429="Sí",K429&lt;&gt;"Sí"),"Sí","No"))</f>
        <v/>
      </c>
      <c r="O429" s="18">
        <f>IF(S429="","",1+COUNTIFS($N$2:$N$501,"Sí",$S$2:$S$501,"&gt;"&amp;S429))</f>
        <v/>
      </c>
      <c r="P429" s="18">
        <f>IF(A429="","",INDEX(Logros!$A$2:$A$6,MATCH(N(L429),Logros!$C$2:$C$6,1)))</f>
        <v/>
      </c>
      <c r="Q429" s="19" t="n"/>
      <c r="R429" s="18">
        <f>IF(OR(A429="",P429=""),"",IF(P429&gt;N(Q429),"Sí: entregar nivel "&amp;(N(Q429)+1)&amp;IF(P429&gt;N(Q429)+1," al "&amp;P429,"")&amp;" (ver Logros)",""))</f>
        <v/>
      </c>
      <c r="S429" s="20">
        <f>IF(OR(A429="",N429&lt;&gt;"Sí",N(L429)&lt;=0),"",(N(L429)*100000-MAX(0,ROUND((N(M429)-DATE(2026,10,1))*1440,0)))*1000-ROW())</f>
        <v/>
      </c>
    </row>
    <row r="430">
      <c r="A430" s="19" t="n"/>
      <c r="B430" s="19" t="n"/>
      <c r="C430" s="19" t="n"/>
      <c r="D430" s="21" t="n"/>
      <c r="E430" s="19" t="n"/>
      <c r="F430" s="19" t="n"/>
      <c r="G430" s="22" t="n"/>
      <c r="H430" s="19" t="n"/>
      <c r="I430" s="19" t="n"/>
      <c r="J430" s="19" t="n"/>
      <c r="K430" s="19" t="n"/>
      <c r="L430" s="16">
        <f>IF(A430="","",SUMIF(Movimientos!$B$2:$B$3001,A430,Movimientos!$F$2:$F$3001))</f>
        <v/>
      </c>
      <c r="M430" s="17">
        <f>IF(A430="","",IF(COUNTIF(Movimientos!$B$2:$B$3001,A430)=0,"",_xlfn.MAXIFS(Movimientos!$A$2:$A$3001,Movimientos!$B$2:$B$3001,A430)))</f>
        <v/>
      </c>
      <c r="N430" s="18">
        <f>IF(A430="","",IF(AND(H430="Sí",I430="Sí",K430&lt;&gt;"Sí"),"Sí","No"))</f>
        <v/>
      </c>
      <c r="O430" s="18">
        <f>IF(S430="","",1+COUNTIFS($N$2:$N$501,"Sí",$S$2:$S$501,"&gt;"&amp;S430))</f>
        <v/>
      </c>
      <c r="P430" s="18">
        <f>IF(A430="","",INDEX(Logros!$A$2:$A$6,MATCH(N(L430),Logros!$C$2:$C$6,1)))</f>
        <v/>
      </c>
      <c r="Q430" s="19" t="n"/>
      <c r="R430" s="18">
        <f>IF(OR(A430="",P430=""),"",IF(P430&gt;N(Q430),"Sí: entregar nivel "&amp;(N(Q430)+1)&amp;IF(P430&gt;N(Q430)+1," al "&amp;P430,"")&amp;" (ver Logros)",""))</f>
        <v/>
      </c>
      <c r="S430" s="20">
        <f>IF(OR(A430="",N430&lt;&gt;"Sí",N(L430)&lt;=0),"",(N(L430)*100000-MAX(0,ROUND((N(M430)-DATE(2026,10,1))*1440,0)))*1000-ROW())</f>
        <v/>
      </c>
    </row>
    <row r="431">
      <c r="A431" s="19" t="n"/>
      <c r="B431" s="19" t="n"/>
      <c r="C431" s="19" t="n"/>
      <c r="D431" s="21" t="n"/>
      <c r="E431" s="19" t="n"/>
      <c r="F431" s="19" t="n"/>
      <c r="G431" s="22" t="n"/>
      <c r="H431" s="19" t="n"/>
      <c r="I431" s="19" t="n"/>
      <c r="J431" s="19" t="n"/>
      <c r="K431" s="19" t="n"/>
      <c r="L431" s="16">
        <f>IF(A431="","",SUMIF(Movimientos!$B$2:$B$3001,A431,Movimientos!$F$2:$F$3001))</f>
        <v/>
      </c>
      <c r="M431" s="17">
        <f>IF(A431="","",IF(COUNTIF(Movimientos!$B$2:$B$3001,A431)=0,"",_xlfn.MAXIFS(Movimientos!$A$2:$A$3001,Movimientos!$B$2:$B$3001,A431)))</f>
        <v/>
      </c>
      <c r="N431" s="18">
        <f>IF(A431="","",IF(AND(H431="Sí",I431="Sí",K431&lt;&gt;"Sí"),"Sí","No"))</f>
        <v/>
      </c>
      <c r="O431" s="18">
        <f>IF(S431="","",1+COUNTIFS($N$2:$N$501,"Sí",$S$2:$S$501,"&gt;"&amp;S431))</f>
        <v/>
      </c>
      <c r="P431" s="18">
        <f>IF(A431="","",INDEX(Logros!$A$2:$A$6,MATCH(N(L431),Logros!$C$2:$C$6,1)))</f>
        <v/>
      </c>
      <c r="Q431" s="19" t="n"/>
      <c r="R431" s="18">
        <f>IF(OR(A431="",P431=""),"",IF(P431&gt;N(Q431),"Sí: entregar nivel "&amp;(N(Q431)+1)&amp;IF(P431&gt;N(Q431)+1," al "&amp;P431,"")&amp;" (ver Logros)",""))</f>
        <v/>
      </c>
      <c r="S431" s="20">
        <f>IF(OR(A431="",N431&lt;&gt;"Sí",N(L431)&lt;=0),"",(N(L431)*100000-MAX(0,ROUND((N(M431)-DATE(2026,10,1))*1440,0)))*1000-ROW())</f>
        <v/>
      </c>
    </row>
    <row r="432">
      <c r="A432" s="19" t="n"/>
      <c r="B432" s="19" t="n"/>
      <c r="C432" s="19" t="n"/>
      <c r="D432" s="21" t="n"/>
      <c r="E432" s="19" t="n"/>
      <c r="F432" s="19" t="n"/>
      <c r="G432" s="22" t="n"/>
      <c r="H432" s="19" t="n"/>
      <c r="I432" s="19" t="n"/>
      <c r="J432" s="19" t="n"/>
      <c r="K432" s="19" t="n"/>
      <c r="L432" s="16">
        <f>IF(A432="","",SUMIF(Movimientos!$B$2:$B$3001,A432,Movimientos!$F$2:$F$3001))</f>
        <v/>
      </c>
      <c r="M432" s="17">
        <f>IF(A432="","",IF(COUNTIF(Movimientos!$B$2:$B$3001,A432)=0,"",_xlfn.MAXIFS(Movimientos!$A$2:$A$3001,Movimientos!$B$2:$B$3001,A432)))</f>
        <v/>
      </c>
      <c r="N432" s="18">
        <f>IF(A432="","",IF(AND(H432="Sí",I432="Sí",K432&lt;&gt;"Sí"),"Sí","No"))</f>
        <v/>
      </c>
      <c r="O432" s="18">
        <f>IF(S432="","",1+COUNTIFS($N$2:$N$501,"Sí",$S$2:$S$501,"&gt;"&amp;S432))</f>
        <v/>
      </c>
      <c r="P432" s="18">
        <f>IF(A432="","",INDEX(Logros!$A$2:$A$6,MATCH(N(L432),Logros!$C$2:$C$6,1)))</f>
        <v/>
      </c>
      <c r="Q432" s="19" t="n"/>
      <c r="R432" s="18">
        <f>IF(OR(A432="",P432=""),"",IF(P432&gt;N(Q432),"Sí: entregar nivel "&amp;(N(Q432)+1)&amp;IF(P432&gt;N(Q432)+1," al "&amp;P432,"")&amp;" (ver Logros)",""))</f>
        <v/>
      </c>
      <c r="S432" s="20">
        <f>IF(OR(A432="",N432&lt;&gt;"Sí",N(L432)&lt;=0),"",(N(L432)*100000-MAX(0,ROUND((N(M432)-DATE(2026,10,1))*1440,0)))*1000-ROW())</f>
        <v/>
      </c>
    </row>
    <row r="433">
      <c r="A433" s="19" t="n"/>
      <c r="B433" s="19" t="n"/>
      <c r="C433" s="19" t="n"/>
      <c r="D433" s="21" t="n"/>
      <c r="E433" s="19" t="n"/>
      <c r="F433" s="19" t="n"/>
      <c r="G433" s="22" t="n"/>
      <c r="H433" s="19" t="n"/>
      <c r="I433" s="19" t="n"/>
      <c r="J433" s="19" t="n"/>
      <c r="K433" s="19" t="n"/>
      <c r="L433" s="16">
        <f>IF(A433="","",SUMIF(Movimientos!$B$2:$B$3001,A433,Movimientos!$F$2:$F$3001))</f>
        <v/>
      </c>
      <c r="M433" s="17">
        <f>IF(A433="","",IF(COUNTIF(Movimientos!$B$2:$B$3001,A433)=0,"",_xlfn.MAXIFS(Movimientos!$A$2:$A$3001,Movimientos!$B$2:$B$3001,A433)))</f>
        <v/>
      </c>
      <c r="N433" s="18">
        <f>IF(A433="","",IF(AND(H433="Sí",I433="Sí",K433&lt;&gt;"Sí"),"Sí","No"))</f>
        <v/>
      </c>
      <c r="O433" s="18">
        <f>IF(S433="","",1+COUNTIFS($N$2:$N$501,"Sí",$S$2:$S$501,"&gt;"&amp;S433))</f>
        <v/>
      </c>
      <c r="P433" s="18">
        <f>IF(A433="","",INDEX(Logros!$A$2:$A$6,MATCH(N(L433),Logros!$C$2:$C$6,1)))</f>
        <v/>
      </c>
      <c r="Q433" s="19" t="n"/>
      <c r="R433" s="18">
        <f>IF(OR(A433="",P433=""),"",IF(P433&gt;N(Q433),"Sí: entregar nivel "&amp;(N(Q433)+1)&amp;IF(P433&gt;N(Q433)+1," al "&amp;P433,"")&amp;" (ver Logros)",""))</f>
        <v/>
      </c>
      <c r="S433" s="20">
        <f>IF(OR(A433="",N433&lt;&gt;"Sí",N(L433)&lt;=0),"",(N(L433)*100000-MAX(0,ROUND((N(M433)-DATE(2026,10,1))*1440,0)))*1000-ROW())</f>
        <v/>
      </c>
    </row>
    <row r="434">
      <c r="A434" s="19" t="n"/>
      <c r="B434" s="19" t="n"/>
      <c r="C434" s="19" t="n"/>
      <c r="D434" s="21" t="n"/>
      <c r="E434" s="19" t="n"/>
      <c r="F434" s="19" t="n"/>
      <c r="G434" s="22" t="n"/>
      <c r="H434" s="19" t="n"/>
      <c r="I434" s="19" t="n"/>
      <c r="J434" s="19" t="n"/>
      <c r="K434" s="19" t="n"/>
      <c r="L434" s="16">
        <f>IF(A434="","",SUMIF(Movimientos!$B$2:$B$3001,A434,Movimientos!$F$2:$F$3001))</f>
        <v/>
      </c>
      <c r="M434" s="17">
        <f>IF(A434="","",IF(COUNTIF(Movimientos!$B$2:$B$3001,A434)=0,"",_xlfn.MAXIFS(Movimientos!$A$2:$A$3001,Movimientos!$B$2:$B$3001,A434)))</f>
        <v/>
      </c>
      <c r="N434" s="18">
        <f>IF(A434="","",IF(AND(H434="Sí",I434="Sí",K434&lt;&gt;"Sí"),"Sí","No"))</f>
        <v/>
      </c>
      <c r="O434" s="18">
        <f>IF(S434="","",1+COUNTIFS($N$2:$N$501,"Sí",$S$2:$S$501,"&gt;"&amp;S434))</f>
        <v/>
      </c>
      <c r="P434" s="18">
        <f>IF(A434="","",INDEX(Logros!$A$2:$A$6,MATCH(N(L434),Logros!$C$2:$C$6,1)))</f>
        <v/>
      </c>
      <c r="Q434" s="19" t="n"/>
      <c r="R434" s="18">
        <f>IF(OR(A434="",P434=""),"",IF(P434&gt;N(Q434),"Sí: entregar nivel "&amp;(N(Q434)+1)&amp;IF(P434&gt;N(Q434)+1," al "&amp;P434,"")&amp;" (ver Logros)",""))</f>
        <v/>
      </c>
      <c r="S434" s="20">
        <f>IF(OR(A434="",N434&lt;&gt;"Sí",N(L434)&lt;=0),"",(N(L434)*100000-MAX(0,ROUND((N(M434)-DATE(2026,10,1))*1440,0)))*1000-ROW())</f>
        <v/>
      </c>
    </row>
    <row r="435">
      <c r="A435" s="19" t="n"/>
      <c r="B435" s="19" t="n"/>
      <c r="C435" s="19" t="n"/>
      <c r="D435" s="21" t="n"/>
      <c r="E435" s="19" t="n"/>
      <c r="F435" s="19" t="n"/>
      <c r="G435" s="22" t="n"/>
      <c r="H435" s="19" t="n"/>
      <c r="I435" s="19" t="n"/>
      <c r="J435" s="19" t="n"/>
      <c r="K435" s="19" t="n"/>
      <c r="L435" s="16">
        <f>IF(A435="","",SUMIF(Movimientos!$B$2:$B$3001,A435,Movimientos!$F$2:$F$3001))</f>
        <v/>
      </c>
      <c r="M435" s="17">
        <f>IF(A435="","",IF(COUNTIF(Movimientos!$B$2:$B$3001,A435)=0,"",_xlfn.MAXIFS(Movimientos!$A$2:$A$3001,Movimientos!$B$2:$B$3001,A435)))</f>
        <v/>
      </c>
      <c r="N435" s="18">
        <f>IF(A435="","",IF(AND(H435="Sí",I435="Sí",K435&lt;&gt;"Sí"),"Sí","No"))</f>
        <v/>
      </c>
      <c r="O435" s="18">
        <f>IF(S435="","",1+COUNTIFS($N$2:$N$501,"Sí",$S$2:$S$501,"&gt;"&amp;S435))</f>
        <v/>
      </c>
      <c r="P435" s="18">
        <f>IF(A435="","",INDEX(Logros!$A$2:$A$6,MATCH(N(L435),Logros!$C$2:$C$6,1)))</f>
        <v/>
      </c>
      <c r="Q435" s="19" t="n"/>
      <c r="R435" s="18">
        <f>IF(OR(A435="",P435=""),"",IF(P435&gt;N(Q435),"Sí: entregar nivel "&amp;(N(Q435)+1)&amp;IF(P435&gt;N(Q435)+1," al "&amp;P435,"")&amp;" (ver Logros)",""))</f>
        <v/>
      </c>
      <c r="S435" s="20">
        <f>IF(OR(A435="",N435&lt;&gt;"Sí",N(L435)&lt;=0),"",(N(L435)*100000-MAX(0,ROUND((N(M435)-DATE(2026,10,1))*1440,0)))*1000-ROW())</f>
        <v/>
      </c>
    </row>
    <row r="436">
      <c r="A436" s="19" t="n"/>
      <c r="B436" s="19" t="n"/>
      <c r="C436" s="19" t="n"/>
      <c r="D436" s="21" t="n"/>
      <c r="E436" s="19" t="n"/>
      <c r="F436" s="19" t="n"/>
      <c r="G436" s="22" t="n"/>
      <c r="H436" s="19" t="n"/>
      <c r="I436" s="19" t="n"/>
      <c r="J436" s="19" t="n"/>
      <c r="K436" s="19" t="n"/>
      <c r="L436" s="16">
        <f>IF(A436="","",SUMIF(Movimientos!$B$2:$B$3001,A436,Movimientos!$F$2:$F$3001))</f>
        <v/>
      </c>
      <c r="M436" s="17">
        <f>IF(A436="","",IF(COUNTIF(Movimientos!$B$2:$B$3001,A436)=0,"",_xlfn.MAXIFS(Movimientos!$A$2:$A$3001,Movimientos!$B$2:$B$3001,A436)))</f>
        <v/>
      </c>
      <c r="N436" s="18">
        <f>IF(A436="","",IF(AND(H436="Sí",I436="Sí",K436&lt;&gt;"Sí"),"Sí","No"))</f>
        <v/>
      </c>
      <c r="O436" s="18">
        <f>IF(S436="","",1+COUNTIFS($N$2:$N$501,"Sí",$S$2:$S$501,"&gt;"&amp;S436))</f>
        <v/>
      </c>
      <c r="P436" s="18">
        <f>IF(A436="","",INDEX(Logros!$A$2:$A$6,MATCH(N(L436),Logros!$C$2:$C$6,1)))</f>
        <v/>
      </c>
      <c r="Q436" s="19" t="n"/>
      <c r="R436" s="18">
        <f>IF(OR(A436="",P436=""),"",IF(P436&gt;N(Q436),"Sí: entregar nivel "&amp;(N(Q436)+1)&amp;IF(P436&gt;N(Q436)+1," al "&amp;P436,"")&amp;" (ver Logros)",""))</f>
        <v/>
      </c>
      <c r="S436" s="20">
        <f>IF(OR(A436="",N436&lt;&gt;"Sí",N(L436)&lt;=0),"",(N(L436)*100000-MAX(0,ROUND((N(M436)-DATE(2026,10,1))*1440,0)))*1000-ROW())</f>
        <v/>
      </c>
    </row>
    <row r="437">
      <c r="A437" s="19" t="n"/>
      <c r="B437" s="19" t="n"/>
      <c r="C437" s="19" t="n"/>
      <c r="D437" s="21" t="n"/>
      <c r="E437" s="19" t="n"/>
      <c r="F437" s="19" t="n"/>
      <c r="G437" s="22" t="n"/>
      <c r="H437" s="19" t="n"/>
      <c r="I437" s="19" t="n"/>
      <c r="J437" s="19" t="n"/>
      <c r="K437" s="19" t="n"/>
      <c r="L437" s="16">
        <f>IF(A437="","",SUMIF(Movimientos!$B$2:$B$3001,A437,Movimientos!$F$2:$F$3001))</f>
        <v/>
      </c>
      <c r="M437" s="17">
        <f>IF(A437="","",IF(COUNTIF(Movimientos!$B$2:$B$3001,A437)=0,"",_xlfn.MAXIFS(Movimientos!$A$2:$A$3001,Movimientos!$B$2:$B$3001,A437)))</f>
        <v/>
      </c>
      <c r="N437" s="18">
        <f>IF(A437="","",IF(AND(H437="Sí",I437="Sí",K437&lt;&gt;"Sí"),"Sí","No"))</f>
        <v/>
      </c>
      <c r="O437" s="18">
        <f>IF(S437="","",1+COUNTIFS($N$2:$N$501,"Sí",$S$2:$S$501,"&gt;"&amp;S437))</f>
        <v/>
      </c>
      <c r="P437" s="18">
        <f>IF(A437="","",INDEX(Logros!$A$2:$A$6,MATCH(N(L437),Logros!$C$2:$C$6,1)))</f>
        <v/>
      </c>
      <c r="Q437" s="19" t="n"/>
      <c r="R437" s="18">
        <f>IF(OR(A437="",P437=""),"",IF(P437&gt;N(Q437),"Sí: entregar nivel "&amp;(N(Q437)+1)&amp;IF(P437&gt;N(Q437)+1," al "&amp;P437,"")&amp;" (ver Logros)",""))</f>
        <v/>
      </c>
      <c r="S437" s="20">
        <f>IF(OR(A437="",N437&lt;&gt;"Sí",N(L437)&lt;=0),"",(N(L437)*100000-MAX(0,ROUND((N(M437)-DATE(2026,10,1))*1440,0)))*1000-ROW())</f>
        <v/>
      </c>
    </row>
    <row r="438">
      <c r="A438" s="19" t="n"/>
      <c r="B438" s="19" t="n"/>
      <c r="C438" s="19" t="n"/>
      <c r="D438" s="21" t="n"/>
      <c r="E438" s="19" t="n"/>
      <c r="F438" s="19" t="n"/>
      <c r="G438" s="22" t="n"/>
      <c r="H438" s="19" t="n"/>
      <c r="I438" s="19" t="n"/>
      <c r="J438" s="19" t="n"/>
      <c r="K438" s="19" t="n"/>
      <c r="L438" s="16">
        <f>IF(A438="","",SUMIF(Movimientos!$B$2:$B$3001,A438,Movimientos!$F$2:$F$3001))</f>
        <v/>
      </c>
      <c r="M438" s="17">
        <f>IF(A438="","",IF(COUNTIF(Movimientos!$B$2:$B$3001,A438)=0,"",_xlfn.MAXIFS(Movimientos!$A$2:$A$3001,Movimientos!$B$2:$B$3001,A438)))</f>
        <v/>
      </c>
      <c r="N438" s="18">
        <f>IF(A438="","",IF(AND(H438="Sí",I438="Sí",K438&lt;&gt;"Sí"),"Sí","No"))</f>
        <v/>
      </c>
      <c r="O438" s="18">
        <f>IF(S438="","",1+COUNTIFS($N$2:$N$501,"Sí",$S$2:$S$501,"&gt;"&amp;S438))</f>
        <v/>
      </c>
      <c r="P438" s="18">
        <f>IF(A438="","",INDEX(Logros!$A$2:$A$6,MATCH(N(L438),Logros!$C$2:$C$6,1)))</f>
        <v/>
      </c>
      <c r="Q438" s="19" t="n"/>
      <c r="R438" s="18">
        <f>IF(OR(A438="",P438=""),"",IF(P438&gt;N(Q438),"Sí: entregar nivel "&amp;(N(Q438)+1)&amp;IF(P438&gt;N(Q438)+1," al "&amp;P438,"")&amp;" (ver Logros)",""))</f>
        <v/>
      </c>
      <c r="S438" s="20">
        <f>IF(OR(A438="",N438&lt;&gt;"Sí",N(L438)&lt;=0),"",(N(L438)*100000-MAX(0,ROUND((N(M438)-DATE(2026,10,1))*1440,0)))*1000-ROW())</f>
        <v/>
      </c>
    </row>
    <row r="439">
      <c r="A439" s="19" t="n"/>
      <c r="B439" s="19" t="n"/>
      <c r="C439" s="19" t="n"/>
      <c r="D439" s="21" t="n"/>
      <c r="E439" s="19" t="n"/>
      <c r="F439" s="19" t="n"/>
      <c r="G439" s="22" t="n"/>
      <c r="H439" s="19" t="n"/>
      <c r="I439" s="19" t="n"/>
      <c r="J439" s="19" t="n"/>
      <c r="K439" s="19" t="n"/>
      <c r="L439" s="16">
        <f>IF(A439="","",SUMIF(Movimientos!$B$2:$B$3001,A439,Movimientos!$F$2:$F$3001))</f>
        <v/>
      </c>
      <c r="M439" s="17">
        <f>IF(A439="","",IF(COUNTIF(Movimientos!$B$2:$B$3001,A439)=0,"",_xlfn.MAXIFS(Movimientos!$A$2:$A$3001,Movimientos!$B$2:$B$3001,A439)))</f>
        <v/>
      </c>
      <c r="N439" s="18">
        <f>IF(A439="","",IF(AND(H439="Sí",I439="Sí",K439&lt;&gt;"Sí"),"Sí","No"))</f>
        <v/>
      </c>
      <c r="O439" s="18">
        <f>IF(S439="","",1+COUNTIFS($N$2:$N$501,"Sí",$S$2:$S$501,"&gt;"&amp;S439))</f>
        <v/>
      </c>
      <c r="P439" s="18">
        <f>IF(A439="","",INDEX(Logros!$A$2:$A$6,MATCH(N(L439),Logros!$C$2:$C$6,1)))</f>
        <v/>
      </c>
      <c r="Q439" s="19" t="n"/>
      <c r="R439" s="18">
        <f>IF(OR(A439="",P439=""),"",IF(P439&gt;N(Q439),"Sí: entregar nivel "&amp;(N(Q439)+1)&amp;IF(P439&gt;N(Q439)+1," al "&amp;P439,"")&amp;" (ver Logros)",""))</f>
        <v/>
      </c>
      <c r="S439" s="20">
        <f>IF(OR(A439="",N439&lt;&gt;"Sí",N(L439)&lt;=0),"",(N(L439)*100000-MAX(0,ROUND((N(M439)-DATE(2026,10,1))*1440,0)))*1000-ROW())</f>
        <v/>
      </c>
    </row>
    <row r="440">
      <c r="A440" s="19" t="n"/>
      <c r="B440" s="19" t="n"/>
      <c r="C440" s="19" t="n"/>
      <c r="D440" s="21" t="n"/>
      <c r="E440" s="19" t="n"/>
      <c r="F440" s="19" t="n"/>
      <c r="G440" s="22" t="n"/>
      <c r="H440" s="19" t="n"/>
      <c r="I440" s="19" t="n"/>
      <c r="J440" s="19" t="n"/>
      <c r="K440" s="19" t="n"/>
      <c r="L440" s="16">
        <f>IF(A440="","",SUMIF(Movimientos!$B$2:$B$3001,A440,Movimientos!$F$2:$F$3001))</f>
        <v/>
      </c>
      <c r="M440" s="17">
        <f>IF(A440="","",IF(COUNTIF(Movimientos!$B$2:$B$3001,A440)=0,"",_xlfn.MAXIFS(Movimientos!$A$2:$A$3001,Movimientos!$B$2:$B$3001,A440)))</f>
        <v/>
      </c>
      <c r="N440" s="18">
        <f>IF(A440="","",IF(AND(H440="Sí",I440="Sí",K440&lt;&gt;"Sí"),"Sí","No"))</f>
        <v/>
      </c>
      <c r="O440" s="18">
        <f>IF(S440="","",1+COUNTIFS($N$2:$N$501,"Sí",$S$2:$S$501,"&gt;"&amp;S440))</f>
        <v/>
      </c>
      <c r="P440" s="18">
        <f>IF(A440="","",INDEX(Logros!$A$2:$A$6,MATCH(N(L440),Logros!$C$2:$C$6,1)))</f>
        <v/>
      </c>
      <c r="Q440" s="19" t="n"/>
      <c r="R440" s="18">
        <f>IF(OR(A440="",P440=""),"",IF(P440&gt;N(Q440),"Sí: entregar nivel "&amp;(N(Q440)+1)&amp;IF(P440&gt;N(Q440)+1," al "&amp;P440,"")&amp;" (ver Logros)",""))</f>
        <v/>
      </c>
      <c r="S440" s="20">
        <f>IF(OR(A440="",N440&lt;&gt;"Sí",N(L440)&lt;=0),"",(N(L440)*100000-MAX(0,ROUND((N(M440)-DATE(2026,10,1))*1440,0)))*1000-ROW())</f>
        <v/>
      </c>
    </row>
    <row r="441">
      <c r="A441" s="19" t="n"/>
      <c r="B441" s="19" t="n"/>
      <c r="C441" s="19" t="n"/>
      <c r="D441" s="21" t="n"/>
      <c r="E441" s="19" t="n"/>
      <c r="F441" s="19" t="n"/>
      <c r="G441" s="22" t="n"/>
      <c r="H441" s="19" t="n"/>
      <c r="I441" s="19" t="n"/>
      <c r="J441" s="19" t="n"/>
      <c r="K441" s="19" t="n"/>
      <c r="L441" s="16">
        <f>IF(A441="","",SUMIF(Movimientos!$B$2:$B$3001,A441,Movimientos!$F$2:$F$3001))</f>
        <v/>
      </c>
      <c r="M441" s="17">
        <f>IF(A441="","",IF(COUNTIF(Movimientos!$B$2:$B$3001,A441)=0,"",_xlfn.MAXIFS(Movimientos!$A$2:$A$3001,Movimientos!$B$2:$B$3001,A441)))</f>
        <v/>
      </c>
      <c r="N441" s="18">
        <f>IF(A441="","",IF(AND(H441="Sí",I441="Sí",K441&lt;&gt;"Sí"),"Sí","No"))</f>
        <v/>
      </c>
      <c r="O441" s="18">
        <f>IF(S441="","",1+COUNTIFS($N$2:$N$501,"Sí",$S$2:$S$501,"&gt;"&amp;S441))</f>
        <v/>
      </c>
      <c r="P441" s="18">
        <f>IF(A441="","",INDEX(Logros!$A$2:$A$6,MATCH(N(L441),Logros!$C$2:$C$6,1)))</f>
        <v/>
      </c>
      <c r="Q441" s="19" t="n"/>
      <c r="R441" s="18">
        <f>IF(OR(A441="",P441=""),"",IF(P441&gt;N(Q441),"Sí: entregar nivel "&amp;(N(Q441)+1)&amp;IF(P441&gt;N(Q441)+1," al "&amp;P441,"")&amp;" (ver Logros)",""))</f>
        <v/>
      </c>
      <c r="S441" s="20">
        <f>IF(OR(A441="",N441&lt;&gt;"Sí",N(L441)&lt;=0),"",(N(L441)*100000-MAX(0,ROUND((N(M441)-DATE(2026,10,1))*1440,0)))*1000-ROW())</f>
        <v/>
      </c>
    </row>
    <row r="442">
      <c r="A442" s="19" t="n"/>
      <c r="B442" s="19" t="n"/>
      <c r="C442" s="19" t="n"/>
      <c r="D442" s="21" t="n"/>
      <c r="E442" s="19" t="n"/>
      <c r="F442" s="19" t="n"/>
      <c r="G442" s="22" t="n"/>
      <c r="H442" s="19" t="n"/>
      <c r="I442" s="19" t="n"/>
      <c r="J442" s="19" t="n"/>
      <c r="K442" s="19" t="n"/>
      <c r="L442" s="16">
        <f>IF(A442="","",SUMIF(Movimientos!$B$2:$B$3001,A442,Movimientos!$F$2:$F$3001))</f>
        <v/>
      </c>
      <c r="M442" s="17">
        <f>IF(A442="","",IF(COUNTIF(Movimientos!$B$2:$B$3001,A442)=0,"",_xlfn.MAXIFS(Movimientos!$A$2:$A$3001,Movimientos!$B$2:$B$3001,A442)))</f>
        <v/>
      </c>
      <c r="N442" s="18">
        <f>IF(A442="","",IF(AND(H442="Sí",I442="Sí",K442&lt;&gt;"Sí"),"Sí","No"))</f>
        <v/>
      </c>
      <c r="O442" s="18">
        <f>IF(S442="","",1+COUNTIFS($N$2:$N$501,"Sí",$S$2:$S$501,"&gt;"&amp;S442))</f>
        <v/>
      </c>
      <c r="P442" s="18">
        <f>IF(A442="","",INDEX(Logros!$A$2:$A$6,MATCH(N(L442),Logros!$C$2:$C$6,1)))</f>
        <v/>
      </c>
      <c r="Q442" s="19" t="n"/>
      <c r="R442" s="18">
        <f>IF(OR(A442="",P442=""),"",IF(P442&gt;N(Q442),"Sí: entregar nivel "&amp;(N(Q442)+1)&amp;IF(P442&gt;N(Q442)+1," al "&amp;P442,"")&amp;" (ver Logros)",""))</f>
        <v/>
      </c>
      <c r="S442" s="20">
        <f>IF(OR(A442="",N442&lt;&gt;"Sí",N(L442)&lt;=0),"",(N(L442)*100000-MAX(0,ROUND((N(M442)-DATE(2026,10,1))*1440,0)))*1000-ROW())</f>
        <v/>
      </c>
    </row>
    <row r="443">
      <c r="A443" s="19" t="n"/>
      <c r="B443" s="19" t="n"/>
      <c r="C443" s="19" t="n"/>
      <c r="D443" s="21" t="n"/>
      <c r="E443" s="19" t="n"/>
      <c r="F443" s="19" t="n"/>
      <c r="G443" s="22" t="n"/>
      <c r="H443" s="19" t="n"/>
      <c r="I443" s="19" t="n"/>
      <c r="J443" s="19" t="n"/>
      <c r="K443" s="19" t="n"/>
      <c r="L443" s="16">
        <f>IF(A443="","",SUMIF(Movimientos!$B$2:$B$3001,A443,Movimientos!$F$2:$F$3001))</f>
        <v/>
      </c>
      <c r="M443" s="17">
        <f>IF(A443="","",IF(COUNTIF(Movimientos!$B$2:$B$3001,A443)=0,"",_xlfn.MAXIFS(Movimientos!$A$2:$A$3001,Movimientos!$B$2:$B$3001,A443)))</f>
        <v/>
      </c>
      <c r="N443" s="18">
        <f>IF(A443="","",IF(AND(H443="Sí",I443="Sí",K443&lt;&gt;"Sí"),"Sí","No"))</f>
        <v/>
      </c>
      <c r="O443" s="18">
        <f>IF(S443="","",1+COUNTIFS($N$2:$N$501,"Sí",$S$2:$S$501,"&gt;"&amp;S443))</f>
        <v/>
      </c>
      <c r="P443" s="18">
        <f>IF(A443="","",INDEX(Logros!$A$2:$A$6,MATCH(N(L443),Logros!$C$2:$C$6,1)))</f>
        <v/>
      </c>
      <c r="Q443" s="19" t="n"/>
      <c r="R443" s="18">
        <f>IF(OR(A443="",P443=""),"",IF(P443&gt;N(Q443),"Sí: entregar nivel "&amp;(N(Q443)+1)&amp;IF(P443&gt;N(Q443)+1," al "&amp;P443,"")&amp;" (ver Logros)",""))</f>
        <v/>
      </c>
      <c r="S443" s="20">
        <f>IF(OR(A443="",N443&lt;&gt;"Sí",N(L443)&lt;=0),"",(N(L443)*100000-MAX(0,ROUND((N(M443)-DATE(2026,10,1))*1440,0)))*1000-ROW())</f>
        <v/>
      </c>
    </row>
    <row r="444">
      <c r="A444" s="19" t="n"/>
      <c r="B444" s="19" t="n"/>
      <c r="C444" s="19" t="n"/>
      <c r="D444" s="21" t="n"/>
      <c r="E444" s="19" t="n"/>
      <c r="F444" s="19" t="n"/>
      <c r="G444" s="22" t="n"/>
      <c r="H444" s="19" t="n"/>
      <c r="I444" s="19" t="n"/>
      <c r="J444" s="19" t="n"/>
      <c r="K444" s="19" t="n"/>
      <c r="L444" s="16">
        <f>IF(A444="","",SUMIF(Movimientos!$B$2:$B$3001,A444,Movimientos!$F$2:$F$3001))</f>
        <v/>
      </c>
      <c r="M444" s="17">
        <f>IF(A444="","",IF(COUNTIF(Movimientos!$B$2:$B$3001,A444)=0,"",_xlfn.MAXIFS(Movimientos!$A$2:$A$3001,Movimientos!$B$2:$B$3001,A444)))</f>
        <v/>
      </c>
      <c r="N444" s="18">
        <f>IF(A444="","",IF(AND(H444="Sí",I444="Sí",K444&lt;&gt;"Sí"),"Sí","No"))</f>
        <v/>
      </c>
      <c r="O444" s="18">
        <f>IF(S444="","",1+COUNTIFS($N$2:$N$501,"Sí",$S$2:$S$501,"&gt;"&amp;S444))</f>
        <v/>
      </c>
      <c r="P444" s="18">
        <f>IF(A444="","",INDEX(Logros!$A$2:$A$6,MATCH(N(L444),Logros!$C$2:$C$6,1)))</f>
        <v/>
      </c>
      <c r="Q444" s="19" t="n"/>
      <c r="R444" s="18">
        <f>IF(OR(A444="",P444=""),"",IF(P444&gt;N(Q444),"Sí: entregar nivel "&amp;(N(Q444)+1)&amp;IF(P444&gt;N(Q444)+1," al "&amp;P444,"")&amp;" (ver Logros)",""))</f>
        <v/>
      </c>
      <c r="S444" s="20">
        <f>IF(OR(A444="",N444&lt;&gt;"Sí",N(L444)&lt;=0),"",(N(L444)*100000-MAX(0,ROUND((N(M444)-DATE(2026,10,1))*1440,0)))*1000-ROW())</f>
        <v/>
      </c>
    </row>
    <row r="445">
      <c r="A445" s="19" t="n"/>
      <c r="B445" s="19" t="n"/>
      <c r="C445" s="19" t="n"/>
      <c r="D445" s="21" t="n"/>
      <c r="E445" s="19" t="n"/>
      <c r="F445" s="19" t="n"/>
      <c r="G445" s="22" t="n"/>
      <c r="H445" s="19" t="n"/>
      <c r="I445" s="19" t="n"/>
      <c r="J445" s="19" t="n"/>
      <c r="K445" s="19" t="n"/>
      <c r="L445" s="16">
        <f>IF(A445="","",SUMIF(Movimientos!$B$2:$B$3001,A445,Movimientos!$F$2:$F$3001))</f>
        <v/>
      </c>
      <c r="M445" s="17">
        <f>IF(A445="","",IF(COUNTIF(Movimientos!$B$2:$B$3001,A445)=0,"",_xlfn.MAXIFS(Movimientos!$A$2:$A$3001,Movimientos!$B$2:$B$3001,A445)))</f>
        <v/>
      </c>
      <c r="N445" s="18">
        <f>IF(A445="","",IF(AND(H445="Sí",I445="Sí",K445&lt;&gt;"Sí"),"Sí","No"))</f>
        <v/>
      </c>
      <c r="O445" s="18">
        <f>IF(S445="","",1+COUNTIFS($N$2:$N$501,"Sí",$S$2:$S$501,"&gt;"&amp;S445))</f>
        <v/>
      </c>
      <c r="P445" s="18">
        <f>IF(A445="","",INDEX(Logros!$A$2:$A$6,MATCH(N(L445),Logros!$C$2:$C$6,1)))</f>
        <v/>
      </c>
      <c r="Q445" s="19" t="n"/>
      <c r="R445" s="18">
        <f>IF(OR(A445="",P445=""),"",IF(P445&gt;N(Q445),"Sí: entregar nivel "&amp;(N(Q445)+1)&amp;IF(P445&gt;N(Q445)+1," al "&amp;P445,"")&amp;" (ver Logros)",""))</f>
        <v/>
      </c>
      <c r="S445" s="20">
        <f>IF(OR(A445="",N445&lt;&gt;"Sí",N(L445)&lt;=0),"",(N(L445)*100000-MAX(0,ROUND((N(M445)-DATE(2026,10,1))*1440,0)))*1000-ROW())</f>
        <v/>
      </c>
    </row>
    <row r="446">
      <c r="A446" s="19" t="n"/>
      <c r="B446" s="19" t="n"/>
      <c r="C446" s="19" t="n"/>
      <c r="D446" s="21" t="n"/>
      <c r="E446" s="19" t="n"/>
      <c r="F446" s="19" t="n"/>
      <c r="G446" s="22" t="n"/>
      <c r="H446" s="19" t="n"/>
      <c r="I446" s="19" t="n"/>
      <c r="J446" s="19" t="n"/>
      <c r="K446" s="19" t="n"/>
      <c r="L446" s="16">
        <f>IF(A446="","",SUMIF(Movimientos!$B$2:$B$3001,A446,Movimientos!$F$2:$F$3001))</f>
        <v/>
      </c>
      <c r="M446" s="17">
        <f>IF(A446="","",IF(COUNTIF(Movimientos!$B$2:$B$3001,A446)=0,"",_xlfn.MAXIFS(Movimientos!$A$2:$A$3001,Movimientos!$B$2:$B$3001,A446)))</f>
        <v/>
      </c>
      <c r="N446" s="18">
        <f>IF(A446="","",IF(AND(H446="Sí",I446="Sí",K446&lt;&gt;"Sí"),"Sí","No"))</f>
        <v/>
      </c>
      <c r="O446" s="18">
        <f>IF(S446="","",1+COUNTIFS($N$2:$N$501,"Sí",$S$2:$S$501,"&gt;"&amp;S446))</f>
        <v/>
      </c>
      <c r="P446" s="18">
        <f>IF(A446="","",INDEX(Logros!$A$2:$A$6,MATCH(N(L446),Logros!$C$2:$C$6,1)))</f>
        <v/>
      </c>
      <c r="Q446" s="19" t="n"/>
      <c r="R446" s="18">
        <f>IF(OR(A446="",P446=""),"",IF(P446&gt;N(Q446),"Sí: entregar nivel "&amp;(N(Q446)+1)&amp;IF(P446&gt;N(Q446)+1," al "&amp;P446,"")&amp;" (ver Logros)",""))</f>
        <v/>
      </c>
      <c r="S446" s="20">
        <f>IF(OR(A446="",N446&lt;&gt;"Sí",N(L446)&lt;=0),"",(N(L446)*100000-MAX(0,ROUND((N(M446)-DATE(2026,10,1))*1440,0)))*1000-ROW())</f>
        <v/>
      </c>
    </row>
    <row r="447">
      <c r="A447" s="19" t="n"/>
      <c r="B447" s="19" t="n"/>
      <c r="C447" s="19" t="n"/>
      <c r="D447" s="21" t="n"/>
      <c r="E447" s="19" t="n"/>
      <c r="F447" s="19" t="n"/>
      <c r="G447" s="22" t="n"/>
      <c r="H447" s="19" t="n"/>
      <c r="I447" s="19" t="n"/>
      <c r="J447" s="19" t="n"/>
      <c r="K447" s="19" t="n"/>
      <c r="L447" s="16">
        <f>IF(A447="","",SUMIF(Movimientos!$B$2:$B$3001,A447,Movimientos!$F$2:$F$3001))</f>
        <v/>
      </c>
      <c r="M447" s="17">
        <f>IF(A447="","",IF(COUNTIF(Movimientos!$B$2:$B$3001,A447)=0,"",_xlfn.MAXIFS(Movimientos!$A$2:$A$3001,Movimientos!$B$2:$B$3001,A447)))</f>
        <v/>
      </c>
      <c r="N447" s="18">
        <f>IF(A447="","",IF(AND(H447="Sí",I447="Sí",K447&lt;&gt;"Sí"),"Sí","No"))</f>
        <v/>
      </c>
      <c r="O447" s="18">
        <f>IF(S447="","",1+COUNTIFS($N$2:$N$501,"Sí",$S$2:$S$501,"&gt;"&amp;S447))</f>
        <v/>
      </c>
      <c r="P447" s="18">
        <f>IF(A447="","",INDEX(Logros!$A$2:$A$6,MATCH(N(L447),Logros!$C$2:$C$6,1)))</f>
        <v/>
      </c>
      <c r="Q447" s="19" t="n"/>
      <c r="R447" s="18">
        <f>IF(OR(A447="",P447=""),"",IF(P447&gt;N(Q447),"Sí: entregar nivel "&amp;(N(Q447)+1)&amp;IF(P447&gt;N(Q447)+1," al "&amp;P447,"")&amp;" (ver Logros)",""))</f>
        <v/>
      </c>
      <c r="S447" s="20">
        <f>IF(OR(A447="",N447&lt;&gt;"Sí",N(L447)&lt;=0),"",(N(L447)*100000-MAX(0,ROUND((N(M447)-DATE(2026,10,1))*1440,0)))*1000-ROW())</f>
        <v/>
      </c>
    </row>
    <row r="448">
      <c r="A448" s="19" t="n"/>
      <c r="B448" s="19" t="n"/>
      <c r="C448" s="19" t="n"/>
      <c r="D448" s="21" t="n"/>
      <c r="E448" s="19" t="n"/>
      <c r="F448" s="19" t="n"/>
      <c r="G448" s="22" t="n"/>
      <c r="H448" s="19" t="n"/>
      <c r="I448" s="19" t="n"/>
      <c r="J448" s="19" t="n"/>
      <c r="K448" s="19" t="n"/>
      <c r="L448" s="16">
        <f>IF(A448="","",SUMIF(Movimientos!$B$2:$B$3001,A448,Movimientos!$F$2:$F$3001))</f>
        <v/>
      </c>
      <c r="M448" s="17">
        <f>IF(A448="","",IF(COUNTIF(Movimientos!$B$2:$B$3001,A448)=0,"",_xlfn.MAXIFS(Movimientos!$A$2:$A$3001,Movimientos!$B$2:$B$3001,A448)))</f>
        <v/>
      </c>
      <c r="N448" s="18">
        <f>IF(A448="","",IF(AND(H448="Sí",I448="Sí",K448&lt;&gt;"Sí"),"Sí","No"))</f>
        <v/>
      </c>
      <c r="O448" s="18">
        <f>IF(S448="","",1+COUNTIFS($N$2:$N$501,"Sí",$S$2:$S$501,"&gt;"&amp;S448))</f>
        <v/>
      </c>
      <c r="P448" s="18">
        <f>IF(A448="","",INDEX(Logros!$A$2:$A$6,MATCH(N(L448),Logros!$C$2:$C$6,1)))</f>
        <v/>
      </c>
      <c r="Q448" s="19" t="n"/>
      <c r="R448" s="18">
        <f>IF(OR(A448="",P448=""),"",IF(P448&gt;N(Q448),"Sí: entregar nivel "&amp;(N(Q448)+1)&amp;IF(P448&gt;N(Q448)+1," al "&amp;P448,"")&amp;" (ver Logros)",""))</f>
        <v/>
      </c>
      <c r="S448" s="20">
        <f>IF(OR(A448="",N448&lt;&gt;"Sí",N(L448)&lt;=0),"",(N(L448)*100000-MAX(0,ROUND((N(M448)-DATE(2026,10,1))*1440,0)))*1000-ROW())</f>
        <v/>
      </c>
    </row>
    <row r="449">
      <c r="A449" s="19" t="n"/>
      <c r="B449" s="19" t="n"/>
      <c r="C449" s="19" t="n"/>
      <c r="D449" s="21" t="n"/>
      <c r="E449" s="19" t="n"/>
      <c r="F449" s="19" t="n"/>
      <c r="G449" s="22" t="n"/>
      <c r="H449" s="19" t="n"/>
      <c r="I449" s="19" t="n"/>
      <c r="J449" s="19" t="n"/>
      <c r="K449" s="19" t="n"/>
      <c r="L449" s="16">
        <f>IF(A449="","",SUMIF(Movimientos!$B$2:$B$3001,A449,Movimientos!$F$2:$F$3001))</f>
        <v/>
      </c>
      <c r="M449" s="17">
        <f>IF(A449="","",IF(COUNTIF(Movimientos!$B$2:$B$3001,A449)=0,"",_xlfn.MAXIFS(Movimientos!$A$2:$A$3001,Movimientos!$B$2:$B$3001,A449)))</f>
        <v/>
      </c>
      <c r="N449" s="18">
        <f>IF(A449="","",IF(AND(H449="Sí",I449="Sí",K449&lt;&gt;"Sí"),"Sí","No"))</f>
        <v/>
      </c>
      <c r="O449" s="18">
        <f>IF(S449="","",1+COUNTIFS($N$2:$N$501,"Sí",$S$2:$S$501,"&gt;"&amp;S449))</f>
        <v/>
      </c>
      <c r="P449" s="18">
        <f>IF(A449="","",INDEX(Logros!$A$2:$A$6,MATCH(N(L449),Logros!$C$2:$C$6,1)))</f>
        <v/>
      </c>
      <c r="Q449" s="19" t="n"/>
      <c r="R449" s="18">
        <f>IF(OR(A449="",P449=""),"",IF(P449&gt;N(Q449),"Sí: entregar nivel "&amp;(N(Q449)+1)&amp;IF(P449&gt;N(Q449)+1," al "&amp;P449,"")&amp;" (ver Logros)",""))</f>
        <v/>
      </c>
      <c r="S449" s="20">
        <f>IF(OR(A449="",N449&lt;&gt;"Sí",N(L449)&lt;=0),"",(N(L449)*100000-MAX(0,ROUND((N(M449)-DATE(2026,10,1))*1440,0)))*1000-ROW())</f>
        <v/>
      </c>
    </row>
    <row r="450">
      <c r="A450" s="19" t="n"/>
      <c r="B450" s="19" t="n"/>
      <c r="C450" s="19" t="n"/>
      <c r="D450" s="21" t="n"/>
      <c r="E450" s="19" t="n"/>
      <c r="F450" s="19" t="n"/>
      <c r="G450" s="22" t="n"/>
      <c r="H450" s="19" t="n"/>
      <c r="I450" s="19" t="n"/>
      <c r="J450" s="19" t="n"/>
      <c r="K450" s="19" t="n"/>
      <c r="L450" s="16">
        <f>IF(A450="","",SUMIF(Movimientos!$B$2:$B$3001,A450,Movimientos!$F$2:$F$3001))</f>
        <v/>
      </c>
      <c r="M450" s="17">
        <f>IF(A450="","",IF(COUNTIF(Movimientos!$B$2:$B$3001,A450)=0,"",_xlfn.MAXIFS(Movimientos!$A$2:$A$3001,Movimientos!$B$2:$B$3001,A450)))</f>
        <v/>
      </c>
      <c r="N450" s="18">
        <f>IF(A450="","",IF(AND(H450="Sí",I450="Sí",K450&lt;&gt;"Sí"),"Sí","No"))</f>
        <v/>
      </c>
      <c r="O450" s="18">
        <f>IF(S450="","",1+COUNTIFS($N$2:$N$501,"Sí",$S$2:$S$501,"&gt;"&amp;S450))</f>
        <v/>
      </c>
      <c r="P450" s="18">
        <f>IF(A450="","",INDEX(Logros!$A$2:$A$6,MATCH(N(L450),Logros!$C$2:$C$6,1)))</f>
        <v/>
      </c>
      <c r="Q450" s="19" t="n"/>
      <c r="R450" s="18">
        <f>IF(OR(A450="",P450=""),"",IF(P450&gt;N(Q450),"Sí: entregar nivel "&amp;(N(Q450)+1)&amp;IF(P450&gt;N(Q450)+1," al "&amp;P450,"")&amp;" (ver Logros)",""))</f>
        <v/>
      </c>
      <c r="S450" s="20">
        <f>IF(OR(A450="",N450&lt;&gt;"Sí",N(L450)&lt;=0),"",(N(L450)*100000-MAX(0,ROUND((N(M450)-DATE(2026,10,1))*1440,0)))*1000-ROW())</f>
        <v/>
      </c>
    </row>
    <row r="451">
      <c r="A451" s="19" t="n"/>
      <c r="B451" s="19" t="n"/>
      <c r="C451" s="19" t="n"/>
      <c r="D451" s="21" t="n"/>
      <c r="E451" s="19" t="n"/>
      <c r="F451" s="19" t="n"/>
      <c r="G451" s="22" t="n"/>
      <c r="H451" s="19" t="n"/>
      <c r="I451" s="19" t="n"/>
      <c r="J451" s="19" t="n"/>
      <c r="K451" s="19" t="n"/>
      <c r="L451" s="16">
        <f>IF(A451="","",SUMIF(Movimientos!$B$2:$B$3001,A451,Movimientos!$F$2:$F$3001))</f>
        <v/>
      </c>
      <c r="M451" s="17">
        <f>IF(A451="","",IF(COUNTIF(Movimientos!$B$2:$B$3001,A451)=0,"",_xlfn.MAXIFS(Movimientos!$A$2:$A$3001,Movimientos!$B$2:$B$3001,A451)))</f>
        <v/>
      </c>
      <c r="N451" s="18">
        <f>IF(A451="","",IF(AND(H451="Sí",I451="Sí",K451&lt;&gt;"Sí"),"Sí","No"))</f>
        <v/>
      </c>
      <c r="O451" s="18">
        <f>IF(S451="","",1+COUNTIFS($N$2:$N$501,"Sí",$S$2:$S$501,"&gt;"&amp;S451))</f>
        <v/>
      </c>
      <c r="P451" s="18">
        <f>IF(A451="","",INDEX(Logros!$A$2:$A$6,MATCH(N(L451),Logros!$C$2:$C$6,1)))</f>
        <v/>
      </c>
      <c r="Q451" s="19" t="n"/>
      <c r="R451" s="18">
        <f>IF(OR(A451="",P451=""),"",IF(P451&gt;N(Q451),"Sí: entregar nivel "&amp;(N(Q451)+1)&amp;IF(P451&gt;N(Q451)+1," al "&amp;P451,"")&amp;" (ver Logros)",""))</f>
        <v/>
      </c>
      <c r="S451" s="20">
        <f>IF(OR(A451="",N451&lt;&gt;"Sí",N(L451)&lt;=0),"",(N(L451)*100000-MAX(0,ROUND((N(M451)-DATE(2026,10,1))*1440,0)))*1000-ROW())</f>
        <v/>
      </c>
    </row>
    <row r="452">
      <c r="A452" s="19" t="n"/>
      <c r="B452" s="19" t="n"/>
      <c r="C452" s="19" t="n"/>
      <c r="D452" s="21" t="n"/>
      <c r="E452" s="19" t="n"/>
      <c r="F452" s="19" t="n"/>
      <c r="G452" s="22" t="n"/>
      <c r="H452" s="19" t="n"/>
      <c r="I452" s="19" t="n"/>
      <c r="J452" s="19" t="n"/>
      <c r="K452" s="19" t="n"/>
      <c r="L452" s="16">
        <f>IF(A452="","",SUMIF(Movimientos!$B$2:$B$3001,A452,Movimientos!$F$2:$F$3001))</f>
        <v/>
      </c>
      <c r="M452" s="17">
        <f>IF(A452="","",IF(COUNTIF(Movimientos!$B$2:$B$3001,A452)=0,"",_xlfn.MAXIFS(Movimientos!$A$2:$A$3001,Movimientos!$B$2:$B$3001,A452)))</f>
        <v/>
      </c>
      <c r="N452" s="18">
        <f>IF(A452="","",IF(AND(H452="Sí",I452="Sí",K452&lt;&gt;"Sí"),"Sí","No"))</f>
        <v/>
      </c>
      <c r="O452" s="18">
        <f>IF(S452="","",1+COUNTIFS($N$2:$N$501,"Sí",$S$2:$S$501,"&gt;"&amp;S452))</f>
        <v/>
      </c>
      <c r="P452" s="18">
        <f>IF(A452="","",INDEX(Logros!$A$2:$A$6,MATCH(N(L452),Logros!$C$2:$C$6,1)))</f>
        <v/>
      </c>
      <c r="Q452" s="19" t="n"/>
      <c r="R452" s="18">
        <f>IF(OR(A452="",P452=""),"",IF(P452&gt;N(Q452),"Sí: entregar nivel "&amp;(N(Q452)+1)&amp;IF(P452&gt;N(Q452)+1," al "&amp;P452,"")&amp;" (ver Logros)",""))</f>
        <v/>
      </c>
      <c r="S452" s="20">
        <f>IF(OR(A452="",N452&lt;&gt;"Sí",N(L452)&lt;=0),"",(N(L452)*100000-MAX(0,ROUND((N(M452)-DATE(2026,10,1))*1440,0)))*1000-ROW())</f>
        <v/>
      </c>
    </row>
    <row r="453">
      <c r="A453" s="19" t="n"/>
      <c r="B453" s="19" t="n"/>
      <c r="C453" s="19" t="n"/>
      <c r="D453" s="21" t="n"/>
      <c r="E453" s="19" t="n"/>
      <c r="F453" s="19" t="n"/>
      <c r="G453" s="22" t="n"/>
      <c r="H453" s="19" t="n"/>
      <c r="I453" s="19" t="n"/>
      <c r="J453" s="19" t="n"/>
      <c r="K453" s="19" t="n"/>
      <c r="L453" s="16">
        <f>IF(A453="","",SUMIF(Movimientos!$B$2:$B$3001,A453,Movimientos!$F$2:$F$3001))</f>
        <v/>
      </c>
      <c r="M453" s="17">
        <f>IF(A453="","",IF(COUNTIF(Movimientos!$B$2:$B$3001,A453)=0,"",_xlfn.MAXIFS(Movimientos!$A$2:$A$3001,Movimientos!$B$2:$B$3001,A453)))</f>
        <v/>
      </c>
      <c r="N453" s="18">
        <f>IF(A453="","",IF(AND(H453="Sí",I453="Sí",K453&lt;&gt;"Sí"),"Sí","No"))</f>
        <v/>
      </c>
      <c r="O453" s="18">
        <f>IF(S453="","",1+COUNTIFS($N$2:$N$501,"Sí",$S$2:$S$501,"&gt;"&amp;S453))</f>
        <v/>
      </c>
      <c r="P453" s="18">
        <f>IF(A453="","",INDEX(Logros!$A$2:$A$6,MATCH(N(L453),Logros!$C$2:$C$6,1)))</f>
        <v/>
      </c>
      <c r="Q453" s="19" t="n"/>
      <c r="R453" s="18">
        <f>IF(OR(A453="",P453=""),"",IF(P453&gt;N(Q453),"Sí: entregar nivel "&amp;(N(Q453)+1)&amp;IF(P453&gt;N(Q453)+1," al "&amp;P453,"")&amp;" (ver Logros)",""))</f>
        <v/>
      </c>
      <c r="S453" s="20">
        <f>IF(OR(A453="",N453&lt;&gt;"Sí",N(L453)&lt;=0),"",(N(L453)*100000-MAX(0,ROUND((N(M453)-DATE(2026,10,1))*1440,0)))*1000-ROW())</f>
        <v/>
      </c>
    </row>
    <row r="454">
      <c r="A454" s="19" t="n"/>
      <c r="B454" s="19" t="n"/>
      <c r="C454" s="19" t="n"/>
      <c r="D454" s="21" t="n"/>
      <c r="E454" s="19" t="n"/>
      <c r="F454" s="19" t="n"/>
      <c r="G454" s="22" t="n"/>
      <c r="H454" s="19" t="n"/>
      <c r="I454" s="19" t="n"/>
      <c r="J454" s="19" t="n"/>
      <c r="K454" s="19" t="n"/>
      <c r="L454" s="16">
        <f>IF(A454="","",SUMIF(Movimientos!$B$2:$B$3001,A454,Movimientos!$F$2:$F$3001))</f>
        <v/>
      </c>
      <c r="M454" s="17">
        <f>IF(A454="","",IF(COUNTIF(Movimientos!$B$2:$B$3001,A454)=0,"",_xlfn.MAXIFS(Movimientos!$A$2:$A$3001,Movimientos!$B$2:$B$3001,A454)))</f>
        <v/>
      </c>
      <c r="N454" s="18">
        <f>IF(A454="","",IF(AND(H454="Sí",I454="Sí",K454&lt;&gt;"Sí"),"Sí","No"))</f>
        <v/>
      </c>
      <c r="O454" s="18">
        <f>IF(S454="","",1+COUNTIFS($N$2:$N$501,"Sí",$S$2:$S$501,"&gt;"&amp;S454))</f>
        <v/>
      </c>
      <c r="P454" s="18">
        <f>IF(A454="","",INDEX(Logros!$A$2:$A$6,MATCH(N(L454),Logros!$C$2:$C$6,1)))</f>
        <v/>
      </c>
      <c r="Q454" s="19" t="n"/>
      <c r="R454" s="18">
        <f>IF(OR(A454="",P454=""),"",IF(P454&gt;N(Q454),"Sí: entregar nivel "&amp;(N(Q454)+1)&amp;IF(P454&gt;N(Q454)+1," al "&amp;P454,"")&amp;" (ver Logros)",""))</f>
        <v/>
      </c>
      <c r="S454" s="20">
        <f>IF(OR(A454="",N454&lt;&gt;"Sí",N(L454)&lt;=0),"",(N(L454)*100000-MAX(0,ROUND((N(M454)-DATE(2026,10,1))*1440,0)))*1000-ROW())</f>
        <v/>
      </c>
    </row>
    <row r="455">
      <c r="A455" s="19" t="n"/>
      <c r="B455" s="19" t="n"/>
      <c r="C455" s="19" t="n"/>
      <c r="D455" s="21" t="n"/>
      <c r="E455" s="19" t="n"/>
      <c r="F455" s="19" t="n"/>
      <c r="G455" s="22" t="n"/>
      <c r="H455" s="19" t="n"/>
      <c r="I455" s="19" t="n"/>
      <c r="J455" s="19" t="n"/>
      <c r="K455" s="19" t="n"/>
      <c r="L455" s="16">
        <f>IF(A455="","",SUMIF(Movimientos!$B$2:$B$3001,A455,Movimientos!$F$2:$F$3001))</f>
        <v/>
      </c>
      <c r="M455" s="17">
        <f>IF(A455="","",IF(COUNTIF(Movimientos!$B$2:$B$3001,A455)=0,"",_xlfn.MAXIFS(Movimientos!$A$2:$A$3001,Movimientos!$B$2:$B$3001,A455)))</f>
        <v/>
      </c>
      <c r="N455" s="18">
        <f>IF(A455="","",IF(AND(H455="Sí",I455="Sí",K455&lt;&gt;"Sí"),"Sí","No"))</f>
        <v/>
      </c>
      <c r="O455" s="18">
        <f>IF(S455="","",1+COUNTIFS($N$2:$N$501,"Sí",$S$2:$S$501,"&gt;"&amp;S455))</f>
        <v/>
      </c>
      <c r="P455" s="18">
        <f>IF(A455="","",INDEX(Logros!$A$2:$A$6,MATCH(N(L455),Logros!$C$2:$C$6,1)))</f>
        <v/>
      </c>
      <c r="Q455" s="19" t="n"/>
      <c r="R455" s="18">
        <f>IF(OR(A455="",P455=""),"",IF(P455&gt;N(Q455),"Sí: entregar nivel "&amp;(N(Q455)+1)&amp;IF(P455&gt;N(Q455)+1," al "&amp;P455,"")&amp;" (ver Logros)",""))</f>
        <v/>
      </c>
      <c r="S455" s="20">
        <f>IF(OR(A455="",N455&lt;&gt;"Sí",N(L455)&lt;=0),"",(N(L455)*100000-MAX(0,ROUND((N(M455)-DATE(2026,10,1))*1440,0)))*1000-ROW())</f>
        <v/>
      </c>
    </row>
    <row r="456">
      <c r="A456" s="19" t="n"/>
      <c r="B456" s="19" t="n"/>
      <c r="C456" s="19" t="n"/>
      <c r="D456" s="21" t="n"/>
      <c r="E456" s="19" t="n"/>
      <c r="F456" s="19" t="n"/>
      <c r="G456" s="22" t="n"/>
      <c r="H456" s="19" t="n"/>
      <c r="I456" s="19" t="n"/>
      <c r="J456" s="19" t="n"/>
      <c r="K456" s="19" t="n"/>
      <c r="L456" s="16">
        <f>IF(A456="","",SUMIF(Movimientos!$B$2:$B$3001,A456,Movimientos!$F$2:$F$3001))</f>
        <v/>
      </c>
      <c r="M456" s="17">
        <f>IF(A456="","",IF(COUNTIF(Movimientos!$B$2:$B$3001,A456)=0,"",_xlfn.MAXIFS(Movimientos!$A$2:$A$3001,Movimientos!$B$2:$B$3001,A456)))</f>
        <v/>
      </c>
      <c r="N456" s="18">
        <f>IF(A456="","",IF(AND(H456="Sí",I456="Sí",K456&lt;&gt;"Sí"),"Sí","No"))</f>
        <v/>
      </c>
      <c r="O456" s="18">
        <f>IF(S456="","",1+COUNTIFS($N$2:$N$501,"Sí",$S$2:$S$501,"&gt;"&amp;S456))</f>
        <v/>
      </c>
      <c r="P456" s="18">
        <f>IF(A456="","",INDEX(Logros!$A$2:$A$6,MATCH(N(L456),Logros!$C$2:$C$6,1)))</f>
        <v/>
      </c>
      <c r="Q456" s="19" t="n"/>
      <c r="R456" s="18">
        <f>IF(OR(A456="",P456=""),"",IF(P456&gt;N(Q456),"Sí: entregar nivel "&amp;(N(Q456)+1)&amp;IF(P456&gt;N(Q456)+1," al "&amp;P456,"")&amp;" (ver Logros)",""))</f>
        <v/>
      </c>
      <c r="S456" s="20">
        <f>IF(OR(A456="",N456&lt;&gt;"Sí",N(L456)&lt;=0),"",(N(L456)*100000-MAX(0,ROUND((N(M456)-DATE(2026,10,1))*1440,0)))*1000-ROW())</f>
        <v/>
      </c>
    </row>
    <row r="457">
      <c r="A457" s="19" t="n"/>
      <c r="B457" s="19" t="n"/>
      <c r="C457" s="19" t="n"/>
      <c r="D457" s="21" t="n"/>
      <c r="E457" s="19" t="n"/>
      <c r="F457" s="19" t="n"/>
      <c r="G457" s="22" t="n"/>
      <c r="H457" s="19" t="n"/>
      <c r="I457" s="19" t="n"/>
      <c r="J457" s="19" t="n"/>
      <c r="K457" s="19" t="n"/>
      <c r="L457" s="16">
        <f>IF(A457="","",SUMIF(Movimientos!$B$2:$B$3001,A457,Movimientos!$F$2:$F$3001))</f>
        <v/>
      </c>
      <c r="M457" s="17">
        <f>IF(A457="","",IF(COUNTIF(Movimientos!$B$2:$B$3001,A457)=0,"",_xlfn.MAXIFS(Movimientos!$A$2:$A$3001,Movimientos!$B$2:$B$3001,A457)))</f>
        <v/>
      </c>
      <c r="N457" s="18">
        <f>IF(A457="","",IF(AND(H457="Sí",I457="Sí",K457&lt;&gt;"Sí"),"Sí","No"))</f>
        <v/>
      </c>
      <c r="O457" s="18">
        <f>IF(S457="","",1+COUNTIFS($N$2:$N$501,"Sí",$S$2:$S$501,"&gt;"&amp;S457))</f>
        <v/>
      </c>
      <c r="P457" s="18">
        <f>IF(A457="","",INDEX(Logros!$A$2:$A$6,MATCH(N(L457),Logros!$C$2:$C$6,1)))</f>
        <v/>
      </c>
      <c r="Q457" s="19" t="n"/>
      <c r="R457" s="18">
        <f>IF(OR(A457="",P457=""),"",IF(P457&gt;N(Q457),"Sí: entregar nivel "&amp;(N(Q457)+1)&amp;IF(P457&gt;N(Q457)+1," al "&amp;P457,"")&amp;" (ver Logros)",""))</f>
        <v/>
      </c>
      <c r="S457" s="20">
        <f>IF(OR(A457="",N457&lt;&gt;"Sí",N(L457)&lt;=0),"",(N(L457)*100000-MAX(0,ROUND((N(M457)-DATE(2026,10,1))*1440,0)))*1000-ROW())</f>
        <v/>
      </c>
    </row>
    <row r="458">
      <c r="A458" s="19" t="n"/>
      <c r="B458" s="19" t="n"/>
      <c r="C458" s="19" t="n"/>
      <c r="D458" s="21" t="n"/>
      <c r="E458" s="19" t="n"/>
      <c r="F458" s="19" t="n"/>
      <c r="G458" s="22" t="n"/>
      <c r="H458" s="19" t="n"/>
      <c r="I458" s="19" t="n"/>
      <c r="J458" s="19" t="n"/>
      <c r="K458" s="19" t="n"/>
      <c r="L458" s="16">
        <f>IF(A458="","",SUMIF(Movimientos!$B$2:$B$3001,A458,Movimientos!$F$2:$F$3001))</f>
        <v/>
      </c>
      <c r="M458" s="17">
        <f>IF(A458="","",IF(COUNTIF(Movimientos!$B$2:$B$3001,A458)=0,"",_xlfn.MAXIFS(Movimientos!$A$2:$A$3001,Movimientos!$B$2:$B$3001,A458)))</f>
        <v/>
      </c>
      <c r="N458" s="18">
        <f>IF(A458="","",IF(AND(H458="Sí",I458="Sí",K458&lt;&gt;"Sí"),"Sí","No"))</f>
        <v/>
      </c>
      <c r="O458" s="18">
        <f>IF(S458="","",1+COUNTIFS($N$2:$N$501,"Sí",$S$2:$S$501,"&gt;"&amp;S458))</f>
        <v/>
      </c>
      <c r="P458" s="18">
        <f>IF(A458="","",INDEX(Logros!$A$2:$A$6,MATCH(N(L458),Logros!$C$2:$C$6,1)))</f>
        <v/>
      </c>
      <c r="Q458" s="19" t="n"/>
      <c r="R458" s="18">
        <f>IF(OR(A458="",P458=""),"",IF(P458&gt;N(Q458),"Sí: entregar nivel "&amp;(N(Q458)+1)&amp;IF(P458&gt;N(Q458)+1," al "&amp;P458,"")&amp;" (ver Logros)",""))</f>
        <v/>
      </c>
      <c r="S458" s="20">
        <f>IF(OR(A458="",N458&lt;&gt;"Sí",N(L458)&lt;=0),"",(N(L458)*100000-MAX(0,ROUND((N(M458)-DATE(2026,10,1))*1440,0)))*1000-ROW())</f>
        <v/>
      </c>
    </row>
    <row r="459">
      <c r="A459" s="19" t="n"/>
      <c r="B459" s="19" t="n"/>
      <c r="C459" s="19" t="n"/>
      <c r="D459" s="21" t="n"/>
      <c r="E459" s="19" t="n"/>
      <c r="F459" s="19" t="n"/>
      <c r="G459" s="22" t="n"/>
      <c r="H459" s="19" t="n"/>
      <c r="I459" s="19" t="n"/>
      <c r="J459" s="19" t="n"/>
      <c r="K459" s="19" t="n"/>
      <c r="L459" s="16">
        <f>IF(A459="","",SUMIF(Movimientos!$B$2:$B$3001,A459,Movimientos!$F$2:$F$3001))</f>
        <v/>
      </c>
      <c r="M459" s="17">
        <f>IF(A459="","",IF(COUNTIF(Movimientos!$B$2:$B$3001,A459)=0,"",_xlfn.MAXIFS(Movimientos!$A$2:$A$3001,Movimientos!$B$2:$B$3001,A459)))</f>
        <v/>
      </c>
      <c r="N459" s="18">
        <f>IF(A459="","",IF(AND(H459="Sí",I459="Sí",K459&lt;&gt;"Sí"),"Sí","No"))</f>
        <v/>
      </c>
      <c r="O459" s="18">
        <f>IF(S459="","",1+COUNTIFS($N$2:$N$501,"Sí",$S$2:$S$501,"&gt;"&amp;S459))</f>
        <v/>
      </c>
      <c r="P459" s="18">
        <f>IF(A459="","",INDEX(Logros!$A$2:$A$6,MATCH(N(L459),Logros!$C$2:$C$6,1)))</f>
        <v/>
      </c>
      <c r="Q459" s="19" t="n"/>
      <c r="R459" s="18">
        <f>IF(OR(A459="",P459=""),"",IF(P459&gt;N(Q459),"Sí: entregar nivel "&amp;(N(Q459)+1)&amp;IF(P459&gt;N(Q459)+1," al "&amp;P459,"")&amp;" (ver Logros)",""))</f>
        <v/>
      </c>
      <c r="S459" s="20">
        <f>IF(OR(A459="",N459&lt;&gt;"Sí",N(L459)&lt;=0),"",(N(L459)*100000-MAX(0,ROUND((N(M459)-DATE(2026,10,1))*1440,0)))*1000-ROW())</f>
        <v/>
      </c>
    </row>
    <row r="460">
      <c r="A460" s="19" t="n"/>
      <c r="B460" s="19" t="n"/>
      <c r="C460" s="19" t="n"/>
      <c r="D460" s="21" t="n"/>
      <c r="E460" s="19" t="n"/>
      <c r="F460" s="19" t="n"/>
      <c r="G460" s="22" t="n"/>
      <c r="H460" s="19" t="n"/>
      <c r="I460" s="19" t="n"/>
      <c r="J460" s="19" t="n"/>
      <c r="K460" s="19" t="n"/>
      <c r="L460" s="16">
        <f>IF(A460="","",SUMIF(Movimientos!$B$2:$B$3001,A460,Movimientos!$F$2:$F$3001))</f>
        <v/>
      </c>
      <c r="M460" s="17">
        <f>IF(A460="","",IF(COUNTIF(Movimientos!$B$2:$B$3001,A460)=0,"",_xlfn.MAXIFS(Movimientos!$A$2:$A$3001,Movimientos!$B$2:$B$3001,A460)))</f>
        <v/>
      </c>
      <c r="N460" s="18">
        <f>IF(A460="","",IF(AND(H460="Sí",I460="Sí",K460&lt;&gt;"Sí"),"Sí","No"))</f>
        <v/>
      </c>
      <c r="O460" s="18">
        <f>IF(S460="","",1+COUNTIFS($N$2:$N$501,"Sí",$S$2:$S$501,"&gt;"&amp;S460))</f>
        <v/>
      </c>
      <c r="P460" s="18">
        <f>IF(A460="","",INDEX(Logros!$A$2:$A$6,MATCH(N(L460),Logros!$C$2:$C$6,1)))</f>
        <v/>
      </c>
      <c r="Q460" s="19" t="n"/>
      <c r="R460" s="18">
        <f>IF(OR(A460="",P460=""),"",IF(P460&gt;N(Q460),"Sí: entregar nivel "&amp;(N(Q460)+1)&amp;IF(P460&gt;N(Q460)+1," al "&amp;P460,"")&amp;" (ver Logros)",""))</f>
        <v/>
      </c>
      <c r="S460" s="20">
        <f>IF(OR(A460="",N460&lt;&gt;"Sí",N(L460)&lt;=0),"",(N(L460)*100000-MAX(0,ROUND((N(M460)-DATE(2026,10,1))*1440,0)))*1000-ROW())</f>
        <v/>
      </c>
    </row>
    <row r="461">
      <c r="A461" s="19" t="n"/>
      <c r="B461" s="19" t="n"/>
      <c r="C461" s="19" t="n"/>
      <c r="D461" s="21" t="n"/>
      <c r="E461" s="19" t="n"/>
      <c r="F461" s="19" t="n"/>
      <c r="G461" s="22" t="n"/>
      <c r="H461" s="19" t="n"/>
      <c r="I461" s="19" t="n"/>
      <c r="J461" s="19" t="n"/>
      <c r="K461" s="19" t="n"/>
      <c r="L461" s="16">
        <f>IF(A461="","",SUMIF(Movimientos!$B$2:$B$3001,A461,Movimientos!$F$2:$F$3001))</f>
        <v/>
      </c>
      <c r="M461" s="17">
        <f>IF(A461="","",IF(COUNTIF(Movimientos!$B$2:$B$3001,A461)=0,"",_xlfn.MAXIFS(Movimientos!$A$2:$A$3001,Movimientos!$B$2:$B$3001,A461)))</f>
        <v/>
      </c>
      <c r="N461" s="18">
        <f>IF(A461="","",IF(AND(H461="Sí",I461="Sí",K461&lt;&gt;"Sí"),"Sí","No"))</f>
        <v/>
      </c>
      <c r="O461" s="18">
        <f>IF(S461="","",1+COUNTIFS($N$2:$N$501,"Sí",$S$2:$S$501,"&gt;"&amp;S461))</f>
        <v/>
      </c>
      <c r="P461" s="18">
        <f>IF(A461="","",INDEX(Logros!$A$2:$A$6,MATCH(N(L461),Logros!$C$2:$C$6,1)))</f>
        <v/>
      </c>
      <c r="Q461" s="19" t="n"/>
      <c r="R461" s="18">
        <f>IF(OR(A461="",P461=""),"",IF(P461&gt;N(Q461),"Sí: entregar nivel "&amp;(N(Q461)+1)&amp;IF(P461&gt;N(Q461)+1," al "&amp;P461,"")&amp;" (ver Logros)",""))</f>
        <v/>
      </c>
      <c r="S461" s="20">
        <f>IF(OR(A461="",N461&lt;&gt;"Sí",N(L461)&lt;=0),"",(N(L461)*100000-MAX(0,ROUND((N(M461)-DATE(2026,10,1))*1440,0)))*1000-ROW())</f>
        <v/>
      </c>
    </row>
    <row r="462">
      <c r="A462" s="19" t="n"/>
      <c r="B462" s="19" t="n"/>
      <c r="C462" s="19" t="n"/>
      <c r="D462" s="21" t="n"/>
      <c r="E462" s="19" t="n"/>
      <c r="F462" s="19" t="n"/>
      <c r="G462" s="22" t="n"/>
      <c r="H462" s="19" t="n"/>
      <c r="I462" s="19" t="n"/>
      <c r="J462" s="19" t="n"/>
      <c r="K462" s="19" t="n"/>
      <c r="L462" s="16">
        <f>IF(A462="","",SUMIF(Movimientos!$B$2:$B$3001,A462,Movimientos!$F$2:$F$3001))</f>
        <v/>
      </c>
      <c r="M462" s="17">
        <f>IF(A462="","",IF(COUNTIF(Movimientos!$B$2:$B$3001,A462)=0,"",_xlfn.MAXIFS(Movimientos!$A$2:$A$3001,Movimientos!$B$2:$B$3001,A462)))</f>
        <v/>
      </c>
      <c r="N462" s="18">
        <f>IF(A462="","",IF(AND(H462="Sí",I462="Sí",K462&lt;&gt;"Sí"),"Sí","No"))</f>
        <v/>
      </c>
      <c r="O462" s="18">
        <f>IF(S462="","",1+COUNTIFS($N$2:$N$501,"Sí",$S$2:$S$501,"&gt;"&amp;S462))</f>
        <v/>
      </c>
      <c r="P462" s="18">
        <f>IF(A462="","",INDEX(Logros!$A$2:$A$6,MATCH(N(L462),Logros!$C$2:$C$6,1)))</f>
        <v/>
      </c>
      <c r="Q462" s="19" t="n"/>
      <c r="R462" s="18">
        <f>IF(OR(A462="",P462=""),"",IF(P462&gt;N(Q462),"Sí: entregar nivel "&amp;(N(Q462)+1)&amp;IF(P462&gt;N(Q462)+1," al "&amp;P462,"")&amp;" (ver Logros)",""))</f>
        <v/>
      </c>
      <c r="S462" s="20">
        <f>IF(OR(A462="",N462&lt;&gt;"Sí",N(L462)&lt;=0),"",(N(L462)*100000-MAX(0,ROUND((N(M462)-DATE(2026,10,1))*1440,0)))*1000-ROW())</f>
        <v/>
      </c>
    </row>
    <row r="463">
      <c r="A463" s="19" t="n"/>
      <c r="B463" s="19" t="n"/>
      <c r="C463" s="19" t="n"/>
      <c r="D463" s="21" t="n"/>
      <c r="E463" s="19" t="n"/>
      <c r="F463" s="19" t="n"/>
      <c r="G463" s="22" t="n"/>
      <c r="H463" s="19" t="n"/>
      <c r="I463" s="19" t="n"/>
      <c r="J463" s="19" t="n"/>
      <c r="K463" s="19" t="n"/>
      <c r="L463" s="16">
        <f>IF(A463="","",SUMIF(Movimientos!$B$2:$B$3001,A463,Movimientos!$F$2:$F$3001))</f>
        <v/>
      </c>
      <c r="M463" s="17">
        <f>IF(A463="","",IF(COUNTIF(Movimientos!$B$2:$B$3001,A463)=0,"",_xlfn.MAXIFS(Movimientos!$A$2:$A$3001,Movimientos!$B$2:$B$3001,A463)))</f>
        <v/>
      </c>
      <c r="N463" s="18">
        <f>IF(A463="","",IF(AND(H463="Sí",I463="Sí",K463&lt;&gt;"Sí"),"Sí","No"))</f>
        <v/>
      </c>
      <c r="O463" s="18">
        <f>IF(S463="","",1+COUNTIFS($N$2:$N$501,"Sí",$S$2:$S$501,"&gt;"&amp;S463))</f>
        <v/>
      </c>
      <c r="P463" s="18">
        <f>IF(A463="","",INDEX(Logros!$A$2:$A$6,MATCH(N(L463),Logros!$C$2:$C$6,1)))</f>
        <v/>
      </c>
      <c r="Q463" s="19" t="n"/>
      <c r="R463" s="18">
        <f>IF(OR(A463="",P463=""),"",IF(P463&gt;N(Q463),"Sí: entregar nivel "&amp;(N(Q463)+1)&amp;IF(P463&gt;N(Q463)+1," al "&amp;P463,"")&amp;" (ver Logros)",""))</f>
        <v/>
      </c>
      <c r="S463" s="20">
        <f>IF(OR(A463="",N463&lt;&gt;"Sí",N(L463)&lt;=0),"",(N(L463)*100000-MAX(0,ROUND((N(M463)-DATE(2026,10,1))*1440,0)))*1000-ROW())</f>
        <v/>
      </c>
    </row>
    <row r="464">
      <c r="A464" s="19" t="n"/>
      <c r="B464" s="19" t="n"/>
      <c r="C464" s="19" t="n"/>
      <c r="D464" s="21" t="n"/>
      <c r="E464" s="19" t="n"/>
      <c r="F464" s="19" t="n"/>
      <c r="G464" s="22" t="n"/>
      <c r="H464" s="19" t="n"/>
      <c r="I464" s="19" t="n"/>
      <c r="J464" s="19" t="n"/>
      <c r="K464" s="19" t="n"/>
      <c r="L464" s="16">
        <f>IF(A464="","",SUMIF(Movimientos!$B$2:$B$3001,A464,Movimientos!$F$2:$F$3001))</f>
        <v/>
      </c>
      <c r="M464" s="17">
        <f>IF(A464="","",IF(COUNTIF(Movimientos!$B$2:$B$3001,A464)=0,"",_xlfn.MAXIFS(Movimientos!$A$2:$A$3001,Movimientos!$B$2:$B$3001,A464)))</f>
        <v/>
      </c>
      <c r="N464" s="18">
        <f>IF(A464="","",IF(AND(H464="Sí",I464="Sí",K464&lt;&gt;"Sí"),"Sí","No"))</f>
        <v/>
      </c>
      <c r="O464" s="18">
        <f>IF(S464="","",1+COUNTIFS($N$2:$N$501,"Sí",$S$2:$S$501,"&gt;"&amp;S464))</f>
        <v/>
      </c>
      <c r="P464" s="18">
        <f>IF(A464="","",INDEX(Logros!$A$2:$A$6,MATCH(N(L464),Logros!$C$2:$C$6,1)))</f>
        <v/>
      </c>
      <c r="Q464" s="19" t="n"/>
      <c r="R464" s="18">
        <f>IF(OR(A464="",P464=""),"",IF(P464&gt;N(Q464),"Sí: entregar nivel "&amp;(N(Q464)+1)&amp;IF(P464&gt;N(Q464)+1," al "&amp;P464,"")&amp;" (ver Logros)",""))</f>
        <v/>
      </c>
      <c r="S464" s="20">
        <f>IF(OR(A464="",N464&lt;&gt;"Sí",N(L464)&lt;=0),"",(N(L464)*100000-MAX(0,ROUND((N(M464)-DATE(2026,10,1))*1440,0)))*1000-ROW())</f>
        <v/>
      </c>
    </row>
    <row r="465">
      <c r="A465" s="19" t="n"/>
      <c r="B465" s="19" t="n"/>
      <c r="C465" s="19" t="n"/>
      <c r="D465" s="21" t="n"/>
      <c r="E465" s="19" t="n"/>
      <c r="F465" s="19" t="n"/>
      <c r="G465" s="22" t="n"/>
      <c r="H465" s="19" t="n"/>
      <c r="I465" s="19" t="n"/>
      <c r="J465" s="19" t="n"/>
      <c r="K465" s="19" t="n"/>
      <c r="L465" s="16">
        <f>IF(A465="","",SUMIF(Movimientos!$B$2:$B$3001,A465,Movimientos!$F$2:$F$3001))</f>
        <v/>
      </c>
      <c r="M465" s="17">
        <f>IF(A465="","",IF(COUNTIF(Movimientos!$B$2:$B$3001,A465)=0,"",_xlfn.MAXIFS(Movimientos!$A$2:$A$3001,Movimientos!$B$2:$B$3001,A465)))</f>
        <v/>
      </c>
      <c r="N465" s="18">
        <f>IF(A465="","",IF(AND(H465="Sí",I465="Sí",K465&lt;&gt;"Sí"),"Sí","No"))</f>
        <v/>
      </c>
      <c r="O465" s="18">
        <f>IF(S465="","",1+COUNTIFS($N$2:$N$501,"Sí",$S$2:$S$501,"&gt;"&amp;S465))</f>
        <v/>
      </c>
      <c r="P465" s="18">
        <f>IF(A465="","",INDEX(Logros!$A$2:$A$6,MATCH(N(L465),Logros!$C$2:$C$6,1)))</f>
        <v/>
      </c>
      <c r="Q465" s="19" t="n"/>
      <c r="R465" s="18">
        <f>IF(OR(A465="",P465=""),"",IF(P465&gt;N(Q465),"Sí: entregar nivel "&amp;(N(Q465)+1)&amp;IF(P465&gt;N(Q465)+1," al "&amp;P465,"")&amp;" (ver Logros)",""))</f>
        <v/>
      </c>
      <c r="S465" s="20">
        <f>IF(OR(A465="",N465&lt;&gt;"Sí",N(L465)&lt;=0),"",(N(L465)*100000-MAX(0,ROUND((N(M465)-DATE(2026,10,1))*1440,0)))*1000-ROW())</f>
        <v/>
      </c>
    </row>
    <row r="466">
      <c r="A466" s="19" t="n"/>
      <c r="B466" s="19" t="n"/>
      <c r="C466" s="19" t="n"/>
      <c r="D466" s="21" t="n"/>
      <c r="E466" s="19" t="n"/>
      <c r="F466" s="19" t="n"/>
      <c r="G466" s="22" t="n"/>
      <c r="H466" s="19" t="n"/>
      <c r="I466" s="19" t="n"/>
      <c r="J466" s="19" t="n"/>
      <c r="K466" s="19" t="n"/>
      <c r="L466" s="16">
        <f>IF(A466="","",SUMIF(Movimientos!$B$2:$B$3001,A466,Movimientos!$F$2:$F$3001))</f>
        <v/>
      </c>
      <c r="M466" s="17">
        <f>IF(A466="","",IF(COUNTIF(Movimientos!$B$2:$B$3001,A466)=0,"",_xlfn.MAXIFS(Movimientos!$A$2:$A$3001,Movimientos!$B$2:$B$3001,A466)))</f>
        <v/>
      </c>
      <c r="N466" s="18">
        <f>IF(A466="","",IF(AND(H466="Sí",I466="Sí",K466&lt;&gt;"Sí"),"Sí","No"))</f>
        <v/>
      </c>
      <c r="O466" s="18">
        <f>IF(S466="","",1+COUNTIFS($N$2:$N$501,"Sí",$S$2:$S$501,"&gt;"&amp;S466))</f>
        <v/>
      </c>
      <c r="P466" s="18">
        <f>IF(A466="","",INDEX(Logros!$A$2:$A$6,MATCH(N(L466),Logros!$C$2:$C$6,1)))</f>
        <v/>
      </c>
      <c r="Q466" s="19" t="n"/>
      <c r="R466" s="18">
        <f>IF(OR(A466="",P466=""),"",IF(P466&gt;N(Q466),"Sí: entregar nivel "&amp;(N(Q466)+1)&amp;IF(P466&gt;N(Q466)+1," al "&amp;P466,"")&amp;" (ver Logros)",""))</f>
        <v/>
      </c>
      <c r="S466" s="20">
        <f>IF(OR(A466="",N466&lt;&gt;"Sí",N(L466)&lt;=0),"",(N(L466)*100000-MAX(0,ROUND((N(M466)-DATE(2026,10,1))*1440,0)))*1000-ROW())</f>
        <v/>
      </c>
    </row>
    <row r="467">
      <c r="A467" s="19" t="n"/>
      <c r="B467" s="19" t="n"/>
      <c r="C467" s="19" t="n"/>
      <c r="D467" s="21" t="n"/>
      <c r="E467" s="19" t="n"/>
      <c r="F467" s="19" t="n"/>
      <c r="G467" s="22" t="n"/>
      <c r="H467" s="19" t="n"/>
      <c r="I467" s="19" t="n"/>
      <c r="J467" s="19" t="n"/>
      <c r="K467" s="19" t="n"/>
      <c r="L467" s="16">
        <f>IF(A467="","",SUMIF(Movimientos!$B$2:$B$3001,A467,Movimientos!$F$2:$F$3001))</f>
        <v/>
      </c>
      <c r="M467" s="17">
        <f>IF(A467="","",IF(COUNTIF(Movimientos!$B$2:$B$3001,A467)=0,"",_xlfn.MAXIFS(Movimientos!$A$2:$A$3001,Movimientos!$B$2:$B$3001,A467)))</f>
        <v/>
      </c>
      <c r="N467" s="18">
        <f>IF(A467="","",IF(AND(H467="Sí",I467="Sí",K467&lt;&gt;"Sí"),"Sí","No"))</f>
        <v/>
      </c>
      <c r="O467" s="18">
        <f>IF(S467="","",1+COUNTIFS($N$2:$N$501,"Sí",$S$2:$S$501,"&gt;"&amp;S467))</f>
        <v/>
      </c>
      <c r="P467" s="18">
        <f>IF(A467="","",INDEX(Logros!$A$2:$A$6,MATCH(N(L467),Logros!$C$2:$C$6,1)))</f>
        <v/>
      </c>
      <c r="Q467" s="19" t="n"/>
      <c r="R467" s="18">
        <f>IF(OR(A467="",P467=""),"",IF(P467&gt;N(Q467),"Sí: entregar nivel "&amp;(N(Q467)+1)&amp;IF(P467&gt;N(Q467)+1," al "&amp;P467,"")&amp;" (ver Logros)",""))</f>
        <v/>
      </c>
      <c r="S467" s="20">
        <f>IF(OR(A467="",N467&lt;&gt;"Sí",N(L467)&lt;=0),"",(N(L467)*100000-MAX(0,ROUND((N(M467)-DATE(2026,10,1))*1440,0)))*1000-ROW())</f>
        <v/>
      </c>
    </row>
    <row r="468">
      <c r="A468" s="19" t="n"/>
      <c r="B468" s="19" t="n"/>
      <c r="C468" s="19" t="n"/>
      <c r="D468" s="21" t="n"/>
      <c r="E468" s="19" t="n"/>
      <c r="F468" s="19" t="n"/>
      <c r="G468" s="22" t="n"/>
      <c r="H468" s="19" t="n"/>
      <c r="I468" s="19" t="n"/>
      <c r="J468" s="19" t="n"/>
      <c r="K468" s="19" t="n"/>
      <c r="L468" s="16">
        <f>IF(A468="","",SUMIF(Movimientos!$B$2:$B$3001,A468,Movimientos!$F$2:$F$3001))</f>
        <v/>
      </c>
      <c r="M468" s="17">
        <f>IF(A468="","",IF(COUNTIF(Movimientos!$B$2:$B$3001,A468)=0,"",_xlfn.MAXIFS(Movimientos!$A$2:$A$3001,Movimientos!$B$2:$B$3001,A468)))</f>
        <v/>
      </c>
      <c r="N468" s="18">
        <f>IF(A468="","",IF(AND(H468="Sí",I468="Sí",K468&lt;&gt;"Sí"),"Sí","No"))</f>
        <v/>
      </c>
      <c r="O468" s="18">
        <f>IF(S468="","",1+COUNTIFS($N$2:$N$501,"Sí",$S$2:$S$501,"&gt;"&amp;S468))</f>
        <v/>
      </c>
      <c r="P468" s="18">
        <f>IF(A468="","",INDEX(Logros!$A$2:$A$6,MATCH(N(L468),Logros!$C$2:$C$6,1)))</f>
        <v/>
      </c>
      <c r="Q468" s="19" t="n"/>
      <c r="R468" s="18">
        <f>IF(OR(A468="",P468=""),"",IF(P468&gt;N(Q468),"Sí: entregar nivel "&amp;(N(Q468)+1)&amp;IF(P468&gt;N(Q468)+1," al "&amp;P468,"")&amp;" (ver Logros)",""))</f>
        <v/>
      </c>
      <c r="S468" s="20">
        <f>IF(OR(A468="",N468&lt;&gt;"Sí",N(L468)&lt;=0),"",(N(L468)*100000-MAX(0,ROUND((N(M468)-DATE(2026,10,1))*1440,0)))*1000-ROW())</f>
        <v/>
      </c>
    </row>
    <row r="469">
      <c r="A469" s="19" t="n"/>
      <c r="B469" s="19" t="n"/>
      <c r="C469" s="19" t="n"/>
      <c r="D469" s="21" t="n"/>
      <c r="E469" s="19" t="n"/>
      <c r="F469" s="19" t="n"/>
      <c r="G469" s="22" t="n"/>
      <c r="H469" s="19" t="n"/>
      <c r="I469" s="19" t="n"/>
      <c r="J469" s="19" t="n"/>
      <c r="K469" s="19" t="n"/>
      <c r="L469" s="16">
        <f>IF(A469="","",SUMIF(Movimientos!$B$2:$B$3001,A469,Movimientos!$F$2:$F$3001))</f>
        <v/>
      </c>
      <c r="M469" s="17">
        <f>IF(A469="","",IF(COUNTIF(Movimientos!$B$2:$B$3001,A469)=0,"",_xlfn.MAXIFS(Movimientos!$A$2:$A$3001,Movimientos!$B$2:$B$3001,A469)))</f>
        <v/>
      </c>
      <c r="N469" s="18">
        <f>IF(A469="","",IF(AND(H469="Sí",I469="Sí",K469&lt;&gt;"Sí"),"Sí","No"))</f>
        <v/>
      </c>
      <c r="O469" s="18">
        <f>IF(S469="","",1+COUNTIFS($N$2:$N$501,"Sí",$S$2:$S$501,"&gt;"&amp;S469))</f>
        <v/>
      </c>
      <c r="P469" s="18">
        <f>IF(A469="","",INDEX(Logros!$A$2:$A$6,MATCH(N(L469),Logros!$C$2:$C$6,1)))</f>
        <v/>
      </c>
      <c r="Q469" s="19" t="n"/>
      <c r="R469" s="18">
        <f>IF(OR(A469="",P469=""),"",IF(P469&gt;N(Q469),"Sí: entregar nivel "&amp;(N(Q469)+1)&amp;IF(P469&gt;N(Q469)+1," al "&amp;P469,"")&amp;" (ver Logros)",""))</f>
        <v/>
      </c>
      <c r="S469" s="20">
        <f>IF(OR(A469="",N469&lt;&gt;"Sí",N(L469)&lt;=0),"",(N(L469)*100000-MAX(0,ROUND((N(M469)-DATE(2026,10,1))*1440,0)))*1000-ROW())</f>
        <v/>
      </c>
    </row>
    <row r="470">
      <c r="A470" s="19" t="n"/>
      <c r="B470" s="19" t="n"/>
      <c r="C470" s="19" t="n"/>
      <c r="D470" s="21" t="n"/>
      <c r="E470" s="19" t="n"/>
      <c r="F470" s="19" t="n"/>
      <c r="G470" s="22" t="n"/>
      <c r="H470" s="19" t="n"/>
      <c r="I470" s="19" t="n"/>
      <c r="J470" s="19" t="n"/>
      <c r="K470" s="19" t="n"/>
      <c r="L470" s="16">
        <f>IF(A470="","",SUMIF(Movimientos!$B$2:$B$3001,A470,Movimientos!$F$2:$F$3001))</f>
        <v/>
      </c>
      <c r="M470" s="17">
        <f>IF(A470="","",IF(COUNTIF(Movimientos!$B$2:$B$3001,A470)=0,"",_xlfn.MAXIFS(Movimientos!$A$2:$A$3001,Movimientos!$B$2:$B$3001,A470)))</f>
        <v/>
      </c>
      <c r="N470" s="18">
        <f>IF(A470="","",IF(AND(H470="Sí",I470="Sí",K470&lt;&gt;"Sí"),"Sí","No"))</f>
        <v/>
      </c>
      <c r="O470" s="18">
        <f>IF(S470="","",1+COUNTIFS($N$2:$N$501,"Sí",$S$2:$S$501,"&gt;"&amp;S470))</f>
        <v/>
      </c>
      <c r="P470" s="18">
        <f>IF(A470="","",INDEX(Logros!$A$2:$A$6,MATCH(N(L470),Logros!$C$2:$C$6,1)))</f>
        <v/>
      </c>
      <c r="Q470" s="19" t="n"/>
      <c r="R470" s="18">
        <f>IF(OR(A470="",P470=""),"",IF(P470&gt;N(Q470),"Sí: entregar nivel "&amp;(N(Q470)+1)&amp;IF(P470&gt;N(Q470)+1," al "&amp;P470,"")&amp;" (ver Logros)",""))</f>
        <v/>
      </c>
      <c r="S470" s="20">
        <f>IF(OR(A470="",N470&lt;&gt;"Sí",N(L470)&lt;=0),"",(N(L470)*100000-MAX(0,ROUND((N(M470)-DATE(2026,10,1))*1440,0)))*1000-ROW())</f>
        <v/>
      </c>
    </row>
    <row r="471">
      <c r="A471" s="19" t="n"/>
      <c r="B471" s="19" t="n"/>
      <c r="C471" s="19" t="n"/>
      <c r="D471" s="21" t="n"/>
      <c r="E471" s="19" t="n"/>
      <c r="F471" s="19" t="n"/>
      <c r="G471" s="22" t="n"/>
      <c r="H471" s="19" t="n"/>
      <c r="I471" s="19" t="n"/>
      <c r="J471" s="19" t="n"/>
      <c r="K471" s="19" t="n"/>
      <c r="L471" s="16">
        <f>IF(A471="","",SUMIF(Movimientos!$B$2:$B$3001,A471,Movimientos!$F$2:$F$3001))</f>
        <v/>
      </c>
      <c r="M471" s="17">
        <f>IF(A471="","",IF(COUNTIF(Movimientos!$B$2:$B$3001,A471)=0,"",_xlfn.MAXIFS(Movimientos!$A$2:$A$3001,Movimientos!$B$2:$B$3001,A471)))</f>
        <v/>
      </c>
      <c r="N471" s="18">
        <f>IF(A471="","",IF(AND(H471="Sí",I471="Sí",K471&lt;&gt;"Sí"),"Sí","No"))</f>
        <v/>
      </c>
      <c r="O471" s="18">
        <f>IF(S471="","",1+COUNTIFS($N$2:$N$501,"Sí",$S$2:$S$501,"&gt;"&amp;S471))</f>
        <v/>
      </c>
      <c r="P471" s="18">
        <f>IF(A471="","",INDEX(Logros!$A$2:$A$6,MATCH(N(L471),Logros!$C$2:$C$6,1)))</f>
        <v/>
      </c>
      <c r="Q471" s="19" t="n"/>
      <c r="R471" s="18">
        <f>IF(OR(A471="",P471=""),"",IF(P471&gt;N(Q471),"Sí: entregar nivel "&amp;(N(Q471)+1)&amp;IF(P471&gt;N(Q471)+1," al "&amp;P471,"")&amp;" (ver Logros)",""))</f>
        <v/>
      </c>
      <c r="S471" s="20">
        <f>IF(OR(A471="",N471&lt;&gt;"Sí",N(L471)&lt;=0),"",(N(L471)*100000-MAX(0,ROUND((N(M471)-DATE(2026,10,1))*1440,0)))*1000-ROW())</f>
        <v/>
      </c>
    </row>
    <row r="472">
      <c r="A472" s="19" t="n"/>
      <c r="B472" s="19" t="n"/>
      <c r="C472" s="19" t="n"/>
      <c r="D472" s="21" t="n"/>
      <c r="E472" s="19" t="n"/>
      <c r="F472" s="19" t="n"/>
      <c r="G472" s="22" t="n"/>
      <c r="H472" s="19" t="n"/>
      <c r="I472" s="19" t="n"/>
      <c r="J472" s="19" t="n"/>
      <c r="K472" s="19" t="n"/>
      <c r="L472" s="16">
        <f>IF(A472="","",SUMIF(Movimientos!$B$2:$B$3001,A472,Movimientos!$F$2:$F$3001))</f>
        <v/>
      </c>
      <c r="M472" s="17">
        <f>IF(A472="","",IF(COUNTIF(Movimientos!$B$2:$B$3001,A472)=0,"",_xlfn.MAXIFS(Movimientos!$A$2:$A$3001,Movimientos!$B$2:$B$3001,A472)))</f>
        <v/>
      </c>
      <c r="N472" s="18">
        <f>IF(A472="","",IF(AND(H472="Sí",I472="Sí",K472&lt;&gt;"Sí"),"Sí","No"))</f>
        <v/>
      </c>
      <c r="O472" s="18">
        <f>IF(S472="","",1+COUNTIFS($N$2:$N$501,"Sí",$S$2:$S$501,"&gt;"&amp;S472))</f>
        <v/>
      </c>
      <c r="P472" s="18">
        <f>IF(A472="","",INDEX(Logros!$A$2:$A$6,MATCH(N(L472),Logros!$C$2:$C$6,1)))</f>
        <v/>
      </c>
      <c r="Q472" s="19" t="n"/>
      <c r="R472" s="18">
        <f>IF(OR(A472="",P472=""),"",IF(P472&gt;N(Q472),"Sí: entregar nivel "&amp;(N(Q472)+1)&amp;IF(P472&gt;N(Q472)+1," al "&amp;P472,"")&amp;" (ver Logros)",""))</f>
        <v/>
      </c>
      <c r="S472" s="20">
        <f>IF(OR(A472="",N472&lt;&gt;"Sí",N(L472)&lt;=0),"",(N(L472)*100000-MAX(0,ROUND((N(M472)-DATE(2026,10,1))*1440,0)))*1000-ROW())</f>
        <v/>
      </c>
    </row>
    <row r="473">
      <c r="A473" s="19" t="n"/>
      <c r="B473" s="19" t="n"/>
      <c r="C473" s="19" t="n"/>
      <c r="D473" s="21" t="n"/>
      <c r="E473" s="19" t="n"/>
      <c r="F473" s="19" t="n"/>
      <c r="G473" s="22" t="n"/>
      <c r="H473" s="19" t="n"/>
      <c r="I473" s="19" t="n"/>
      <c r="J473" s="19" t="n"/>
      <c r="K473" s="19" t="n"/>
      <c r="L473" s="16">
        <f>IF(A473="","",SUMIF(Movimientos!$B$2:$B$3001,A473,Movimientos!$F$2:$F$3001))</f>
        <v/>
      </c>
      <c r="M473" s="17">
        <f>IF(A473="","",IF(COUNTIF(Movimientos!$B$2:$B$3001,A473)=0,"",_xlfn.MAXIFS(Movimientos!$A$2:$A$3001,Movimientos!$B$2:$B$3001,A473)))</f>
        <v/>
      </c>
      <c r="N473" s="18">
        <f>IF(A473="","",IF(AND(H473="Sí",I473="Sí",K473&lt;&gt;"Sí"),"Sí","No"))</f>
        <v/>
      </c>
      <c r="O473" s="18">
        <f>IF(S473="","",1+COUNTIFS($N$2:$N$501,"Sí",$S$2:$S$501,"&gt;"&amp;S473))</f>
        <v/>
      </c>
      <c r="P473" s="18">
        <f>IF(A473="","",INDEX(Logros!$A$2:$A$6,MATCH(N(L473),Logros!$C$2:$C$6,1)))</f>
        <v/>
      </c>
      <c r="Q473" s="19" t="n"/>
      <c r="R473" s="18">
        <f>IF(OR(A473="",P473=""),"",IF(P473&gt;N(Q473),"Sí: entregar nivel "&amp;(N(Q473)+1)&amp;IF(P473&gt;N(Q473)+1," al "&amp;P473,"")&amp;" (ver Logros)",""))</f>
        <v/>
      </c>
      <c r="S473" s="20">
        <f>IF(OR(A473="",N473&lt;&gt;"Sí",N(L473)&lt;=0),"",(N(L473)*100000-MAX(0,ROUND((N(M473)-DATE(2026,10,1))*1440,0)))*1000-ROW())</f>
        <v/>
      </c>
    </row>
    <row r="474">
      <c r="A474" s="19" t="n"/>
      <c r="B474" s="19" t="n"/>
      <c r="C474" s="19" t="n"/>
      <c r="D474" s="21" t="n"/>
      <c r="E474" s="19" t="n"/>
      <c r="F474" s="19" t="n"/>
      <c r="G474" s="22" t="n"/>
      <c r="H474" s="19" t="n"/>
      <c r="I474" s="19" t="n"/>
      <c r="J474" s="19" t="n"/>
      <c r="K474" s="19" t="n"/>
      <c r="L474" s="16">
        <f>IF(A474="","",SUMIF(Movimientos!$B$2:$B$3001,A474,Movimientos!$F$2:$F$3001))</f>
        <v/>
      </c>
      <c r="M474" s="17">
        <f>IF(A474="","",IF(COUNTIF(Movimientos!$B$2:$B$3001,A474)=0,"",_xlfn.MAXIFS(Movimientos!$A$2:$A$3001,Movimientos!$B$2:$B$3001,A474)))</f>
        <v/>
      </c>
      <c r="N474" s="18">
        <f>IF(A474="","",IF(AND(H474="Sí",I474="Sí",K474&lt;&gt;"Sí"),"Sí","No"))</f>
        <v/>
      </c>
      <c r="O474" s="18">
        <f>IF(S474="","",1+COUNTIFS($N$2:$N$501,"Sí",$S$2:$S$501,"&gt;"&amp;S474))</f>
        <v/>
      </c>
      <c r="P474" s="18">
        <f>IF(A474="","",INDEX(Logros!$A$2:$A$6,MATCH(N(L474),Logros!$C$2:$C$6,1)))</f>
        <v/>
      </c>
      <c r="Q474" s="19" t="n"/>
      <c r="R474" s="18">
        <f>IF(OR(A474="",P474=""),"",IF(P474&gt;N(Q474),"Sí: entregar nivel "&amp;(N(Q474)+1)&amp;IF(P474&gt;N(Q474)+1," al "&amp;P474,"")&amp;" (ver Logros)",""))</f>
        <v/>
      </c>
      <c r="S474" s="20">
        <f>IF(OR(A474="",N474&lt;&gt;"Sí",N(L474)&lt;=0),"",(N(L474)*100000-MAX(0,ROUND((N(M474)-DATE(2026,10,1))*1440,0)))*1000-ROW())</f>
        <v/>
      </c>
    </row>
    <row r="475">
      <c r="A475" s="19" t="n"/>
      <c r="B475" s="19" t="n"/>
      <c r="C475" s="19" t="n"/>
      <c r="D475" s="21" t="n"/>
      <c r="E475" s="19" t="n"/>
      <c r="F475" s="19" t="n"/>
      <c r="G475" s="22" t="n"/>
      <c r="H475" s="19" t="n"/>
      <c r="I475" s="19" t="n"/>
      <c r="J475" s="19" t="n"/>
      <c r="K475" s="19" t="n"/>
      <c r="L475" s="16">
        <f>IF(A475="","",SUMIF(Movimientos!$B$2:$B$3001,A475,Movimientos!$F$2:$F$3001))</f>
        <v/>
      </c>
      <c r="M475" s="17">
        <f>IF(A475="","",IF(COUNTIF(Movimientos!$B$2:$B$3001,A475)=0,"",_xlfn.MAXIFS(Movimientos!$A$2:$A$3001,Movimientos!$B$2:$B$3001,A475)))</f>
        <v/>
      </c>
      <c r="N475" s="18">
        <f>IF(A475="","",IF(AND(H475="Sí",I475="Sí",K475&lt;&gt;"Sí"),"Sí","No"))</f>
        <v/>
      </c>
      <c r="O475" s="18">
        <f>IF(S475="","",1+COUNTIFS($N$2:$N$501,"Sí",$S$2:$S$501,"&gt;"&amp;S475))</f>
        <v/>
      </c>
      <c r="P475" s="18">
        <f>IF(A475="","",INDEX(Logros!$A$2:$A$6,MATCH(N(L475),Logros!$C$2:$C$6,1)))</f>
        <v/>
      </c>
      <c r="Q475" s="19" t="n"/>
      <c r="R475" s="18">
        <f>IF(OR(A475="",P475=""),"",IF(P475&gt;N(Q475),"Sí: entregar nivel "&amp;(N(Q475)+1)&amp;IF(P475&gt;N(Q475)+1," al "&amp;P475,"")&amp;" (ver Logros)",""))</f>
        <v/>
      </c>
      <c r="S475" s="20">
        <f>IF(OR(A475="",N475&lt;&gt;"Sí",N(L475)&lt;=0),"",(N(L475)*100000-MAX(0,ROUND((N(M475)-DATE(2026,10,1))*1440,0)))*1000-ROW())</f>
        <v/>
      </c>
    </row>
    <row r="476">
      <c r="A476" s="19" t="n"/>
      <c r="B476" s="19" t="n"/>
      <c r="C476" s="19" t="n"/>
      <c r="D476" s="21" t="n"/>
      <c r="E476" s="19" t="n"/>
      <c r="F476" s="19" t="n"/>
      <c r="G476" s="22" t="n"/>
      <c r="H476" s="19" t="n"/>
      <c r="I476" s="19" t="n"/>
      <c r="J476" s="19" t="n"/>
      <c r="K476" s="19" t="n"/>
      <c r="L476" s="16">
        <f>IF(A476="","",SUMIF(Movimientos!$B$2:$B$3001,A476,Movimientos!$F$2:$F$3001))</f>
        <v/>
      </c>
      <c r="M476" s="17">
        <f>IF(A476="","",IF(COUNTIF(Movimientos!$B$2:$B$3001,A476)=0,"",_xlfn.MAXIFS(Movimientos!$A$2:$A$3001,Movimientos!$B$2:$B$3001,A476)))</f>
        <v/>
      </c>
      <c r="N476" s="18">
        <f>IF(A476="","",IF(AND(H476="Sí",I476="Sí",K476&lt;&gt;"Sí"),"Sí","No"))</f>
        <v/>
      </c>
      <c r="O476" s="18">
        <f>IF(S476="","",1+COUNTIFS($N$2:$N$501,"Sí",$S$2:$S$501,"&gt;"&amp;S476))</f>
        <v/>
      </c>
      <c r="P476" s="18">
        <f>IF(A476="","",INDEX(Logros!$A$2:$A$6,MATCH(N(L476),Logros!$C$2:$C$6,1)))</f>
        <v/>
      </c>
      <c r="Q476" s="19" t="n"/>
      <c r="R476" s="18">
        <f>IF(OR(A476="",P476=""),"",IF(P476&gt;N(Q476),"Sí: entregar nivel "&amp;(N(Q476)+1)&amp;IF(P476&gt;N(Q476)+1," al "&amp;P476,"")&amp;" (ver Logros)",""))</f>
        <v/>
      </c>
      <c r="S476" s="20">
        <f>IF(OR(A476="",N476&lt;&gt;"Sí",N(L476)&lt;=0),"",(N(L476)*100000-MAX(0,ROUND((N(M476)-DATE(2026,10,1))*1440,0)))*1000-ROW())</f>
        <v/>
      </c>
    </row>
    <row r="477">
      <c r="A477" s="19" t="n"/>
      <c r="B477" s="19" t="n"/>
      <c r="C477" s="19" t="n"/>
      <c r="D477" s="21" t="n"/>
      <c r="E477" s="19" t="n"/>
      <c r="F477" s="19" t="n"/>
      <c r="G477" s="22" t="n"/>
      <c r="H477" s="19" t="n"/>
      <c r="I477" s="19" t="n"/>
      <c r="J477" s="19" t="n"/>
      <c r="K477" s="19" t="n"/>
      <c r="L477" s="16">
        <f>IF(A477="","",SUMIF(Movimientos!$B$2:$B$3001,A477,Movimientos!$F$2:$F$3001))</f>
        <v/>
      </c>
      <c r="M477" s="17">
        <f>IF(A477="","",IF(COUNTIF(Movimientos!$B$2:$B$3001,A477)=0,"",_xlfn.MAXIFS(Movimientos!$A$2:$A$3001,Movimientos!$B$2:$B$3001,A477)))</f>
        <v/>
      </c>
      <c r="N477" s="18">
        <f>IF(A477="","",IF(AND(H477="Sí",I477="Sí",K477&lt;&gt;"Sí"),"Sí","No"))</f>
        <v/>
      </c>
      <c r="O477" s="18">
        <f>IF(S477="","",1+COUNTIFS($N$2:$N$501,"Sí",$S$2:$S$501,"&gt;"&amp;S477))</f>
        <v/>
      </c>
      <c r="P477" s="18">
        <f>IF(A477="","",INDEX(Logros!$A$2:$A$6,MATCH(N(L477),Logros!$C$2:$C$6,1)))</f>
        <v/>
      </c>
      <c r="Q477" s="19" t="n"/>
      <c r="R477" s="18">
        <f>IF(OR(A477="",P477=""),"",IF(P477&gt;N(Q477),"Sí: entregar nivel "&amp;(N(Q477)+1)&amp;IF(P477&gt;N(Q477)+1," al "&amp;P477,"")&amp;" (ver Logros)",""))</f>
        <v/>
      </c>
      <c r="S477" s="20">
        <f>IF(OR(A477="",N477&lt;&gt;"Sí",N(L477)&lt;=0),"",(N(L477)*100000-MAX(0,ROUND((N(M477)-DATE(2026,10,1))*1440,0)))*1000-ROW())</f>
        <v/>
      </c>
    </row>
    <row r="478">
      <c r="A478" s="19" t="n"/>
      <c r="B478" s="19" t="n"/>
      <c r="C478" s="19" t="n"/>
      <c r="D478" s="21" t="n"/>
      <c r="E478" s="19" t="n"/>
      <c r="F478" s="19" t="n"/>
      <c r="G478" s="22" t="n"/>
      <c r="H478" s="19" t="n"/>
      <c r="I478" s="19" t="n"/>
      <c r="J478" s="19" t="n"/>
      <c r="K478" s="19" t="n"/>
      <c r="L478" s="16">
        <f>IF(A478="","",SUMIF(Movimientos!$B$2:$B$3001,A478,Movimientos!$F$2:$F$3001))</f>
        <v/>
      </c>
      <c r="M478" s="17">
        <f>IF(A478="","",IF(COUNTIF(Movimientos!$B$2:$B$3001,A478)=0,"",_xlfn.MAXIFS(Movimientos!$A$2:$A$3001,Movimientos!$B$2:$B$3001,A478)))</f>
        <v/>
      </c>
      <c r="N478" s="18">
        <f>IF(A478="","",IF(AND(H478="Sí",I478="Sí",K478&lt;&gt;"Sí"),"Sí","No"))</f>
        <v/>
      </c>
      <c r="O478" s="18">
        <f>IF(S478="","",1+COUNTIFS($N$2:$N$501,"Sí",$S$2:$S$501,"&gt;"&amp;S478))</f>
        <v/>
      </c>
      <c r="P478" s="18">
        <f>IF(A478="","",INDEX(Logros!$A$2:$A$6,MATCH(N(L478),Logros!$C$2:$C$6,1)))</f>
        <v/>
      </c>
      <c r="Q478" s="19" t="n"/>
      <c r="R478" s="18">
        <f>IF(OR(A478="",P478=""),"",IF(P478&gt;N(Q478),"Sí: entregar nivel "&amp;(N(Q478)+1)&amp;IF(P478&gt;N(Q478)+1," al "&amp;P478,"")&amp;" (ver Logros)",""))</f>
        <v/>
      </c>
      <c r="S478" s="20">
        <f>IF(OR(A478="",N478&lt;&gt;"Sí",N(L478)&lt;=0),"",(N(L478)*100000-MAX(0,ROUND((N(M478)-DATE(2026,10,1))*1440,0)))*1000-ROW())</f>
        <v/>
      </c>
    </row>
    <row r="479">
      <c r="A479" s="19" t="n"/>
      <c r="B479" s="19" t="n"/>
      <c r="C479" s="19" t="n"/>
      <c r="D479" s="21" t="n"/>
      <c r="E479" s="19" t="n"/>
      <c r="F479" s="19" t="n"/>
      <c r="G479" s="22" t="n"/>
      <c r="H479" s="19" t="n"/>
      <c r="I479" s="19" t="n"/>
      <c r="J479" s="19" t="n"/>
      <c r="K479" s="19" t="n"/>
      <c r="L479" s="16">
        <f>IF(A479="","",SUMIF(Movimientos!$B$2:$B$3001,A479,Movimientos!$F$2:$F$3001))</f>
        <v/>
      </c>
      <c r="M479" s="17">
        <f>IF(A479="","",IF(COUNTIF(Movimientos!$B$2:$B$3001,A479)=0,"",_xlfn.MAXIFS(Movimientos!$A$2:$A$3001,Movimientos!$B$2:$B$3001,A479)))</f>
        <v/>
      </c>
      <c r="N479" s="18">
        <f>IF(A479="","",IF(AND(H479="Sí",I479="Sí",K479&lt;&gt;"Sí"),"Sí","No"))</f>
        <v/>
      </c>
      <c r="O479" s="18">
        <f>IF(S479="","",1+COUNTIFS($N$2:$N$501,"Sí",$S$2:$S$501,"&gt;"&amp;S479))</f>
        <v/>
      </c>
      <c r="P479" s="18">
        <f>IF(A479="","",INDEX(Logros!$A$2:$A$6,MATCH(N(L479),Logros!$C$2:$C$6,1)))</f>
        <v/>
      </c>
      <c r="Q479" s="19" t="n"/>
      <c r="R479" s="18">
        <f>IF(OR(A479="",P479=""),"",IF(P479&gt;N(Q479),"Sí: entregar nivel "&amp;(N(Q479)+1)&amp;IF(P479&gt;N(Q479)+1," al "&amp;P479,"")&amp;" (ver Logros)",""))</f>
        <v/>
      </c>
      <c r="S479" s="20">
        <f>IF(OR(A479="",N479&lt;&gt;"Sí",N(L479)&lt;=0),"",(N(L479)*100000-MAX(0,ROUND((N(M479)-DATE(2026,10,1))*1440,0)))*1000-ROW())</f>
        <v/>
      </c>
    </row>
    <row r="480">
      <c r="A480" s="19" t="n"/>
      <c r="B480" s="19" t="n"/>
      <c r="C480" s="19" t="n"/>
      <c r="D480" s="21" t="n"/>
      <c r="E480" s="19" t="n"/>
      <c r="F480" s="19" t="n"/>
      <c r="G480" s="22" t="n"/>
      <c r="H480" s="19" t="n"/>
      <c r="I480" s="19" t="n"/>
      <c r="J480" s="19" t="n"/>
      <c r="K480" s="19" t="n"/>
      <c r="L480" s="16">
        <f>IF(A480="","",SUMIF(Movimientos!$B$2:$B$3001,A480,Movimientos!$F$2:$F$3001))</f>
        <v/>
      </c>
      <c r="M480" s="17">
        <f>IF(A480="","",IF(COUNTIF(Movimientos!$B$2:$B$3001,A480)=0,"",_xlfn.MAXIFS(Movimientos!$A$2:$A$3001,Movimientos!$B$2:$B$3001,A480)))</f>
        <v/>
      </c>
      <c r="N480" s="18">
        <f>IF(A480="","",IF(AND(H480="Sí",I480="Sí",K480&lt;&gt;"Sí"),"Sí","No"))</f>
        <v/>
      </c>
      <c r="O480" s="18">
        <f>IF(S480="","",1+COUNTIFS($N$2:$N$501,"Sí",$S$2:$S$501,"&gt;"&amp;S480))</f>
        <v/>
      </c>
      <c r="P480" s="18">
        <f>IF(A480="","",INDEX(Logros!$A$2:$A$6,MATCH(N(L480),Logros!$C$2:$C$6,1)))</f>
        <v/>
      </c>
      <c r="Q480" s="19" t="n"/>
      <c r="R480" s="18">
        <f>IF(OR(A480="",P480=""),"",IF(P480&gt;N(Q480),"Sí: entregar nivel "&amp;(N(Q480)+1)&amp;IF(P480&gt;N(Q480)+1," al "&amp;P480,"")&amp;" (ver Logros)",""))</f>
        <v/>
      </c>
      <c r="S480" s="20">
        <f>IF(OR(A480="",N480&lt;&gt;"Sí",N(L480)&lt;=0),"",(N(L480)*100000-MAX(0,ROUND((N(M480)-DATE(2026,10,1))*1440,0)))*1000-ROW())</f>
        <v/>
      </c>
    </row>
    <row r="481">
      <c r="A481" s="19" t="n"/>
      <c r="B481" s="19" t="n"/>
      <c r="C481" s="19" t="n"/>
      <c r="D481" s="21" t="n"/>
      <c r="E481" s="19" t="n"/>
      <c r="F481" s="19" t="n"/>
      <c r="G481" s="22" t="n"/>
      <c r="H481" s="19" t="n"/>
      <c r="I481" s="19" t="n"/>
      <c r="J481" s="19" t="n"/>
      <c r="K481" s="19" t="n"/>
      <c r="L481" s="16">
        <f>IF(A481="","",SUMIF(Movimientos!$B$2:$B$3001,A481,Movimientos!$F$2:$F$3001))</f>
        <v/>
      </c>
      <c r="M481" s="17">
        <f>IF(A481="","",IF(COUNTIF(Movimientos!$B$2:$B$3001,A481)=0,"",_xlfn.MAXIFS(Movimientos!$A$2:$A$3001,Movimientos!$B$2:$B$3001,A481)))</f>
        <v/>
      </c>
      <c r="N481" s="18">
        <f>IF(A481="","",IF(AND(H481="Sí",I481="Sí",K481&lt;&gt;"Sí"),"Sí","No"))</f>
        <v/>
      </c>
      <c r="O481" s="18">
        <f>IF(S481="","",1+COUNTIFS($N$2:$N$501,"Sí",$S$2:$S$501,"&gt;"&amp;S481))</f>
        <v/>
      </c>
      <c r="P481" s="18">
        <f>IF(A481="","",INDEX(Logros!$A$2:$A$6,MATCH(N(L481),Logros!$C$2:$C$6,1)))</f>
        <v/>
      </c>
      <c r="Q481" s="19" t="n"/>
      <c r="R481" s="18">
        <f>IF(OR(A481="",P481=""),"",IF(P481&gt;N(Q481),"Sí: entregar nivel "&amp;(N(Q481)+1)&amp;IF(P481&gt;N(Q481)+1," al "&amp;P481,"")&amp;" (ver Logros)",""))</f>
        <v/>
      </c>
      <c r="S481" s="20">
        <f>IF(OR(A481="",N481&lt;&gt;"Sí",N(L481)&lt;=0),"",(N(L481)*100000-MAX(0,ROUND((N(M481)-DATE(2026,10,1))*1440,0)))*1000-ROW())</f>
        <v/>
      </c>
    </row>
    <row r="482">
      <c r="A482" s="19" t="n"/>
      <c r="B482" s="19" t="n"/>
      <c r="C482" s="19" t="n"/>
      <c r="D482" s="21" t="n"/>
      <c r="E482" s="19" t="n"/>
      <c r="F482" s="19" t="n"/>
      <c r="G482" s="22" t="n"/>
      <c r="H482" s="19" t="n"/>
      <c r="I482" s="19" t="n"/>
      <c r="J482" s="19" t="n"/>
      <c r="K482" s="19" t="n"/>
      <c r="L482" s="16">
        <f>IF(A482="","",SUMIF(Movimientos!$B$2:$B$3001,A482,Movimientos!$F$2:$F$3001))</f>
        <v/>
      </c>
      <c r="M482" s="17">
        <f>IF(A482="","",IF(COUNTIF(Movimientos!$B$2:$B$3001,A482)=0,"",_xlfn.MAXIFS(Movimientos!$A$2:$A$3001,Movimientos!$B$2:$B$3001,A482)))</f>
        <v/>
      </c>
      <c r="N482" s="18">
        <f>IF(A482="","",IF(AND(H482="Sí",I482="Sí",K482&lt;&gt;"Sí"),"Sí","No"))</f>
        <v/>
      </c>
      <c r="O482" s="18">
        <f>IF(S482="","",1+COUNTIFS($N$2:$N$501,"Sí",$S$2:$S$501,"&gt;"&amp;S482))</f>
        <v/>
      </c>
      <c r="P482" s="18">
        <f>IF(A482="","",INDEX(Logros!$A$2:$A$6,MATCH(N(L482),Logros!$C$2:$C$6,1)))</f>
        <v/>
      </c>
      <c r="Q482" s="19" t="n"/>
      <c r="R482" s="18">
        <f>IF(OR(A482="",P482=""),"",IF(P482&gt;N(Q482),"Sí: entregar nivel "&amp;(N(Q482)+1)&amp;IF(P482&gt;N(Q482)+1," al "&amp;P482,"")&amp;" (ver Logros)",""))</f>
        <v/>
      </c>
      <c r="S482" s="20">
        <f>IF(OR(A482="",N482&lt;&gt;"Sí",N(L482)&lt;=0),"",(N(L482)*100000-MAX(0,ROUND((N(M482)-DATE(2026,10,1))*1440,0)))*1000-ROW())</f>
        <v/>
      </c>
    </row>
    <row r="483">
      <c r="A483" s="19" t="n"/>
      <c r="B483" s="19" t="n"/>
      <c r="C483" s="19" t="n"/>
      <c r="D483" s="21" t="n"/>
      <c r="E483" s="19" t="n"/>
      <c r="F483" s="19" t="n"/>
      <c r="G483" s="22" t="n"/>
      <c r="H483" s="19" t="n"/>
      <c r="I483" s="19" t="n"/>
      <c r="J483" s="19" t="n"/>
      <c r="K483" s="19" t="n"/>
      <c r="L483" s="16">
        <f>IF(A483="","",SUMIF(Movimientos!$B$2:$B$3001,A483,Movimientos!$F$2:$F$3001))</f>
        <v/>
      </c>
      <c r="M483" s="17">
        <f>IF(A483="","",IF(COUNTIF(Movimientos!$B$2:$B$3001,A483)=0,"",_xlfn.MAXIFS(Movimientos!$A$2:$A$3001,Movimientos!$B$2:$B$3001,A483)))</f>
        <v/>
      </c>
      <c r="N483" s="18">
        <f>IF(A483="","",IF(AND(H483="Sí",I483="Sí",K483&lt;&gt;"Sí"),"Sí","No"))</f>
        <v/>
      </c>
      <c r="O483" s="18">
        <f>IF(S483="","",1+COUNTIFS($N$2:$N$501,"Sí",$S$2:$S$501,"&gt;"&amp;S483))</f>
        <v/>
      </c>
      <c r="P483" s="18">
        <f>IF(A483="","",INDEX(Logros!$A$2:$A$6,MATCH(N(L483),Logros!$C$2:$C$6,1)))</f>
        <v/>
      </c>
      <c r="Q483" s="19" t="n"/>
      <c r="R483" s="18">
        <f>IF(OR(A483="",P483=""),"",IF(P483&gt;N(Q483),"Sí: entregar nivel "&amp;(N(Q483)+1)&amp;IF(P483&gt;N(Q483)+1," al "&amp;P483,"")&amp;" (ver Logros)",""))</f>
        <v/>
      </c>
      <c r="S483" s="20">
        <f>IF(OR(A483="",N483&lt;&gt;"Sí",N(L483)&lt;=0),"",(N(L483)*100000-MAX(0,ROUND((N(M483)-DATE(2026,10,1))*1440,0)))*1000-ROW())</f>
        <v/>
      </c>
    </row>
    <row r="484">
      <c r="A484" s="19" t="n"/>
      <c r="B484" s="19" t="n"/>
      <c r="C484" s="19" t="n"/>
      <c r="D484" s="21" t="n"/>
      <c r="E484" s="19" t="n"/>
      <c r="F484" s="19" t="n"/>
      <c r="G484" s="22" t="n"/>
      <c r="H484" s="19" t="n"/>
      <c r="I484" s="19" t="n"/>
      <c r="J484" s="19" t="n"/>
      <c r="K484" s="19" t="n"/>
      <c r="L484" s="16">
        <f>IF(A484="","",SUMIF(Movimientos!$B$2:$B$3001,A484,Movimientos!$F$2:$F$3001))</f>
        <v/>
      </c>
      <c r="M484" s="17">
        <f>IF(A484="","",IF(COUNTIF(Movimientos!$B$2:$B$3001,A484)=0,"",_xlfn.MAXIFS(Movimientos!$A$2:$A$3001,Movimientos!$B$2:$B$3001,A484)))</f>
        <v/>
      </c>
      <c r="N484" s="18">
        <f>IF(A484="","",IF(AND(H484="Sí",I484="Sí",K484&lt;&gt;"Sí"),"Sí","No"))</f>
        <v/>
      </c>
      <c r="O484" s="18">
        <f>IF(S484="","",1+COUNTIFS($N$2:$N$501,"Sí",$S$2:$S$501,"&gt;"&amp;S484))</f>
        <v/>
      </c>
      <c r="P484" s="18">
        <f>IF(A484="","",INDEX(Logros!$A$2:$A$6,MATCH(N(L484),Logros!$C$2:$C$6,1)))</f>
        <v/>
      </c>
      <c r="Q484" s="19" t="n"/>
      <c r="R484" s="18">
        <f>IF(OR(A484="",P484=""),"",IF(P484&gt;N(Q484),"Sí: entregar nivel "&amp;(N(Q484)+1)&amp;IF(P484&gt;N(Q484)+1," al "&amp;P484,"")&amp;" (ver Logros)",""))</f>
        <v/>
      </c>
      <c r="S484" s="20">
        <f>IF(OR(A484="",N484&lt;&gt;"Sí",N(L484)&lt;=0),"",(N(L484)*100000-MAX(0,ROUND((N(M484)-DATE(2026,10,1))*1440,0)))*1000-ROW())</f>
        <v/>
      </c>
    </row>
    <row r="485">
      <c r="A485" s="19" t="n"/>
      <c r="B485" s="19" t="n"/>
      <c r="C485" s="19" t="n"/>
      <c r="D485" s="21" t="n"/>
      <c r="E485" s="19" t="n"/>
      <c r="F485" s="19" t="n"/>
      <c r="G485" s="22" t="n"/>
      <c r="H485" s="19" t="n"/>
      <c r="I485" s="19" t="n"/>
      <c r="J485" s="19" t="n"/>
      <c r="K485" s="19" t="n"/>
      <c r="L485" s="16">
        <f>IF(A485="","",SUMIF(Movimientos!$B$2:$B$3001,A485,Movimientos!$F$2:$F$3001))</f>
        <v/>
      </c>
      <c r="M485" s="17">
        <f>IF(A485="","",IF(COUNTIF(Movimientos!$B$2:$B$3001,A485)=0,"",_xlfn.MAXIFS(Movimientos!$A$2:$A$3001,Movimientos!$B$2:$B$3001,A485)))</f>
        <v/>
      </c>
      <c r="N485" s="18">
        <f>IF(A485="","",IF(AND(H485="Sí",I485="Sí",K485&lt;&gt;"Sí"),"Sí","No"))</f>
        <v/>
      </c>
      <c r="O485" s="18">
        <f>IF(S485="","",1+COUNTIFS($N$2:$N$501,"Sí",$S$2:$S$501,"&gt;"&amp;S485))</f>
        <v/>
      </c>
      <c r="P485" s="18">
        <f>IF(A485="","",INDEX(Logros!$A$2:$A$6,MATCH(N(L485),Logros!$C$2:$C$6,1)))</f>
        <v/>
      </c>
      <c r="Q485" s="19" t="n"/>
      <c r="R485" s="18">
        <f>IF(OR(A485="",P485=""),"",IF(P485&gt;N(Q485),"Sí: entregar nivel "&amp;(N(Q485)+1)&amp;IF(P485&gt;N(Q485)+1," al "&amp;P485,"")&amp;" (ver Logros)",""))</f>
        <v/>
      </c>
      <c r="S485" s="20">
        <f>IF(OR(A485="",N485&lt;&gt;"Sí",N(L485)&lt;=0),"",(N(L485)*100000-MAX(0,ROUND((N(M485)-DATE(2026,10,1))*1440,0)))*1000-ROW())</f>
        <v/>
      </c>
    </row>
    <row r="486">
      <c r="A486" s="19" t="n"/>
      <c r="B486" s="19" t="n"/>
      <c r="C486" s="19" t="n"/>
      <c r="D486" s="21" t="n"/>
      <c r="E486" s="19" t="n"/>
      <c r="F486" s="19" t="n"/>
      <c r="G486" s="22" t="n"/>
      <c r="H486" s="19" t="n"/>
      <c r="I486" s="19" t="n"/>
      <c r="J486" s="19" t="n"/>
      <c r="K486" s="19" t="n"/>
      <c r="L486" s="16">
        <f>IF(A486="","",SUMIF(Movimientos!$B$2:$B$3001,A486,Movimientos!$F$2:$F$3001))</f>
        <v/>
      </c>
      <c r="M486" s="17">
        <f>IF(A486="","",IF(COUNTIF(Movimientos!$B$2:$B$3001,A486)=0,"",_xlfn.MAXIFS(Movimientos!$A$2:$A$3001,Movimientos!$B$2:$B$3001,A486)))</f>
        <v/>
      </c>
      <c r="N486" s="18">
        <f>IF(A486="","",IF(AND(H486="Sí",I486="Sí",K486&lt;&gt;"Sí"),"Sí","No"))</f>
        <v/>
      </c>
      <c r="O486" s="18">
        <f>IF(S486="","",1+COUNTIFS($N$2:$N$501,"Sí",$S$2:$S$501,"&gt;"&amp;S486))</f>
        <v/>
      </c>
      <c r="P486" s="18">
        <f>IF(A486="","",INDEX(Logros!$A$2:$A$6,MATCH(N(L486),Logros!$C$2:$C$6,1)))</f>
        <v/>
      </c>
      <c r="Q486" s="19" t="n"/>
      <c r="R486" s="18">
        <f>IF(OR(A486="",P486=""),"",IF(P486&gt;N(Q486),"Sí: entregar nivel "&amp;(N(Q486)+1)&amp;IF(P486&gt;N(Q486)+1," al "&amp;P486,"")&amp;" (ver Logros)",""))</f>
        <v/>
      </c>
      <c r="S486" s="20">
        <f>IF(OR(A486="",N486&lt;&gt;"Sí",N(L486)&lt;=0),"",(N(L486)*100000-MAX(0,ROUND((N(M486)-DATE(2026,10,1))*1440,0)))*1000-ROW())</f>
        <v/>
      </c>
    </row>
    <row r="487">
      <c r="A487" s="19" t="n"/>
      <c r="B487" s="19" t="n"/>
      <c r="C487" s="19" t="n"/>
      <c r="D487" s="21" t="n"/>
      <c r="E487" s="19" t="n"/>
      <c r="F487" s="19" t="n"/>
      <c r="G487" s="22" t="n"/>
      <c r="H487" s="19" t="n"/>
      <c r="I487" s="19" t="n"/>
      <c r="J487" s="19" t="n"/>
      <c r="K487" s="19" t="n"/>
      <c r="L487" s="16">
        <f>IF(A487="","",SUMIF(Movimientos!$B$2:$B$3001,A487,Movimientos!$F$2:$F$3001))</f>
        <v/>
      </c>
      <c r="M487" s="17">
        <f>IF(A487="","",IF(COUNTIF(Movimientos!$B$2:$B$3001,A487)=0,"",_xlfn.MAXIFS(Movimientos!$A$2:$A$3001,Movimientos!$B$2:$B$3001,A487)))</f>
        <v/>
      </c>
      <c r="N487" s="18">
        <f>IF(A487="","",IF(AND(H487="Sí",I487="Sí",K487&lt;&gt;"Sí"),"Sí","No"))</f>
        <v/>
      </c>
      <c r="O487" s="18">
        <f>IF(S487="","",1+COUNTIFS($N$2:$N$501,"Sí",$S$2:$S$501,"&gt;"&amp;S487))</f>
        <v/>
      </c>
      <c r="P487" s="18">
        <f>IF(A487="","",INDEX(Logros!$A$2:$A$6,MATCH(N(L487),Logros!$C$2:$C$6,1)))</f>
        <v/>
      </c>
      <c r="Q487" s="19" t="n"/>
      <c r="R487" s="18">
        <f>IF(OR(A487="",P487=""),"",IF(P487&gt;N(Q487),"Sí: entregar nivel "&amp;(N(Q487)+1)&amp;IF(P487&gt;N(Q487)+1," al "&amp;P487,"")&amp;" (ver Logros)",""))</f>
        <v/>
      </c>
      <c r="S487" s="20">
        <f>IF(OR(A487="",N487&lt;&gt;"Sí",N(L487)&lt;=0),"",(N(L487)*100000-MAX(0,ROUND((N(M487)-DATE(2026,10,1))*1440,0)))*1000-ROW())</f>
        <v/>
      </c>
    </row>
    <row r="488">
      <c r="A488" s="19" t="n"/>
      <c r="B488" s="19" t="n"/>
      <c r="C488" s="19" t="n"/>
      <c r="D488" s="21" t="n"/>
      <c r="E488" s="19" t="n"/>
      <c r="F488" s="19" t="n"/>
      <c r="G488" s="22" t="n"/>
      <c r="H488" s="19" t="n"/>
      <c r="I488" s="19" t="n"/>
      <c r="J488" s="19" t="n"/>
      <c r="K488" s="19" t="n"/>
      <c r="L488" s="16">
        <f>IF(A488="","",SUMIF(Movimientos!$B$2:$B$3001,A488,Movimientos!$F$2:$F$3001))</f>
        <v/>
      </c>
      <c r="M488" s="17">
        <f>IF(A488="","",IF(COUNTIF(Movimientos!$B$2:$B$3001,A488)=0,"",_xlfn.MAXIFS(Movimientos!$A$2:$A$3001,Movimientos!$B$2:$B$3001,A488)))</f>
        <v/>
      </c>
      <c r="N488" s="18">
        <f>IF(A488="","",IF(AND(H488="Sí",I488="Sí",K488&lt;&gt;"Sí"),"Sí","No"))</f>
        <v/>
      </c>
      <c r="O488" s="18">
        <f>IF(S488="","",1+COUNTIFS($N$2:$N$501,"Sí",$S$2:$S$501,"&gt;"&amp;S488))</f>
        <v/>
      </c>
      <c r="P488" s="18">
        <f>IF(A488="","",INDEX(Logros!$A$2:$A$6,MATCH(N(L488),Logros!$C$2:$C$6,1)))</f>
        <v/>
      </c>
      <c r="Q488" s="19" t="n"/>
      <c r="R488" s="18">
        <f>IF(OR(A488="",P488=""),"",IF(P488&gt;N(Q488),"Sí: entregar nivel "&amp;(N(Q488)+1)&amp;IF(P488&gt;N(Q488)+1," al "&amp;P488,"")&amp;" (ver Logros)",""))</f>
        <v/>
      </c>
      <c r="S488" s="20">
        <f>IF(OR(A488="",N488&lt;&gt;"Sí",N(L488)&lt;=0),"",(N(L488)*100000-MAX(0,ROUND((N(M488)-DATE(2026,10,1))*1440,0)))*1000-ROW())</f>
        <v/>
      </c>
    </row>
    <row r="489">
      <c r="A489" s="19" t="n"/>
      <c r="B489" s="19" t="n"/>
      <c r="C489" s="19" t="n"/>
      <c r="D489" s="21" t="n"/>
      <c r="E489" s="19" t="n"/>
      <c r="F489" s="19" t="n"/>
      <c r="G489" s="22" t="n"/>
      <c r="H489" s="19" t="n"/>
      <c r="I489" s="19" t="n"/>
      <c r="J489" s="19" t="n"/>
      <c r="K489" s="19" t="n"/>
      <c r="L489" s="16">
        <f>IF(A489="","",SUMIF(Movimientos!$B$2:$B$3001,A489,Movimientos!$F$2:$F$3001))</f>
        <v/>
      </c>
      <c r="M489" s="17">
        <f>IF(A489="","",IF(COUNTIF(Movimientos!$B$2:$B$3001,A489)=0,"",_xlfn.MAXIFS(Movimientos!$A$2:$A$3001,Movimientos!$B$2:$B$3001,A489)))</f>
        <v/>
      </c>
      <c r="N489" s="18">
        <f>IF(A489="","",IF(AND(H489="Sí",I489="Sí",K489&lt;&gt;"Sí"),"Sí","No"))</f>
        <v/>
      </c>
      <c r="O489" s="18">
        <f>IF(S489="","",1+COUNTIFS($N$2:$N$501,"Sí",$S$2:$S$501,"&gt;"&amp;S489))</f>
        <v/>
      </c>
      <c r="P489" s="18">
        <f>IF(A489="","",INDEX(Logros!$A$2:$A$6,MATCH(N(L489),Logros!$C$2:$C$6,1)))</f>
        <v/>
      </c>
      <c r="Q489" s="19" t="n"/>
      <c r="R489" s="18">
        <f>IF(OR(A489="",P489=""),"",IF(P489&gt;N(Q489),"Sí: entregar nivel "&amp;(N(Q489)+1)&amp;IF(P489&gt;N(Q489)+1," al "&amp;P489,"")&amp;" (ver Logros)",""))</f>
        <v/>
      </c>
      <c r="S489" s="20">
        <f>IF(OR(A489="",N489&lt;&gt;"Sí",N(L489)&lt;=0),"",(N(L489)*100000-MAX(0,ROUND((N(M489)-DATE(2026,10,1))*1440,0)))*1000-ROW())</f>
        <v/>
      </c>
    </row>
    <row r="490">
      <c r="A490" s="19" t="n"/>
      <c r="B490" s="19" t="n"/>
      <c r="C490" s="19" t="n"/>
      <c r="D490" s="21" t="n"/>
      <c r="E490" s="19" t="n"/>
      <c r="F490" s="19" t="n"/>
      <c r="G490" s="22" t="n"/>
      <c r="H490" s="19" t="n"/>
      <c r="I490" s="19" t="n"/>
      <c r="J490" s="19" t="n"/>
      <c r="K490" s="19" t="n"/>
      <c r="L490" s="16">
        <f>IF(A490="","",SUMIF(Movimientos!$B$2:$B$3001,A490,Movimientos!$F$2:$F$3001))</f>
        <v/>
      </c>
      <c r="M490" s="17">
        <f>IF(A490="","",IF(COUNTIF(Movimientos!$B$2:$B$3001,A490)=0,"",_xlfn.MAXIFS(Movimientos!$A$2:$A$3001,Movimientos!$B$2:$B$3001,A490)))</f>
        <v/>
      </c>
      <c r="N490" s="18">
        <f>IF(A490="","",IF(AND(H490="Sí",I490="Sí",K490&lt;&gt;"Sí"),"Sí","No"))</f>
        <v/>
      </c>
      <c r="O490" s="18">
        <f>IF(S490="","",1+COUNTIFS($N$2:$N$501,"Sí",$S$2:$S$501,"&gt;"&amp;S490))</f>
        <v/>
      </c>
      <c r="P490" s="18">
        <f>IF(A490="","",INDEX(Logros!$A$2:$A$6,MATCH(N(L490),Logros!$C$2:$C$6,1)))</f>
        <v/>
      </c>
      <c r="Q490" s="19" t="n"/>
      <c r="R490" s="18">
        <f>IF(OR(A490="",P490=""),"",IF(P490&gt;N(Q490),"Sí: entregar nivel "&amp;(N(Q490)+1)&amp;IF(P490&gt;N(Q490)+1," al "&amp;P490,"")&amp;" (ver Logros)",""))</f>
        <v/>
      </c>
      <c r="S490" s="20">
        <f>IF(OR(A490="",N490&lt;&gt;"Sí",N(L490)&lt;=0),"",(N(L490)*100000-MAX(0,ROUND((N(M490)-DATE(2026,10,1))*1440,0)))*1000-ROW())</f>
        <v/>
      </c>
    </row>
    <row r="491">
      <c r="A491" s="19" t="n"/>
      <c r="B491" s="19" t="n"/>
      <c r="C491" s="19" t="n"/>
      <c r="D491" s="21" t="n"/>
      <c r="E491" s="19" t="n"/>
      <c r="F491" s="19" t="n"/>
      <c r="G491" s="22" t="n"/>
      <c r="H491" s="19" t="n"/>
      <c r="I491" s="19" t="n"/>
      <c r="J491" s="19" t="n"/>
      <c r="K491" s="19" t="n"/>
      <c r="L491" s="16">
        <f>IF(A491="","",SUMIF(Movimientos!$B$2:$B$3001,A491,Movimientos!$F$2:$F$3001))</f>
        <v/>
      </c>
      <c r="M491" s="17">
        <f>IF(A491="","",IF(COUNTIF(Movimientos!$B$2:$B$3001,A491)=0,"",_xlfn.MAXIFS(Movimientos!$A$2:$A$3001,Movimientos!$B$2:$B$3001,A491)))</f>
        <v/>
      </c>
      <c r="N491" s="18">
        <f>IF(A491="","",IF(AND(H491="Sí",I491="Sí",K491&lt;&gt;"Sí"),"Sí","No"))</f>
        <v/>
      </c>
      <c r="O491" s="18">
        <f>IF(S491="","",1+COUNTIFS($N$2:$N$501,"Sí",$S$2:$S$501,"&gt;"&amp;S491))</f>
        <v/>
      </c>
      <c r="P491" s="18">
        <f>IF(A491="","",INDEX(Logros!$A$2:$A$6,MATCH(N(L491),Logros!$C$2:$C$6,1)))</f>
        <v/>
      </c>
      <c r="Q491" s="19" t="n"/>
      <c r="R491" s="18">
        <f>IF(OR(A491="",P491=""),"",IF(P491&gt;N(Q491),"Sí: entregar nivel "&amp;(N(Q491)+1)&amp;IF(P491&gt;N(Q491)+1," al "&amp;P491,"")&amp;" (ver Logros)",""))</f>
        <v/>
      </c>
      <c r="S491" s="20">
        <f>IF(OR(A491="",N491&lt;&gt;"Sí",N(L491)&lt;=0),"",(N(L491)*100000-MAX(0,ROUND((N(M491)-DATE(2026,10,1))*1440,0)))*1000-ROW())</f>
        <v/>
      </c>
    </row>
    <row r="492">
      <c r="A492" s="19" t="n"/>
      <c r="B492" s="19" t="n"/>
      <c r="C492" s="19" t="n"/>
      <c r="D492" s="21" t="n"/>
      <c r="E492" s="19" t="n"/>
      <c r="F492" s="19" t="n"/>
      <c r="G492" s="22" t="n"/>
      <c r="H492" s="19" t="n"/>
      <c r="I492" s="19" t="n"/>
      <c r="J492" s="19" t="n"/>
      <c r="K492" s="19" t="n"/>
      <c r="L492" s="16">
        <f>IF(A492="","",SUMIF(Movimientos!$B$2:$B$3001,A492,Movimientos!$F$2:$F$3001))</f>
        <v/>
      </c>
      <c r="M492" s="17">
        <f>IF(A492="","",IF(COUNTIF(Movimientos!$B$2:$B$3001,A492)=0,"",_xlfn.MAXIFS(Movimientos!$A$2:$A$3001,Movimientos!$B$2:$B$3001,A492)))</f>
        <v/>
      </c>
      <c r="N492" s="18">
        <f>IF(A492="","",IF(AND(H492="Sí",I492="Sí",K492&lt;&gt;"Sí"),"Sí","No"))</f>
        <v/>
      </c>
      <c r="O492" s="18">
        <f>IF(S492="","",1+COUNTIFS($N$2:$N$501,"Sí",$S$2:$S$501,"&gt;"&amp;S492))</f>
        <v/>
      </c>
      <c r="P492" s="18">
        <f>IF(A492="","",INDEX(Logros!$A$2:$A$6,MATCH(N(L492),Logros!$C$2:$C$6,1)))</f>
        <v/>
      </c>
      <c r="Q492" s="19" t="n"/>
      <c r="R492" s="18">
        <f>IF(OR(A492="",P492=""),"",IF(P492&gt;N(Q492),"Sí: entregar nivel "&amp;(N(Q492)+1)&amp;IF(P492&gt;N(Q492)+1," al "&amp;P492,"")&amp;" (ver Logros)",""))</f>
        <v/>
      </c>
      <c r="S492" s="20">
        <f>IF(OR(A492="",N492&lt;&gt;"Sí",N(L492)&lt;=0),"",(N(L492)*100000-MAX(0,ROUND((N(M492)-DATE(2026,10,1))*1440,0)))*1000-ROW())</f>
        <v/>
      </c>
    </row>
    <row r="493">
      <c r="A493" s="19" t="n"/>
      <c r="B493" s="19" t="n"/>
      <c r="C493" s="19" t="n"/>
      <c r="D493" s="21" t="n"/>
      <c r="E493" s="19" t="n"/>
      <c r="F493" s="19" t="n"/>
      <c r="G493" s="22" t="n"/>
      <c r="H493" s="19" t="n"/>
      <c r="I493" s="19" t="n"/>
      <c r="J493" s="19" t="n"/>
      <c r="K493" s="19" t="n"/>
      <c r="L493" s="16">
        <f>IF(A493="","",SUMIF(Movimientos!$B$2:$B$3001,A493,Movimientos!$F$2:$F$3001))</f>
        <v/>
      </c>
      <c r="M493" s="17">
        <f>IF(A493="","",IF(COUNTIF(Movimientos!$B$2:$B$3001,A493)=0,"",_xlfn.MAXIFS(Movimientos!$A$2:$A$3001,Movimientos!$B$2:$B$3001,A493)))</f>
        <v/>
      </c>
      <c r="N493" s="18">
        <f>IF(A493="","",IF(AND(H493="Sí",I493="Sí",K493&lt;&gt;"Sí"),"Sí","No"))</f>
        <v/>
      </c>
      <c r="O493" s="18">
        <f>IF(S493="","",1+COUNTIFS($N$2:$N$501,"Sí",$S$2:$S$501,"&gt;"&amp;S493))</f>
        <v/>
      </c>
      <c r="P493" s="18">
        <f>IF(A493="","",INDEX(Logros!$A$2:$A$6,MATCH(N(L493),Logros!$C$2:$C$6,1)))</f>
        <v/>
      </c>
      <c r="Q493" s="19" t="n"/>
      <c r="R493" s="18">
        <f>IF(OR(A493="",P493=""),"",IF(P493&gt;N(Q493),"Sí: entregar nivel "&amp;(N(Q493)+1)&amp;IF(P493&gt;N(Q493)+1," al "&amp;P493,"")&amp;" (ver Logros)",""))</f>
        <v/>
      </c>
      <c r="S493" s="20">
        <f>IF(OR(A493="",N493&lt;&gt;"Sí",N(L493)&lt;=0),"",(N(L493)*100000-MAX(0,ROUND((N(M493)-DATE(2026,10,1))*1440,0)))*1000-ROW())</f>
        <v/>
      </c>
    </row>
    <row r="494">
      <c r="A494" s="19" t="n"/>
      <c r="B494" s="19" t="n"/>
      <c r="C494" s="19" t="n"/>
      <c r="D494" s="21" t="n"/>
      <c r="E494" s="19" t="n"/>
      <c r="F494" s="19" t="n"/>
      <c r="G494" s="22" t="n"/>
      <c r="H494" s="19" t="n"/>
      <c r="I494" s="19" t="n"/>
      <c r="J494" s="19" t="n"/>
      <c r="K494" s="19" t="n"/>
      <c r="L494" s="16">
        <f>IF(A494="","",SUMIF(Movimientos!$B$2:$B$3001,A494,Movimientos!$F$2:$F$3001))</f>
        <v/>
      </c>
      <c r="M494" s="17">
        <f>IF(A494="","",IF(COUNTIF(Movimientos!$B$2:$B$3001,A494)=0,"",_xlfn.MAXIFS(Movimientos!$A$2:$A$3001,Movimientos!$B$2:$B$3001,A494)))</f>
        <v/>
      </c>
      <c r="N494" s="18">
        <f>IF(A494="","",IF(AND(H494="Sí",I494="Sí",K494&lt;&gt;"Sí"),"Sí","No"))</f>
        <v/>
      </c>
      <c r="O494" s="18">
        <f>IF(S494="","",1+COUNTIFS($N$2:$N$501,"Sí",$S$2:$S$501,"&gt;"&amp;S494))</f>
        <v/>
      </c>
      <c r="P494" s="18">
        <f>IF(A494="","",INDEX(Logros!$A$2:$A$6,MATCH(N(L494),Logros!$C$2:$C$6,1)))</f>
        <v/>
      </c>
      <c r="Q494" s="19" t="n"/>
      <c r="R494" s="18">
        <f>IF(OR(A494="",P494=""),"",IF(P494&gt;N(Q494),"Sí: entregar nivel "&amp;(N(Q494)+1)&amp;IF(P494&gt;N(Q494)+1," al "&amp;P494,"")&amp;" (ver Logros)",""))</f>
        <v/>
      </c>
      <c r="S494" s="20">
        <f>IF(OR(A494="",N494&lt;&gt;"Sí",N(L494)&lt;=0),"",(N(L494)*100000-MAX(0,ROUND((N(M494)-DATE(2026,10,1))*1440,0)))*1000-ROW())</f>
        <v/>
      </c>
    </row>
    <row r="495">
      <c r="A495" s="19" t="n"/>
      <c r="B495" s="19" t="n"/>
      <c r="C495" s="19" t="n"/>
      <c r="D495" s="21" t="n"/>
      <c r="E495" s="19" t="n"/>
      <c r="F495" s="19" t="n"/>
      <c r="G495" s="22" t="n"/>
      <c r="H495" s="19" t="n"/>
      <c r="I495" s="19" t="n"/>
      <c r="J495" s="19" t="n"/>
      <c r="K495" s="19" t="n"/>
      <c r="L495" s="16">
        <f>IF(A495="","",SUMIF(Movimientos!$B$2:$B$3001,A495,Movimientos!$F$2:$F$3001))</f>
        <v/>
      </c>
      <c r="M495" s="17">
        <f>IF(A495="","",IF(COUNTIF(Movimientos!$B$2:$B$3001,A495)=0,"",_xlfn.MAXIFS(Movimientos!$A$2:$A$3001,Movimientos!$B$2:$B$3001,A495)))</f>
        <v/>
      </c>
      <c r="N495" s="18">
        <f>IF(A495="","",IF(AND(H495="Sí",I495="Sí",K495&lt;&gt;"Sí"),"Sí","No"))</f>
        <v/>
      </c>
      <c r="O495" s="18">
        <f>IF(S495="","",1+COUNTIFS($N$2:$N$501,"Sí",$S$2:$S$501,"&gt;"&amp;S495))</f>
        <v/>
      </c>
      <c r="P495" s="18">
        <f>IF(A495="","",INDEX(Logros!$A$2:$A$6,MATCH(N(L495),Logros!$C$2:$C$6,1)))</f>
        <v/>
      </c>
      <c r="Q495" s="19" t="n"/>
      <c r="R495" s="18">
        <f>IF(OR(A495="",P495=""),"",IF(P495&gt;N(Q495),"Sí: entregar nivel "&amp;(N(Q495)+1)&amp;IF(P495&gt;N(Q495)+1," al "&amp;P495,"")&amp;" (ver Logros)",""))</f>
        <v/>
      </c>
      <c r="S495" s="20">
        <f>IF(OR(A495="",N495&lt;&gt;"Sí",N(L495)&lt;=0),"",(N(L495)*100000-MAX(0,ROUND((N(M495)-DATE(2026,10,1))*1440,0)))*1000-ROW())</f>
        <v/>
      </c>
    </row>
    <row r="496">
      <c r="A496" s="19" t="n"/>
      <c r="B496" s="19" t="n"/>
      <c r="C496" s="19" t="n"/>
      <c r="D496" s="21" t="n"/>
      <c r="E496" s="19" t="n"/>
      <c r="F496" s="19" t="n"/>
      <c r="G496" s="22" t="n"/>
      <c r="H496" s="19" t="n"/>
      <c r="I496" s="19" t="n"/>
      <c r="J496" s="19" t="n"/>
      <c r="K496" s="19" t="n"/>
      <c r="L496" s="16">
        <f>IF(A496="","",SUMIF(Movimientos!$B$2:$B$3001,A496,Movimientos!$F$2:$F$3001))</f>
        <v/>
      </c>
      <c r="M496" s="17">
        <f>IF(A496="","",IF(COUNTIF(Movimientos!$B$2:$B$3001,A496)=0,"",_xlfn.MAXIFS(Movimientos!$A$2:$A$3001,Movimientos!$B$2:$B$3001,A496)))</f>
        <v/>
      </c>
      <c r="N496" s="18">
        <f>IF(A496="","",IF(AND(H496="Sí",I496="Sí",K496&lt;&gt;"Sí"),"Sí","No"))</f>
        <v/>
      </c>
      <c r="O496" s="18">
        <f>IF(S496="","",1+COUNTIFS($N$2:$N$501,"Sí",$S$2:$S$501,"&gt;"&amp;S496))</f>
        <v/>
      </c>
      <c r="P496" s="18">
        <f>IF(A496="","",INDEX(Logros!$A$2:$A$6,MATCH(N(L496),Logros!$C$2:$C$6,1)))</f>
        <v/>
      </c>
      <c r="Q496" s="19" t="n"/>
      <c r="R496" s="18">
        <f>IF(OR(A496="",P496=""),"",IF(P496&gt;N(Q496),"Sí: entregar nivel "&amp;(N(Q496)+1)&amp;IF(P496&gt;N(Q496)+1," al "&amp;P496,"")&amp;" (ver Logros)",""))</f>
        <v/>
      </c>
      <c r="S496" s="20">
        <f>IF(OR(A496="",N496&lt;&gt;"Sí",N(L496)&lt;=0),"",(N(L496)*100000-MAX(0,ROUND((N(M496)-DATE(2026,10,1))*1440,0)))*1000-ROW())</f>
        <v/>
      </c>
    </row>
    <row r="497">
      <c r="A497" s="19" t="n"/>
      <c r="B497" s="19" t="n"/>
      <c r="C497" s="19" t="n"/>
      <c r="D497" s="21" t="n"/>
      <c r="E497" s="19" t="n"/>
      <c r="F497" s="19" t="n"/>
      <c r="G497" s="22" t="n"/>
      <c r="H497" s="19" t="n"/>
      <c r="I497" s="19" t="n"/>
      <c r="J497" s="19" t="n"/>
      <c r="K497" s="19" t="n"/>
      <c r="L497" s="16">
        <f>IF(A497="","",SUMIF(Movimientos!$B$2:$B$3001,A497,Movimientos!$F$2:$F$3001))</f>
        <v/>
      </c>
      <c r="M497" s="17">
        <f>IF(A497="","",IF(COUNTIF(Movimientos!$B$2:$B$3001,A497)=0,"",_xlfn.MAXIFS(Movimientos!$A$2:$A$3001,Movimientos!$B$2:$B$3001,A497)))</f>
        <v/>
      </c>
      <c r="N497" s="18">
        <f>IF(A497="","",IF(AND(H497="Sí",I497="Sí",K497&lt;&gt;"Sí"),"Sí","No"))</f>
        <v/>
      </c>
      <c r="O497" s="18">
        <f>IF(S497="","",1+COUNTIFS($N$2:$N$501,"Sí",$S$2:$S$501,"&gt;"&amp;S497))</f>
        <v/>
      </c>
      <c r="P497" s="18">
        <f>IF(A497="","",INDEX(Logros!$A$2:$A$6,MATCH(N(L497),Logros!$C$2:$C$6,1)))</f>
        <v/>
      </c>
      <c r="Q497" s="19" t="n"/>
      <c r="R497" s="18">
        <f>IF(OR(A497="",P497=""),"",IF(P497&gt;N(Q497),"Sí: entregar nivel "&amp;(N(Q497)+1)&amp;IF(P497&gt;N(Q497)+1," al "&amp;P497,"")&amp;" (ver Logros)",""))</f>
        <v/>
      </c>
      <c r="S497" s="20">
        <f>IF(OR(A497="",N497&lt;&gt;"Sí",N(L497)&lt;=0),"",(N(L497)*100000-MAX(0,ROUND((N(M497)-DATE(2026,10,1))*1440,0)))*1000-ROW())</f>
        <v/>
      </c>
    </row>
    <row r="498">
      <c r="A498" s="19" t="n"/>
      <c r="B498" s="19" t="n"/>
      <c r="C498" s="19" t="n"/>
      <c r="D498" s="21" t="n"/>
      <c r="E498" s="19" t="n"/>
      <c r="F498" s="19" t="n"/>
      <c r="G498" s="22" t="n"/>
      <c r="H498" s="19" t="n"/>
      <c r="I498" s="19" t="n"/>
      <c r="J498" s="19" t="n"/>
      <c r="K498" s="19" t="n"/>
      <c r="L498" s="16">
        <f>IF(A498="","",SUMIF(Movimientos!$B$2:$B$3001,A498,Movimientos!$F$2:$F$3001))</f>
        <v/>
      </c>
      <c r="M498" s="17">
        <f>IF(A498="","",IF(COUNTIF(Movimientos!$B$2:$B$3001,A498)=0,"",_xlfn.MAXIFS(Movimientos!$A$2:$A$3001,Movimientos!$B$2:$B$3001,A498)))</f>
        <v/>
      </c>
      <c r="N498" s="18">
        <f>IF(A498="","",IF(AND(H498="Sí",I498="Sí",K498&lt;&gt;"Sí"),"Sí","No"))</f>
        <v/>
      </c>
      <c r="O498" s="18">
        <f>IF(S498="","",1+COUNTIFS($N$2:$N$501,"Sí",$S$2:$S$501,"&gt;"&amp;S498))</f>
        <v/>
      </c>
      <c r="P498" s="18">
        <f>IF(A498="","",INDEX(Logros!$A$2:$A$6,MATCH(N(L498),Logros!$C$2:$C$6,1)))</f>
        <v/>
      </c>
      <c r="Q498" s="19" t="n"/>
      <c r="R498" s="18">
        <f>IF(OR(A498="",P498=""),"",IF(P498&gt;N(Q498),"Sí: entregar nivel "&amp;(N(Q498)+1)&amp;IF(P498&gt;N(Q498)+1," al "&amp;P498,"")&amp;" (ver Logros)",""))</f>
        <v/>
      </c>
      <c r="S498" s="20">
        <f>IF(OR(A498="",N498&lt;&gt;"Sí",N(L498)&lt;=0),"",(N(L498)*100000-MAX(0,ROUND((N(M498)-DATE(2026,10,1))*1440,0)))*1000-ROW())</f>
        <v/>
      </c>
    </row>
    <row r="499">
      <c r="A499" s="19" t="n"/>
      <c r="B499" s="19" t="n"/>
      <c r="C499" s="19" t="n"/>
      <c r="D499" s="21" t="n"/>
      <c r="E499" s="19" t="n"/>
      <c r="F499" s="19" t="n"/>
      <c r="G499" s="22" t="n"/>
      <c r="H499" s="19" t="n"/>
      <c r="I499" s="19" t="n"/>
      <c r="J499" s="19" t="n"/>
      <c r="K499" s="19" t="n"/>
      <c r="L499" s="16">
        <f>IF(A499="","",SUMIF(Movimientos!$B$2:$B$3001,A499,Movimientos!$F$2:$F$3001))</f>
        <v/>
      </c>
      <c r="M499" s="17">
        <f>IF(A499="","",IF(COUNTIF(Movimientos!$B$2:$B$3001,A499)=0,"",_xlfn.MAXIFS(Movimientos!$A$2:$A$3001,Movimientos!$B$2:$B$3001,A499)))</f>
        <v/>
      </c>
      <c r="N499" s="18">
        <f>IF(A499="","",IF(AND(H499="Sí",I499="Sí",K499&lt;&gt;"Sí"),"Sí","No"))</f>
        <v/>
      </c>
      <c r="O499" s="18">
        <f>IF(S499="","",1+COUNTIFS($N$2:$N$501,"Sí",$S$2:$S$501,"&gt;"&amp;S499))</f>
        <v/>
      </c>
      <c r="P499" s="18">
        <f>IF(A499="","",INDEX(Logros!$A$2:$A$6,MATCH(N(L499),Logros!$C$2:$C$6,1)))</f>
        <v/>
      </c>
      <c r="Q499" s="19" t="n"/>
      <c r="R499" s="18">
        <f>IF(OR(A499="",P499=""),"",IF(P499&gt;N(Q499),"Sí: entregar nivel "&amp;(N(Q499)+1)&amp;IF(P499&gt;N(Q499)+1," al "&amp;P499,"")&amp;" (ver Logros)",""))</f>
        <v/>
      </c>
      <c r="S499" s="20">
        <f>IF(OR(A499="",N499&lt;&gt;"Sí",N(L499)&lt;=0),"",(N(L499)*100000-MAX(0,ROUND((N(M499)-DATE(2026,10,1))*1440,0)))*1000-ROW())</f>
        <v/>
      </c>
    </row>
    <row r="500">
      <c r="A500" s="19" t="n"/>
      <c r="B500" s="19" t="n"/>
      <c r="C500" s="19" t="n"/>
      <c r="D500" s="21" t="n"/>
      <c r="E500" s="19" t="n"/>
      <c r="F500" s="19" t="n"/>
      <c r="G500" s="22" t="n"/>
      <c r="H500" s="19" t="n"/>
      <c r="I500" s="19" t="n"/>
      <c r="J500" s="19" t="n"/>
      <c r="K500" s="19" t="n"/>
      <c r="L500" s="16">
        <f>IF(A500="","",SUMIF(Movimientos!$B$2:$B$3001,A500,Movimientos!$F$2:$F$3001))</f>
        <v/>
      </c>
      <c r="M500" s="17">
        <f>IF(A500="","",IF(COUNTIF(Movimientos!$B$2:$B$3001,A500)=0,"",_xlfn.MAXIFS(Movimientos!$A$2:$A$3001,Movimientos!$B$2:$B$3001,A500)))</f>
        <v/>
      </c>
      <c r="N500" s="18">
        <f>IF(A500="","",IF(AND(H500="Sí",I500="Sí",K500&lt;&gt;"Sí"),"Sí","No"))</f>
        <v/>
      </c>
      <c r="O500" s="18">
        <f>IF(S500="","",1+COUNTIFS($N$2:$N$501,"Sí",$S$2:$S$501,"&gt;"&amp;S500))</f>
        <v/>
      </c>
      <c r="P500" s="18">
        <f>IF(A500="","",INDEX(Logros!$A$2:$A$6,MATCH(N(L500),Logros!$C$2:$C$6,1)))</f>
        <v/>
      </c>
      <c r="Q500" s="19" t="n"/>
      <c r="R500" s="18">
        <f>IF(OR(A500="",P500=""),"",IF(P500&gt;N(Q500),"Sí: entregar nivel "&amp;(N(Q500)+1)&amp;IF(P500&gt;N(Q500)+1," al "&amp;P500,"")&amp;" (ver Logros)",""))</f>
        <v/>
      </c>
      <c r="S500" s="20">
        <f>IF(OR(A500="",N500&lt;&gt;"Sí",N(L500)&lt;=0),"",(N(L500)*100000-MAX(0,ROUND((N(M500)-DATE(2026,10,1))*1440,0)))*1000-ROW())</f>
        <v/>
      </c>
    </row>
    <row r="501">
      <c r="A501" s="19" t="n"/>
      <c r="B501" s="19" t="n"/>
      <c r="C501" s="19" t="n"/>
      <c r="D501" s="21" t="n"/>
      <c r="E501" s="19" t="n"/>
      <c r="F501" s="19" t="n"/>
      <c r="G501" s="22" t="n"/>
      <c r="H501" s="19" t="n"/>
      <c r="I501" s="19" t="n"/>
      <c r="J501" s="19" t="n"/>
      <c r="K501" s="19" t="n"/>
      <c r="L501" s="16">
        <f>IF(A501="","",SUMIF(Movimientos!$B$2:$B$3001,A501,Movimientos!$F$2:$F$3001))</f>
        <v/>
      </c>
      <c r="M501" s="17">
        <f>IF(A501="","",IF(COUNTIF(Movimientos!$B$2:$B$3001,A501)=0,"",_xlfn.MAXIFS(Movimientos!$A$2:$A$3001,Movimientos!$B$2:$B$3001,A501)))</f>
        <v/>
      </c>
      <c r="N501" s="18">
        <f>IF(A501="","",IF(AND(H501="Sí",I501="Sí",K501&lt;&gt;"Sí"),"Sí","No"))</f>
        <v/>
      </c>
      <c r="O501" s="18">
        <f>IF(S501="","",1+COUNTIFS($N$2:$N$501,"Sí",$S$2:$S$501,"&gt;"&amp;S501))</f>
        <v/>
      </c>
      <c r="P501" s="18">
        <f>IF(A501="","",INDEX(Logros!$A$2:$A$6,MATCH(N(L501),Logros!$C$2:$C$6,1)))</f>
        <v/>
      </c>
      <c r="Q501" s="19" t="n"/>
      <c r="R501" s="18">
        <f>IF(OR(A501="",P501=""),"",IF(P501&gt;N(Q501),"Sí: entregar nivel "&amp;(N(Q501)+1)&amp;IF(P501&gt;N(Q501)+1," al "&amp;P501,"")&amp;" (ver Logros)",""))</f>
        <v/>
      </c>
      <c r="S501" s="20">
        <f>IF(OR(A501="",N501&lt;&gt;"Sí",N(L501)&lt;=0),"",(N(L501)*100000-MAX(0,ROUND((N(M501)-DATE(2026,10,1))*1440,0)))*1000-ROW())</f>
        <v/>
      </c>
    </row>
  </sheetData>
  <conditionalFormatting sqref="R2:R501">
    <cfRule type="expression" priority="1" dxfId="0">
      <formula>LEFT(R2,2)="Sí"</formula>
    </cfRule>
  </conditionalFormatting>
  <conditionalFormatting sqref="A2:A501">
    <cfRule type="expression" priority="2" dxfId="1">
      <formula>AND(A2&lt;&gt;"",COUNTIF($A$2:$A$501,A2)&gt;1)</formula>
    </cfRule>
  </conditionalFormatting>
  <conditionalFormatting sqref="D2:D501">
    <cfRule type="expression" priority="3" dxfId="1">
      <formula>AND(D2&lt;&gt;"",COUNTIF($D$2:$D$501,D2)&gt;1)</formula>
    </cfRule>
  </conditionalFormatting>
  <dataValidations count="2">
    <dataValidation sqref="H2:H501 I2:I501 K2:K501" showDropDown="0" showInputMessage="0" showErrorMessage="0" allowBlank="1" type="list">
      <formula1>"Sí,No"</formula1>
    </dataValidation>
    <dataValidation sqref="Q2:Q501" showDropDown="0" showInputMessage="0" showErrorMessage="0" allowBlank="1" type="whole" operator="between">
      <formula1>0</formula1>
      <formula2>4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2" customWidth="1" min="3" max="3"/>
    <col width="36" customWidth="1" min="4" max="4"/>
    <col width="10" customWidth="1" min="5" max="5"/>
    <col width="9" customWidth="1" min="6" max="6"/>
    <col width="14" customWidth="1" min="7" max="7"/>
    <col width="44" customWidth="1" min="8" max="8"/>
  </cols>
  <sheetData>
    <row r="1" ht="32" customHeight="1">
      <c r="A1" s="6" t="inlineStr">
        <is>
          <t>Fecha y hora</t>
        </is>
      </c>
      <c r="B1" s="6" t="inlineStr">
        <is>
          <t>ID jugador</t>
        </is>
      </c>
      <c r="C1" s="6" t="inlineStr">
        <is>
          <t>Alias (automático)</t>
        </is>
      </c>
      <c r="D1" s="6" t="inlineStr">
        <is>
          <t>Acción</t>
        </is>
      </c>
      <c r="E1" s="6" t="inlineStr">
        <is>
          <t>Cantidad</t>
        </is>
      </c>
      <c r="F1" s="6" t="inlineStr">
        <is>
          <t>XP</t>
        </is>
      </c>
      <c r="G1" s="6" t="inlineStr">
        <is>
          <t>Registró</t>
        </is>
      </c>
      <c r="H1" s="6" t="inlineStr">
        <is>
          <t>Evidencia / nota</t>
        </is>
      </c>
    </row>
    <row r="2">
      <c r="A2" s="15" t="n">
        <v>46315.77152777778</v>
      </c>
      <c r="B2" s="13" t="inlineStr">
        <is>
          <t>#0001</t>
        </is>
      </c>
      <c r="C2" s="18">
        <f>IF(B2="","",IFERROR(INDEX(Jugadores!$C$2:$C$501,MATCH(B2,Jugadores!$A$2:$A$501,0)),"⚠ ID no existe"))</f>
        <v/>
      </c>
      <c r="D2" s="13" t="inlineStr">
        <is>
          <t>Registro</t>
        </is>
      </c>
      <c r="E2" s="13" t="n">
        <v>1</v>
      </c>
      <c r="F2" s="16">
        <f>IF(OR(B2="",D2=""),"",IFERROR(INDEX('Tabla XP'!$B$2:$B$12,MATCH(D2,'Tabla XP'!$A$2:$A$12,0))*IF(E2="",1,E2),0))</f>
        <v/>
      </c>
      <c r="G2" s="13" t="inlineStr">
        <is>
          <t>Diego</t>
        </is>
      </c>
      <c r="H2" s="13" t="inlineStr">
        <is>
          <t>Formulario</t>
        </is>
      </c>
    </row>
    <row r="3">
      <c r="A3" s="15" t="n">
        <v>46327.79513888889</v>
      </c>
      <c r="B3" s="13" t="inlineStr">
        <is>
          <t>#0001</t>
        </is>
      </c>
      <c r="C3" s="18">
        <f>IF(B3="","",IFERROR(INDEX(Jugadores!$C$2:$C$501,MATCH(B3,Jugadores!$A$2:$A$501,0)),"⚠ ID no existe"))</f>
        <v/>
      </c>
      <c r="D3" s="13" t="inlineStr">
        <is>
          <t>Pedido</t>
        </is>
      </c>
      <c r="E3" s="13" t="n">
        <v>1</v>
      </c>
      <c r="F3" s="16">
        <f>IF(OR(B3="",D3=""),"",IFERROR(INDEX('Tabla XP'!$B$2:$B$12,MATCH(D3,'Tabla XP'!$A$2:$A$12,0))*IF(E3="",1,E3),0))</f>
        <v/>
      </c>
      <c r="G3" s="13" t="inlineStr">
        <is>
          <t>Diego</t>
        </is>
      </c>
      <c r="H3" s="13" t="inlineStr">
        <is>
          <t>Ticket 0012</t>
        </is>
      </c>
    </row>
    <row r="4">
      <c r="A4" s="15" t="n">
        <v>46327.79513888889</v>
      </c>
      <c r="B4" s="13" t="inlineStr">
        <is>
          <t>#0001</t>
        </is>
      </c>
      <c r="C4" s="18">
        <f>IF(B4="","",IFERROR(INDEX(Jugadores!$C$2:$C$501,MATCH(B4,Jugadores!$A$2:$A$501,0)),"⚠ ID no existe"))</f>
        <v/>
      </c>
      <c r="D4" s="13" t="inlineStr">
        <is>
          <t>Hamburguesa adicional en el pedido</t>
        </is>
      </c>
      <c r="E4" s="13" t="n">
        <v>1</v>
      </c>
      <c r="F4" s="16">
        <f>IF(OR(B4="",D4=""),"",IFERROR(INDEX('Tabla XP'!$B$2:$B$12,MATCH(D4,'Tabla XP'!$A$2:$A$12,0))*IF(E4="",1,E4),0))</f>
        <v/>
      </c>
      <c r="G4" s="13" t="inlineStr">
        <is>
          <t>Diego</t>
        </is>
      </c>
      <c r="H4" s="13" t="inlineStr">
        <is>
          <t>Ticket 0012</t>
        </is>
      </c>
    </row>
    <row r="5">
      <c r="A5" s="15" t="n">
        <v>46327.79513888889</v>
      </c>
      <c r="B5" s="13" t="inlineStr">
        <is>
          <t>#0001</t>
        </is>
      </c>
      <c r="C5" s="18">
        <f>IF(B5="","",IFERROR(INDEX(Jugadores!$C$2:$C$501,MATCH(B5,Jugadores!$A$2:$A$501,0)),"⚠ ID no existe"))</f>
        <v/>
      </c>
      <c r="D5" s="13" t="inlineStr">
        <is>
          <t>Bonus Montañera</t>
        </is>
      </c>
      <c r="E5" s="13" t="n">
        <v>1</v>
      </c>
      <c r="F5" s="16">
        <f>IF(OR(B5="",D5=""),"",IFERROR(INDEX('Tabla XP'!$B$2:$B$12,MATCH(D5,'Tabla XP'!$A$2:$A$12,0))*IF(E5="",1,E5),0))</f>
        <v/>
      </c>
      <c r="G5" s="13" t="inlineStr">
        <is>
          <t>Diego</t>
        </is>
      </c>
      <c r="H5" s="13" t="inlineStr">
        <is>
          <t>Ticket 0012</t>
        </is>
      </c>
    </row>
    <row r="6">
      <c r="A6" s="22" t="n"/>
      <c r="B6" s="19" t="n"/>
      <c r="C6" s="18">
        <f>IF(B6="","",IFERROR(INDEX(Jugadores!$C$2:$C$501,MATCH(B6,Jugadores!$A$2:$A$501,0)),"⚠ ID no existe"))</f>
        <v/>
      </c>
      <c r="D6" s="19" t="n"/>
      <c r="E6" s="19" t="n"/>
      <c r="F6" s="16">
        <f>IF(OR(B6="",D6=""),"",IFERROR(INDEX('Tabla XP'!$B$2:$B$12,MATCH(D6,'Tabla XP'!$A$2:$A$12,0))*IF(E6="",1,E6),0))</f>
        <v/>
      </c>
      <c r="G6" s="19" t="n"/>
      <c r="H6" s="19" t="n"/>
    </row>
    <row r="7">
      <c r="A7" s="22" t="n"/>
      <c r="B7" s="19" t="n"/>
      <c r="C7" s="18">
        <f>IF(B7="","",IFERROR(INDEX(Jugadores!$C$2:$C$501,MATCH(B7,Jugadores!$A$2:$A$501,0)),"⚠ ID no existe"))</f>
        <v/>
      </c>
      <c r="D7" s="19" t="n"/>
      <c r="E7" s="19" t="n"/>
      <c r="F7" s="16">
        <f>IF(OR(B7="",D7=""),"",IFERROR(INDEX('Tabla XP'!$B$2:$B$12,MATCH(D7,'Tabla XP'!$A$2:$A$12,0))*IF(E7="",1,E7),0))</f>
        <v/>
      </c>
      <c r="G7" s="19" t="n"/>
      <c r="H7" s="19" t="n"/>
    </row>
    <row r="8">
      <c r="A8" s="22" t="n"/>
      <c r="B8" s="19" t="n"/>
      <c r="C8" s="18">
        <f>IF(B8="","",IFERROR(INDEX(Jugadores!$C$2:$C$501,MATCH(B8,Jugadores!$A$2:$A$501,0)),"⚠ ID no existe"))</f>
        <v/>
      </c>
      <c r="D8" s="19" t="n"/>
      <c r="E8" s="19" t="n"/>
      <c r="F8" s="16">
        <f>IF(OR(B8="",D8=""),"",IFERROR(INDEX('Tabla XP'!$B$2:$B$12,MATCH(D8,'Tabla XP'!$A$2:$A$12,0))*IF(E8="",1,E8),0))</f>
        <v/>
      </c>
      <c r="G8" s="19" t="n"/>
      <c r="H8" s="19" t="n"/>
    </row>
    <row r="9">
      <c r="A9" s="22" t="n"/>
      <c r="B9" s="19" t="n"/>
      <c r="C9" s="18">
        <f>IF(B9="","",IFERROR(INDEX(Jugadores!$C$2:$C$501,MATCH(B9,Jugadores!$A$2:$A$501,0)),"⚠ ID no existe"))</f>
        <v/>
      </c>
      <c r="D9" s="19" t="n"/>
      <c r="E9" s="19" t="n"/>
      <c r="F9" s="16">
        <f>IF(OR(B9="",D9=""),"",IFERROR(INDEX('Tabla XP'!$B$2:$B$12,MATCH(D9,'Tabla XP'!$A$2:$A$12,0))*IF(E9="",1,E9),0))</f>
        <v/>
      </c>
      <c r="G9" s="19" t="n"/>
      <c r="H9" s="19" t="n"/>
    </row>
    <row r="10">
      <c r="A10" s="22" t="n"/>
      <c r="B10" s="19" t="n"/>
      <c r="C10" s="18">
        <f>IF(B10="","",IFERROR(INDEX(Jugadores!$C$2:$C$501,MATCH(B10,Jugadores!$A$2:$A$501,0)),"⚠ ID no existe"))</f>
        <v/>
      </c>
      <c r="D10" s="19" t="n"/>
      <c r="E10" s="19" t="n"/>
      <c r="F10" s="16">
        <f>IF(OR(B10="",D10=""),"",IFERROR(INDEX('Tabla XP'!$B$2:$B$12,MATCH(D10,'Tabla XP'!$A$2:$A$12,0))*IF(E10="",1,E10),0))</f>
        <v/>
      </c>
      <c r="G10" s="19" t="n"/>
      <c r="H10" s="19" t="n"/>
    </row>
    <row r="11">
      <c r="A11" s="22" t="n"/>
      <c r="B11" s="19" t="n"/>
      <c r="C11" s="18">
        <f>IF(B11="","",IFERROR(INDEX(Jugadores!$C$2:$C$501,MATCH(B11,Jugadores!$A$2:$A$501,0)),"⚠ ID no existe"))</f>
        <v/>
      </c>
      <c r="D11" s="19" t="n"/>
      <c r="E11" s="19" t="n"/>
      <c r="F11" s="16">
        <f>IF(OR(B11="",D11=""),"",IFERROR(INDEX('Tabla XP'!$B$2:$B$12,MATCH(D11,'Tabla XP'!$A$2:$A$12,0))*IF(E11="",1,E11),0))</f>
        <v/>
      </c>
      <c r="G11" s="19" t="n"/>
      <c r="H11" s="19" t="n"/>
    </row>
    <row r="12">
      <c r="A12" s="22" t="n"/>
      <c r="B12" s="19" t="n"/>
      <c r="C12" s="18">
        <f>IF(B12="","",IFERROR(INDEX(Jugadores!$C$2:$C$501,MATCH(B12,Jugadores!$A$2:$A$501,0)),"⚠ ID no existe"))</f>
        <v/>
      </c>
      <c r="D12" s="19" t="n"/>
      <c r="E12" s="19" t="n"/>
      <c r="F12" s="16">
        <f>IF(OR(B12="",D12=""),"",IFERROR(INDEX('Tabla XP'!$B$2:$B$12,MATCH(D12,'Tabla XP'!$A$2:$A$12,0))*IF(E12="",1,E12),0))</f>
        <v/>
      </c>
      <c r="G12" s="19" t="n"/>
      <c r="H12" s="19" t="n"/>
    </row>
    <row r="13">
      <c r="A13" s="22" t="n"/>
      <c r="B13" s="19" t="n"/>
      <c r="C13" s="18">
        <f>IF(B13="","",IFERROR(INDEX(Jugadores!$C$2:$C$501,MATCH(B13,Jugadores!$A$2:$A$501,0)),"⚠ ID no existe"))</f>
        <v/>
      </c>
      <c r="D13" s="19" t="n"/>
      <c r="E13" s="19" t="n"/>
      <c r="F13" s="16">
        <f>IF(OR(B13="",D13=""),"",IFERROR(INDEX('Tabla XP'!$B$2:$B$12,MATCH(D13,'Tabla XP'!$A$2:$A$12,0))*IF(E13="",1,E13),0))</f>
        <v/>
      </c>
      <c r="G13" s="19" t="n"/>
      <c r="H13" s="19" t="n"/>
    </row>
    <row r="14">
      <c r="A14" s="22" t="n"/>
      <c r="B14" s="19" t="n"/>
      <c r="C14" s="18">
        <f>IF(B14="","",IFERROR(INDEX(Jugadores!$C$2:$C$501,MATCH(B14,Jugadores!$A$2:$A$501,0)),"⚠ ID no existe"))</f>
        <v/>
      </c>
      <c r="D14" s="19" t="n"/>
      <c r="E14" s="19" t="n"/>
      <c r="F14" s="16">
        <f>IF(OR(B14="",D14=""),"",IFERROR(INDEX('Tabla XP'!$B$2:$B$12,MATCH(D14,'Tabla XP'!$A$2:$A$12,0))*IF(E14="",1,E14),0))</f>
        <v/>
      </c>
      <c r="G14" s="19" t="n"/>
      <c r="H14" s="19" t="n"/>
    </row>
    <row r="15">
      <c r="A15" s="22" t="n"/>
      <c r="B15" s="19" t="n"/>
      <c r="C15" s="18">
        <f>IF(B15="","",IFERROR(INDEX(Jugadores!$C$2:$C$501,MATCH(B15,Jugadores!$A$2:$A$501,0)),"⚠ ID no existe"))</f>
        <v/>
      </c>
      <c r="D15" s="19" t="n"/>
      <c r="E15" s="19" t="n"/>
      <c r="F15" s="16">
        <f>IF(OR(B15="",D15=""),"",IFERROR(INDEX('Tabla XP'!$B$2:$B$12,MATCH(D15,'Tabla XP'!$A$2:$A$12,0))*IF(E15="",1,E15),0))</f>
        <v/>
      </c>
      <c r="G15" s="19" t="n"/>
      <c r="H15" s="19" t="n"/>
    </row>
    <row r="16">
      <c r="A16" s="22" t="n"/>
      <c r="B16" s="19" t="n"/>
      <c r="C16" s="18">
        <f>IF(B16="","",IFERROR(INDEX(Jugadores!$C$2:$C$501,MATCH(B16,Jugadores!$A$2:$A$501,0)),"⚠ ID no existe"))</f>
        <v/>
      </c>
      <c r="D16" s="19" t="n"/>
      <c r="E16" s="19" t="n"/>
      <c r="F16" s="16">
        <f>IF(OR(B16="",D16=""),"",IFERROR(INDEX('Tabla XP'!$B$2:$B$12,MATCH(D16,'Tabla XP'!$A$2:$A$12,0))*IF(E16="",1,E16),0))</f>
        <v/>
      </c>
      <c r="G16" s="19" t="n"/>
      <c r="H16" s="19" t="n"/>
    </row>
    <row r="17">
      <c r="A17" s="22" t="n"/>
      <c r="B17" s="19" t="n"/>
      <c r="C17" s="18">
        <f>IF(B17="","",IFERROR(INDEX(Jugadores!$C$2:$C$501,MATCH(B17,Jugadores!$A$2:$A$501,0)),"⚠ ID no existe"))</f>
        <v/>
      </c>
      <c r="D17" s="19" t="n"/>
      <c r="E17" s="19" t="n"/>
      <c r="F17" s="16">
        <f>IF(OR(B17="",D17=""),"",IFERROR(INDEX('Tabla XP'!$B$2:$B$12,MATCH(D17,'Tabla XP'!$A$2:$A$12,0))*IF(E17="",1,E17),0))</f>
        <v/>
      </c>
      <c r="G17" s="19" t="n"/>
      <c r="H17" s="19" t="n"/>
    </row>
    <row r="18">
      <c r="A18" s="22" t="n"/>
      <c r="B18" s="19" t="n"/>
      <c r="C18" s="18">
        <f>IF(B18="","",IFERROR(INDEX(Jugadores!$C$2:$C$501,MATCH(B18,Jugadores!$A$2:$A$501,0)),"⚠ ID no existe"))</f>
        <v/>
      </c>
      <c r="D18" s="19" t="n"/>
      <c r="E18" s="19" t="n"/>
      <c r="F18" s="16">
        <f>IF(OR(B18="",D18=""),"",IFERROR(INDEX('Tabla XP'!$B$2:$B$12,MATCH(D18,'Tabla XP'!$A$2:$A$12,0))*IF(E18="",1,E18),0))</f>
        <v/>
      </c>
      <c r="G18" s="19" t="n"/>
      <c r="H18" s="19" t="n"/>
    </row>
    <row r="19">
      <c r="A19" s="22" t="n"/>
      <c r="B19" s="19" t="n"/>
      <c r="C19" s="18">
        <f>IF(B19="","",IFERROR(INDEX(Jugadores!$C$2:$C$501,MATCH(B19,Jugadores!$A$2:$A$501,0)),"⚠ ID no existe"))</f>
        <v/>
      </c>
      <c r="D19" s="19" t="n"/>
      <c r="E19" s="19" t="n"/>
      <c r="F19" s="16">
        <f>IF(OR(B19="",D19=""),"",IFERROR(INDEX('Tabla XP'!$B$2:$B$12,MATCH(D19,'Tabla XP'!$A$2:$A$12,0))*IF(E19="",1,E19),0))</f>
        <v/>
      </c>
      <c r="G19" s="19" t="n"/>
      <c r="H19" s="19" t="n"/>
    </row>
    <row r="20">
      <c r="A20" s="22" t="n"/>
      <c r="B20" s="19" t="n"/>
      <c r="C20" s="18">
        <f>IF(B20="","",IFERROR(INDEX(Jugadores!$C$2:$C$501,MATCH(B20,Jugadores!$A$2:$A$501,0)),"⚠ ID no existe"))</f>
        <v/>
      </c>
      <c r="D20" s="19" t="n"/>
      <c r="E20" s="19" t="n"/>
      <c r="F20" s="16">
        <f>IF(OR(B20="",D20=""),"",IFERROR(INDEX('Tabla XP'!$B$2:$B$12,MATCH(D20,'Tabla XP'!$A$2:$A$12,0))*IF(E20="",1,E20),0))</f>
        <v/>
      </c>
      <c r="G20" s="19" t="n"/>
      <c r="H20" s="19" t="n"/>
    </row>
    <row r="21">
      <c r="A21" s="22" t="n"/>
      <c r="B21" s="19" t="n"/>
      <c r="C21" s="18">
        <f>IF(B21="","",IFERROR(INDEX(Jugadores!$C$2:$C$501,MATCH(B21,Jugadores!$A$2:$A$501,0)),"⚠ ID no existe"))</f>
        <v/>
      </c>
      <c r="D21" s="19" t="n"/>
      <c r="E21" s="19" t="n"/>
      <c r="F21" s="16">
        <f>IF(OR(B21="",D21=""),"",IFERROR(INDEX('Tabla XP'!$B$2:$B$12,MATCH(D21,'Tabla XP'!$A$2:$A$12,0))*IF(E21="",1,E21),0))</f>
        <v/>
      </c>
      <c r="G21" s="19" t="n"/>
      <c r="H21" s="19" t="n"/>
    </row>
    <row r="22">
      <c r="A22" s="22" t="n"/>
      <c r="B22" s="19" t="n"/>
      <c r="C22" s="18">
        <f>IF(B22="","",IFERROR(INDEX(Jugadores!$C$2:$C$501,MATCH(B22,Jugadores!$A$2:$A$501,0)),"⚠ ID no existe"))</f>
        <v/>
      </c>
      <c r="D22" s="19" t="n"/>
      <c r="E22" s="19" t="n"/>
      <c r="F22" s="16">
        <f>IF(OR(B22="",D22=""),"",IFERROR(INDEX('Tabla XP'!$B$2:$B$12,MATCH(D22,'Tabla XP'!$A$2:$A$12,0))*IF(E22="",1,E22),0))</f>
        <v/>
      </c>
      <c r="G22" s="19" t="n"/>
      <c r="H22" s="19" t="n"/>
    </row>
    <row r="23">
      <c r="A23" s="22" t="n"/>
      <c r="B23" s="19" t="n"/>
      <c r="C23" s="18">
        <f>IF(B23="","",IFERROR(INDEX(Jugadores!$C$2:$C$501,MATCH(B23,Jugadores!$A$2:$A$501,0)),"⚠ ID no existe"))</f>
        <v/>
      </c>
      <c r="D23" s="19" t="n"/>
      <c r="E23" s="19" t="n"/>
      <c r="F23" s="16">
        <f>IF(OR(B23="",D23=""),"",IFERROR(INDEX('Tabla XP'!$B$2:$B$12,MATCH(D23,'Tabla XP'!$A$2:$A$12,0))*IF(E23="",1,E23),0))</f>
        <v/>
      </c>
      <c r="G23" s="19" t="n"/>
      <c r="H23" s="19" t="n"/>
    </row>
    <row r="24">
      <c r="A24" s="22" t="n"/>
      <c r="B24" s="19" t="n"/>
      <c r="C24" s="18">
        <f>IF(B24="","",IFERROR(INDEX(Jugadores!$C$2:$C$501,MATCH(B24,Jugadores!$A$2:$A$501,0)),"⚠ ID no existe"))</f>
        <v/>
      </c>
      <c r="D24" s="19" t="n"/>
      <c r="E24" s="19" t="n"/>
      <c r="F24" s="16">
        <f>IF(OR(B24="",D24=""),"",IFERROR(INDEX('Tabla XP'!$B$2:$B$12,MATCH(D24,'Tabla XP'!$A$2:$A$12,0))*IF(E24="",1,E24),0))</f>
        <v/>
      </c>
      <c r="G24" s="19" t="n"/>
      <c r="H24" s="19" t="n"/>
    </row>
    <row r="25">
      <c r="A25" s="22" t="n"/>
      <c r="B25" s="19" t="n"/>
      <c r="C25" s="18">
        <f>IF(B25="","",IFERROR(INDEX(Jugadores!$C$2:$C$501,MATCH(B25,Jugadores!$A$2:$A$501,0)),"⚠ ID no existe"))</f>
        <v/>
      </c>
      <c r="D25" s="19" t="n"/>
      <c r="E25" s="19" t="n"/>
      <c r="F25" s="16">
        <f>IF(OR(B25="",D25=""),"",IFERROR(INDEX('Tabla XP'!$B$2:$B$12,MATCH(D25,'Tabla XP'!$A$2:$A$12,0))*IF(E25="",1,E25),0))</f>
        <v/>
      </c>
      <c r="G25" s="19" t="n"/>
      <c r="H25" s="19" t="n"/>
    </row>
    <row r="26">
      <c r="A26" s="22" t="n"/>
      <c r="B26" s="19" t="n"/>
      <c r="C26" s="18">
        <f>IF(B26="","",IFERROR(INDEX(Jugadores!$C$2:$C$501,MATCH(B26,Jugadores!$A$2:$A$501,0)),"⚠ ID no existe"))</f>
        <v/>
      </c>
      <c r="D26" s="19" t="n"/>
      <c r="E26" s="19" t="n"/>
      <c r="F26" s="16">
        <f>IF(OR(B26="",D26=""),"",IFERROR(INDEX('Tabla XP'!$B$2:$B$12,MATCH(D26,'Tabla XP'!$A$2:$A$12,0))*IF(E26="",1,E26),0))</f>
        <v/>
      </c>
      <c r="G26" s="19" t="n"/>
      <c r="H26" s="19" t="n"/>
    </row>
    <row r="27">
      <c r="A27" s="22" t="n"/>
      <c r="B27" s="19" t="n"/>
      <c r="C27" s="18">
        <f>IF(B27="","",IFERROR(INDEX(Jugadores!$C$2:$C$501,MATCH(B27,Jugadores!$A$2:$A$501,0)),"⚠ ID no existe"))</f>
        <v/>
      </c>
      <c r="D27" s="19" t="n"/>
      <c r="E27" s="19" t="n"/>
      <c r="F27" s="16">
        <f>IF(OR(B27="",D27=""),"",IFERROR(INDEX('Tabla XP'!$B$2:$B$12,MATCH(D27,'Tabla XP'!$A$2:$A$12,0))*IF(E27="",1,E27),0))</f>
        <v/>
      </c>
      <c r="G27" s="19" t="n"/>
      <c r="H27" s="19" t="n"/>
    </row>
    <row r="28">
      <c r="A28" s="22" t="n"/>
      <c r="B28" s="19" t="n"/>
      <c r="C28" s="18">
        <f>IF(B28="","",IFERROR(INDEX(Jugadores!$C$2:$C$501,MATCH(B28,Jugadores!$A$2:$A$501,0)),"⚠ ID no existe"))</f>
        <v/>
      </c>
      <c r="D28" s="19" t="n"/>
      <c r="E28" s="19" t="n"/>
      <c r="F28" s="16">
        <f>IF(OR(B28="",D28=""),"",IFERROR(INDEX('Tabla XP'!$B$2:$B$12,MATCH(D28,'Tabla XP'!$A$2:$A$12,0))*IF(E28="",1,E28),0))</f>
        <v/>
      </c>
      <c r="G28" s="19" t="n"/>
      <c r="H28" s="19" t="n"/>
    </row>
    <row r="29">
      <c r="A29" s="22" t="n"/>
      <c r="B29" s="19" t="n"/>
      <c r="C29" s="18">
        <f>IF(B29="","",IFERROR(INDEX(Jugadores!$C$2:$C$501,MATCH(B29,Jugadores!$A$2:$A$501,0)),"⚠ ID no existe"))</f>
        <v/>
      </c>
      <c r="D29" s="19" t="n"/>
      <c r="E29" s="19" t="n"/>
      <c r="F29" s="16">
        <f>IF(OR(B29="",D29=""),"",IFERROR(INDEX('Tabla XP'!$B$2:$B$12,MATCH(D29,'Tabla XP'!$A$2:$A$12,0))*IF(E29="",1,E29),0))</f>
        <v/>
      </c>
      <c r="G29" s="19" t="n"/>
      <c r="H29" s="19" t="n"/>
    </row>
    <row r="30">
      <c r="A30" s="22" t="n"/>
      <c r="B30" s="19" t="n"/>
      <c r="C30" s="18">
        <f>IF(B30="","",IFERROR(INDEX(Jugadores!$C$2:$C$501,MATCH(B30,Jugadores!$A$2:$A$501,0)),"⚠ ID no existe"))</f>
        <v/>
      </c>
      <c r="D30" s="19" t="n"/>
      <c r="E30" s="19" t="n"/>
      <c r="F30" s="16">
        <f>IF(OR(B30="",D30=""),"",IFERROR(INDEX('Tabla XP'!$B$2:$B$12,MATCH(D30,'Tabla XP'!$A$2:$A$12,0))*IF(E30="",1,E30),0))</f>
        <v/>
      </c>
      <c r="G30" s="19" t="n"/>
      <c r="H30" s="19" t="n"/>
    </row>
    <row r="31">
      <c r="A31" s="22" t="n"/>
      <c r="B31" s="19" t="n"/>
      <c r="C31" s="18">
        <f>IF(B31="","",IFERROR(INDEX(Jugadores!$C$2:$C$501,MATCH(B31,Jugadores!$A$2:$A$501,0)),"⚠ ID no existe"))</f>
        <v/>
      </c>
      <c r="D31" s="19" t="n"/>
      <c r="E31" s="19" t="n"/>
      <c r="F31" s="16">
        <f>IF(OR(B31="",D31=""),"",IFERROR(INDEX('Tabla XP'!$B$2:$B$12,MATCH(D31,'Tabla XP'!$A$2:$A$12,0))*IF(E31="",1,E31),0))</f>
        <v/>
      </c>
      <c r="G31" s="19" t="n"/>
      <c r="H31" s="19" t="n"/>
    </row>
    <row r="32">
      <c r="A32" s="22" t="n"/>
      <c r="B32" s="19" t="n"/>
      <c r="C32" s="18">
        <f>IF(B32="","",IFERROR(INDEX(Jugadores!$C$2:$C$501,MATCH(B32,Jugadores!$A$2:$A$501,0)),"⚠ ID no existe"))</f>
        <v/>
      </c>
      <c r="D32" s="19" t="n"/>
      <c r="E32" s="19" t="n"/>
      <c r="F32" s="16">
        <f>IF(OR(B32="",D32=""),"",IFERROR(INDEX('Tabla XP'!$B$2:$B$12,MATCH(D32,'Tabla XP'!$A$2:$A$12,0))*IF(E32="",1,E32),0))</f>
        <v/>
      </c>
      <c r="G32" s="19" t="n"/>
      <c r="H32" s="19" t="n"/>
    </row>
    <row r="33">
      <c r="A33" s="22" t="n"/>
      <c r="B33" s="19" t="n"/>
      <c r="C33" s="18">
        <f>IF(B33="","",IFERROR(INDEX(Jugadores!$C$2:$C$501,MATCH(B33,Jugadores!$A$2:$A$501,0)),"⚠ ID no existe"))</f>
        <v/>
      </c>
      <c r="D33" s="19" t="n"/>
      <c r="E33" s="19" t="n"/>
      <c r="F33" s="16">
        <f>IF(OR(B33="",D33=""),"",IFERROR(INDEX('Tabla XP'!$B$2:$B$12,MATCH(D33,'Tabla XP'!$A$2:$A$12,0))*IF(E33="",1,E33),0))</f>
        <v/>
      </c>
      <c r="G33" s="19" t="n"/>
      <c r="H33" s="19" t="n"/>
    </row>
    <row r="34">
      <c r="A34" s="22" t="n"/>
      <c r="B34" s="19" t="n"/>
      <c r="C34" s="18">
        <f>IF(B34="","",IFERROR(INDEX(Jugadores!$C$2:$C$501,MATCH(B34,Jugadores!$A$2:$A$501,0)),"⚠ ID no existe"))</f>
        <v/>
      </c>
      <c r="D34" s="19" t="n"/>
      <c r="E34" s="19" t="n"/>
      <c r="F34" s="16">
        <f>IF(OR(B34="",D34=""),"",IFERROR(INDEX('Tabla XP'!$B$2:$B$12,MATCH(D34,'Tabla XP'!$A$2:$A$12,0))*IF(E34="",1,E34),0))</f>
        <v/>
      </c>
      <c r="G34" s="19" t="n"/>
      <c r="H34" s="19" t="n"/>
    </row>
    <row r="35">
      <c r="A35" s="22" t="n"/>
      <c r="B35" s="19" t="n"/>
      <c r="C35" s="18">
        <f>IF(B35="","",IFERROR(INDEX(Jugadores!$C$2:$C$501,MATCH(B35,Jugadores!$A$2:$A$501,0)),"⚠ ID no existe"))</f>
        <v/>
      </c>
      <c r="D35" s="19" t="n"/>
      <c r="E35" s="19" t="n"/>
      <c r="F35" s="16">
        <f>IF(OR(B35="",D35=""),"",IFERROR(INDEX('Tabla XP'!$B$2:$B$12,MATCH(D35,'Tabla XP'!$A$2:$A$12,0))*IF(E35="",1,E35),0))</f>
        <v/>
      </c>
      <c r="G35" s="19" t="n"/>
      <c r="H35" s="19" t="n"/>
    </row>
    <row r="36">
      <c r="A36" s="22" t="n"/>
      <c r="B36" s="19" t="n"/>
      <c r="C36" s="18">
        <f>IF(B36="","",IFERROR(INDEX(Jugadores!$C$2:$C$501,MATCH(B36,Jugadores!$A$2:$A$501,0)),"⚠ ID no existe"))</f>
        <v/>
      </c>
      <c r="D36" s="19" t="n"/>
      <c r="E36" s="19" t="n"/>
      <c r="F36" s="16">
        <f>IF(OR(B36="",D36=""),"",IFERROR(INDEX('Tabla XP'!$B$2:$B$12,MATCH(D36,'Tabla XP'!$A$2:$A$12,0))*IF(E36="",1,E36),0))</f>
        <v/>
      </c>
      <c r="G36" s="19" t="n"/>
      <c r="H36" s="19" t="n"/>
    </row>
    <row r="37">
      <c r="A37" s="22" t="n"/>
      <c r="B37" s="19" t="n"/>
      <c r="C37" s="18">
        <f>IF(B37="","",IFERROR(INDEX(Jugadores!$C$2:$C$501,MATCH(B37,Jugadores!$A$2:$A$501,0)),"⚠ ID no existe"))</f>
        <v/>
      </c>
      <c r="D37" s="19" t="n"/>
      <c r="E37" s="19" t="n"/>
      <c r="F37" s="16">
        <f>IF(OR(B37="",D37=""),"",IFERROR(INDEX('Tabla XP'!$B$2:$B$12,MATCH(D37,'Tabla XP'!$A$2:$A$12,0))*IF(E37="",1,E37),0))</f>
        <v/>
      </c>
      <c r="G37" s="19" t="n"/>
      <c r="H37" s="19" t="n"/>
    </row>
    <row r="38">
      <c r="A38" s="22" t="n"/>
      <c r="B38" s="19" t="n"/>
      <c r="C38" s="18">
        <f>IF(B38="","",IFERROR(INDEX(Jugadores!$C$2:$C$501,MATCH(B38,Jugadores!$A$2:$A$501,0)),"⚠ ID no existe"))</f>
        <v/>
      </c>
      <c r="D38" s="19" t="n"/>
      <c r="E38" s="19" t="n"/>
      <c r="F38" s="16">
        <f>IF(OR(B38="",D38=""),"",IFERROR(INDEX('Tabla XP'!$B$2:$B$12,MATCH(D38,'Tabla XP'!$A$2:$A$12,0))*IF(E38="",1,E38),0))</f>
        <v/>
      </c>
      <c r="G38" s="19" t="n"/>
      <c r="H38" s="19" t="n"/>
    </row>
    <row r="39">
      <c r="A39" s="22" t="n"/>
      <c r="B39" s="19" t="n"/>
      <c r="C39" s="18">
        <f>IF(B39="","",IFERROR(INDEX(Jugadores!$C$2:$C$501,MATCH(B39,Jugadores!$A$2:$A$501,0)),"⚠ ID no existe"))</f>
        <v/>
      </c>
      <c r="D39" s="19" t="n"/>
      <c r="E39" s="19" t="n"/>
      <c r="F39" s="16">
        <f>IF(OR(B39="",D39=""),"",IFERROR(INDEX('Tabla XP'!$B$2:$B$12,MATCH(D39,'Tabla XP'!$A$2:$A$12,0))*IF(E39="",1,E39),0))</f>
        <v/>
      </c>
      <c r="G39" s="19" t="n"/>
      <c r="H39" s="19" t="n"/>
    </row>
    <row r="40">
      <c r="A40" s="22" t="n"/>
      <c r="B40" s="19" t="n"/>
      <c r="C40" s="18">
        <f>IF(B40="","",IFERROR(INDEX(Jugadores!$C$2:$C$501,MATCH(B40,Jugadores!$A$2:$A$501,0)),"⚠ ID no existe"))</f>
        <v/>
      </c>
      <c r="D40" s="19" t="n"/>
      <c r="E40" s="19" t="n"/>
      <c r="F40" s="16">
        <f>IF(OR(B40="",D40=""),"",IFERROR(INDEX('Tabla XP'!$B$2:$B$12,MATCH(D40,'Tabla XP'!$A$2:$A$12,0))*IF(E40="",1,E40),0))</f>
        <v/>
      </c>
      <c r="G40" s="19" t="n"/>
      <c r="H40" s="19" t="n"/>
    </row>
    <row r="41">
      <c r="A41" s="22" t="n"/>
      <c r="B41" s="19" t="n"/>
      <c r="C41" s="18">
        <f>IF(B41="","",IFERROR(INDEX(Jugadores!$C$2:$C$501,MATCH(B41,Jugadores!$A$2:$A$501,0)),"⚠ ID no existe"))</f>
        <v/>
      </c>
      <c r="D41" s="19" t="n"/>
      <c r="E41" s="19" t="n"/>
      <c r="F41" s="16">
        <f>IF(OR(B41="",D41=""),"",IFERROR(INDEX('Tabla XP'!$B$2:$B$12,MATCH(D41,'Tabla XP'!$A$2:$A$12,0))*IF(E41="",1,E41),0))</f>
        <v/>
      </c>
      <c r="G41" s="19" t="n"/>
      <c r="H41" s="19" t="n"/>
    </row>
    <row r="42">
      <c r="A42" s="22" t="n"/>
      <c r="B42" s="19" t="n"/>
      <c r="C42" s="18">
        <f>IF(B42="","",IFERROR(INDEX(Jugadores!$C$2:$C$501,MATCH(B42,Jugadores!$A$2:$A$501,0)),"⚠ ID no existe"))</f>
        <v/>
      </c>
      <c r="D42" s="19" t="n"/>
      <c r="E42" s="19" t="n"/>
      <c r="F42" s="16">
        <f>IF(OR(B42="",D42=""),"",IFERROR(INDEX('Tabla XP'!$B$2:$B$12,MATCH(D42,'Tabla XP'!$A$2:$A$12,0))*IF(E42="",1,E42),0))</f>
        <v/>
      </c>
      <c r="G42" s="19" t="n"/>
      <c r="H42" s="19" t="n"/>
    </row>
    <row r="43">
      <c r="A43" s="22" t="n"/>
      <c r="B43" s="19" t="n"/>
      <c r="C43" s="18">
        <f>IF(B43="","",IFERROR(INDEX(Jugadores!$C$2:$C$501,MATCH(B43,Jugadores!$A$2:$A$501,0)),"⚠ ID no existe"))</f>
        <v/>
      </c>
      <c r="D43" s="19" t="n"/>
      <c r="E43" s="19" t="n"/>
      <c r="F43" s="16">
        <f>IF(OR(B43="",D43=""),"",IFERROR(INDEX('Tabla XP'!$B$2:$B$12,MATCH(D43,'Tabla XP'!$A$2:$A$12,0))*IF(E43="",1,E43),0))</f>
        <v/>
      </c>
      <c r="G43" s="19" t="n"/>
      <c r="H43" s="19" t="n"/>
    </row>
    <row r="44">
      <c r="A44" s="22" t="n"/>
      <c r="B44" s="19" t="n"/>
      <c r="C44" s="18">
        <f>IF(B44="","",IFERROR(INDEX(Jugadores!$C$2:$C$501,MATCH(B44,Jugadores!$A$2:$A$501,0)),"⚠ ID no existe"))</f>
        <v/>
      </c>
      <c r="D44" s="19" t="n"/>
      <c r="E44" s="19" t="n"/>
      <c r="F44" s="16">
        <f>IF(OR(B44="",D44=""),"",IFERROR(INDEX('Tabla XP'!$B$2:$B$12,MATCH(D44,'Tabla XP'!$A$2:$A$12,0))*IF(E44="",1,E44),0))</f>
        <v/>
      </c>
      <c r="G44" s="19" t="n"/>
      <c r="H44" s="19" t="n"/>
    </row>
    <row r="45">
      <c r="A45" s="22" t="n"/>
      <c r="B45" s="19" t="n"/>
      <c r="C45" s="18">
        <f>IF(B45="","",IFERROR(INDEX(Jugadores!$C$2:$C$501,MATCH(B45,Jugadores!$A$2:$A$501,0)),"⚠ ID no existe"))</f>
        <v/>
      </c>
      <c r="D45" s="19" t="n"/>
      <c r="E45" s="19" t="n"/>
      <c r="F45" s="16">
        <f>IF(OR(B45="",D45=""),"",IFERROR(INDEX('Tabla XP'!$B$2:$B$12,MATCH(D45,'Tabla XP'!$A$2:$A$12,0))*IF(E45="",1,E45),0))</f>
        <v/>
      </c>
      <c r="G45" s="19" t="n"/>
      <c r="H45" s="19" t="n"/>
    </row>
    <row r="46">
      <c r="A46" s="22" t="n"/>
      <c r="B46" s="19" t="n"/>
      <c r="C46" s="18">
        <f>IF(B46="","",IFERROR(INDEX(Jugadores!$C$2:$C$501,MATCH(B46,Jugadores!$A$2:$A$501,0)),"⚠ ID no existe"))</f>
        <v/>
      </c>
      <c r="D46" s="19" t="n"/>
      <c r="E46" s="19" t="n"/>
      <c r="F46" s="16">
        <f>IF(OR(B46="",D46=""),"",IFERROR(INDEX('Tabla XP'!$B$2:$B$12,MATCH(D46,'Tabla XP'!$A$2:$A$12,0))*IF(E46="",1,E46),0))</f>
        <v/>
      </c>
      <c r="G46" s="19" t="n"/>
      <c r="H46" s="19" t="n"/>
    </row>
    <row r="47">
      <c r="A47" s="22" t="n"/>
      <c r="B47" s="19" t="n"/>
      <c r="C47" s="18">
        <f>IF(B47="","",IFERROR(INDEX(Jugadores!$C$2:$C$501,MATCH(B47,Jugadores!$A$2:$A$501,0)),"⚠ ID no existe"))</f>
        <v/>
      </c>
      <c r="D47" s="19" t="n"/>
      <c r="E47" s="19" t="n"/>
      <c r="F47" s="16">
        <f>IF(OR(B47="",D47=""),"",IFERROR(INDEX('Tabla XP'!$B$2:$B$12,MATCH(D47,'Tabla XP'!$A$2:$A$12,0))*IF(E47="",1,E47),0))</f>
        <v/>
      </c>
      <c r="G47" s="19" t="n"/>
      <c r="H47" s="19" t="n"/>
    </row>
    <row r="48">
      <c r="A48" s="22" t="n"/>
      <c r="B48" s="19" t="n"/>
      <c r="C48" s="18">
        <f>IF(B48="","",IFERROR(INDEX(Jugadores!$C$2:$C$501,MATCH(B48,Jugadores!$A$2:$A$501,0)),"⚠ ID no existe"))</f>
        <v/>
      </c>
      <c r="D48" s="19" t="n"/>
      <c r="E48" s="19" t="n"/>
      <c r="F48" s="16">
        <f>IF(OR(B48="",D48=""),"",IFERROR(INDEX('Tabla XP'!$B$2:$B$12,MATCH(D48,'Tabla XP'!$A$2:$A$12,0))*IF(E48="",1,E48),0))</f>
        <v/>
      </c>
      <c r="G48" s="19" t="n"/>
      <c r="H48" s="19" t="n"/>
    </row>
    <row r="49">
      <c r="A49" s="22" t="n"/>
      <c r="B49" s="19" t="n"/>
      <c r="C49" s="18">
        <f>IF(B49="","",IFERROR(INDEX(Jugadores!$C$2:$C$501,MATCH(B49,Jugadores!$A$2:$A$501,0)),"⚠ ID no existe"))</f>
        <v/>
      </c>
      <c r="D49" s="19" t="n"/>
      <c r="E49" s="19" t="n"/>
      <c r="F49" s="16">
        <f>IF(OR(B49="",D49=""),"",IFERROR(INDEX('Tabla XP'!$B$2:$B$12,MATCH(D49,'Tabla XP'!$A$2:$A$12,0))*IF(E49="",1,E49),0))</f>
        <v/>
      </c>
      <c r="G49" s="19" t="n"/>
      <c r="H49" s="19" t="n"/>
    </row>
    <row r="50">
      <c r="A50" s="22" t="n"/>
      <c r="B50" s="19" t="n"/>
      <c r="C50" s="18">
        <f>IF(B50="","",IFERROR(INDEX(Jugadores!$C$2:$C$501,MATCH(B50,Jugadores!$A$2:$A$501,0)),"⚠ ID no existe"))</f>
        <v/>
      </c>
      <c r="D50" s="19" t="n"/>
      <c r="E50" s="19" t="n"/>
      <c r="F50" s="16">
        <f>IF(OR(B50="",D50=""),"",IFERROR(INDEX('Tabla XP'!$B$2:$B$12,MATCH(D50,'Tabla XP'!$A$2:$A$12,0))*IF(E50="",1,E50),0))</f>
        <v/>
      </c>
      <c r="G50" s="19" t="n"/>
      <c r="H50" s="19" t="n"/>
    </row>
    <row r="51">
      <c r="A51" s="22" t="n"/>
      <c r="B51" s="19" t="n"/>
      <c r="C51" s="18">
        <f>IF(B51="","",IFERROR(INDEX(Jugadores!$C$2:$C$501,MATCH(B51,Jugadores!$A$2:$A$501,0)),"⚠ ID no existe"))</f>
        <v/>
      </c>
      <c r="D51" s="19" t="n"/>
      <c r="E51" s="19" t="n"/>
      <c r="F51" s="16">
        <f>IF(OR(B51="",D51=""),"",IFERROR(INDEX('Tabla XP'!$B$2:$B$12,MATCH(D51,'Tabla XP'!$A$2:$A$12,0))*IF(E51="",1,E51),0))</f>
        <v/>
      </c>
      <c r="G51" s="19" t="n"/>
      <c r="H51" s="19" t="n"/>
    </row>
    <row r="52">
      <c r="A52" s="22" t="n"/>
      <c r="B52" s="19" t="n"/>
      <c r="C52" s="18">
        <f>IF(B52="","",IFERROR(INDEX(Jugadores!$C$2:$C$501,MATCH(B52,Jugadores!$A$2:$A$501,0)),"⚠ ID no existe"))</f>
        <v/>
      </c>
      <c r="D52" s="19" t="n"/>
      <c r="E52" s="19" t="n"/>
      <c r="F52" s="16">
        <f>IF(OR(B52="",D52=""),"",IFERROR(INDEX('Tabla XP'!$B$2:$B$12,MATCH(D52,'Tabla XP'!$A$2:$A$12,0))*IF(E52="",1,E52),0))</f>
        <v/>
      </c>
      <c r="G52" s="19" t="n"/>
      <c r="H52" s="19" t="n"/>
    </row>
    <row r="53">
      <c r="A53" s="22" t="n"/>
      <c r="B53" s="19" t="n"/>
      <c r="C53" s="18">
        <f>IF(B53="","",IFERROR(INDEX(Jugadores!$C$2:$C$501,MATCH(B53,Jugadores!$A$2:$A$501,0)),"⚠ ID no existe"))</f>
        <v/>
      </c>
      <c r="D53" s="19" t="n"/>
      <c r="E53" s="19" t="n"/>
      <c r="F53" s="16">
        <f>IF(OR(B53="",D53=""),"",IFERROR(INDEX('Tabla XP'!$B$2:$B$12,MATCH(D53,'Tabla XP'!$A$2:$A$12,0))*IF(E53="",1,E53),0))</f>
        <v/>
      </c>
      <c r="G53" s="19" t="n"/>
      <c r="H53" s="19" t="n"/>
    </row>
    <row r="54">
      <c r="A54" s="22" t="n"/>
      <c r="B54" s="19" t="n"/>
      <c r="C54" s="18">
        <f>IF(B54="","",IFERROR(INDEX(Jugadores!$C$2:$C$501,MATCH(B54,Jugadores!$A$2:$A$501,0)),"⚠ ID no existe"))</f>
        <v/>
      </c>
      <c r="D54" s="19" t="n"/>
      <c r="E54" s="19" t="n"/>
      <c r="F54" s="16">
        <f>IF(OR(B54="",D54=""),"",IFERROR(INDEX('Tabla XP'!$B$2:$B$12,MATCH(D54,'Tabla XP'!$A$2:$A$12,0))*IF(E54="",1,E54),0))</f>
        <v/>
      </c>
      <c r="G54" s="19" t="n"/>
      <c r="H54" s="19" t="n"/>
    </row>
    <row r="55">
      <c r="A55" s="22" t="n"/>
      <c r="B55" s="19" t="n"/>
      <c r="C55" s="18">
        <f>IF(B55="","",IFERROR(INDEX(Jugadores!$C$2:$C$501,MATCH(B55,Jugadores!$A$2:$A$501,0)),"⚠ ID no existe"))</f>
        <v/>
      </c>
      <c r="D55" s="19" t="n"/>
      <c r="E55" s="19" t="n"/>
      <c r="F55" s="16">
        <f>IF(OR(B55="",D55=""),"",IFERROR(INDEX('Tabla XP'!$B$2:$B$12,MATCH(D55,'Tabla XP'!$A$2:$A$12,0))*IF(E55="",1,E55),0))</f>
        <v/>
      </c>
      <c r="G55" s="19" t="n"/>
      <c r="H55" s="19" t="n"/>
    </row>
    <row r="56">
      <c r="A56" s="22" t="n"/>
      <c r="B56" s="19" t="n"/>
      <c r="C56" s="18">
        <f>IF(B56="","",IFERROR(INDEX(Jugadores!$C$2:$C$501,MATCH(B56,Jugadores!$A$2:$A$501,0)),"⚠ ID no existe"))</f>
        <v/>
      </c>
      <c r="D56" s="19" t="n"/>
      <c r="E56" s="19" t="n"/>
      <c r="F56" s="16">
        <f>IF(OR(B56="",D56=""),"",IFERROR(INDEX('Tabla XP'!$B$2:$B$12,MATCH(D56,'Tabla XP'!$A$2:$A$12,0))*IF(E56="",1,E56),0))</f>
        <v/>
      </c>
      <c r="G56" s="19" t="n"/>
      <c r="H56" s="19" t="n"/>
    </row>
    <row r="57">
      <c r="A57" s="22" t="n"/>
      <c r="B57" s="19" t="n"/>
      <c r="C57" s="18">
        <f>IF(B57="","",IFERROR(INDEX(Jugadores!$C$2:$C$501,MATCH(B57,Jugadores!$A$2:$A$501,0)),"⚠ ID no existe"))</f>
        <v/>
      </c>
      <c r="D57" s="19" t="n"/>
      <c r="E57" s="19" t="n"/>
      <c r="F57" s="16">
        <f>IF(OR(B57="",D57=""),"",IFERROR(INDEX('Tabla XP'!$B$2:$B$12,MATCH(D57,'Tabla XP'!$A$2:$A$12,0))*IF(E57="",1,E57),0))</f>
        <v/>
      </c>
      <c r="G57" s="19" t="n"/>
      <c r="H57" s="19" t="n"/>
    </row>
    <row r="58">
      <c r="A58" s="22" t="n"/>
      <c r="B58" s="19" t="n"/>
      <c r="C58" s="18">
        <f>IF(B58="","",IFERROR(INDEX(Jugadores!$C$2:$C$501,MATCH(B58,Jugadores!$A$2:$A$501,0)),"⚠ ID no existe"))</f>
        <v/>
      </c>
      <c r="D58" s="19" t="n"/>
      <c r="E58" s="19" t="n"/>
      <c r="F58" s="16">
        <f>IF(OR(B58="",D58=""),"",IFERROR(INDEX('Tabla XP'!$B$2:$B$12,MATCH(D58,'Tabla XP'!$A$2:$A$12,0))*IF(E58="",1,E58),0))</f>
        <v/>
      </c>
      <c r="G58" s="19" t="n"/>
      <c r="H58" s="19" t="n"/>
    </row>
    <row r="59">
      <c r="A59" s="22" t="n"/>
      <c r="B59" s="19" t="n"/>
      <c r="C59" s="18">
        <f>IF(B59="","",IFERROR(INDEX(Jugadores!$C$2:$C$501,MATCH(B59,Jugadores!$A$2:$A$501,0)),"⚠ ID no existe"))</f>
        <v/>
      </c>
      <c r="D59" s="19" t="n"/>
      <c r="E59" s="19" t="n"/>
      <c r="F59" s="16">
        <f>IF(OR(B59="",D59=""),"",IFERROR(INDEX('Tabla XP'!$B$2:$B$12,MATCH(D59,'Tabla XP'!$A$2:$A$12,0))*IF(E59="",1,E59),0))</f>
        <v/>
      </c>
      <c r="G59" s="19" t="n"/>
      <c r="H59" s="19" t="n"/>
    </row>
    <row r="60">
      <c r="A60" s="22" t="n"/>
      <c r="B60" s="19" t="n"/>
      <c r="C60" s="18">
        <f>IF(B60="","",IFERROR(INDEX(Jugadores!$C$2:$C$501,MATCH(B60,Jugadores!$A$2:$A$501,0)),"⚠ ID no existe"))</f>
        <v/>
      </c>
      <c r="D60" s="19" t="n"/>
      <c r="E60" s="19" t="n"/>
      <c r="F60" s="16">
        <f>IF(OR(B60="",D60=""),"",IFERROR(INDEX('Tabla XP'!$B$2:$B$12,MATCH(D60,'Tabla XP'!$A$2:$A$12,0))*IF(E60="",1,E60),0))</f>
        <v/>
      </c>
      <c r="G60" s="19" t="n"/>
      <c r="H60" s="19" t="n"/>
    </row>
    <row r="61">
      <c r="A61" s="22" t="n"/>
      <c r="B61" s="19" t="n"/>
      <c r="C61" s="18">
        <f>IF(B61="","",IFERROR(INDEX(Jugadores!$C$2:$C$501,MATCH(B61,Jugadores!$A$2:$A$501,0)),"⚠ ID no existe"))</f>
        <v/>
      </c>
      <c r="D61" s="19" t="n"/>
      <c r="E61" s="19" t="n"/>
      <c r="F61" s="16">
        <f>IF(OR(B61="",D61=""),"",IFERROR(INDEX('Tabla XP'!$B$2:$B$12,MATCH(D61,'Tabla XP'!$A$2:$A$12,0))*IF(E61="",1,E61),0))</f>
        <v/>
      </c>
      <c r="G61" s="19" t="n"/>
      <c r="H61" s="19" t="n"/>
    </row>
    <row r="62">
      <c r="A62" s="22" t="n"/>
      <c r="B62" s="19" t="n"/>
      <c r="C62" s="18">
        <f>IF(B62="","",IFERROR(INDEX(Jugadores!$C$2:$C$501,MATCH(B62,Jugadores!$A$2:$A$501,0)),"⚠ ID no existe"))</f>
        <v/>
      </c>
      <c r="D62" s="19" t="n"/>
      <c r="E62" s="19" t="n"/>
      <c r="F62" s="16">
        <f>IF(OR(B62="",D62=""),"",IFERROR(INDEX('Tabla XP'!$B$2:$B$12,MATCH(D62,'Tabla XP'!$A$2:$A$12,0))*IF(E62="",1,E62),0))</f>
        <v/>
      </c>
      <c r="G62" s="19" t="n"/>
      <c r="H62" s="19" t="n"/>
    </row>
    <row r="63">
      <c r="A63" s="22" t="n"/>
      <c r="B63" s="19" t="n"/>
      <c r="C63" s="18">
        <f>IF(B63="","",IFERROR(INDEX(Jugadores!$C$2:$C$501,MATCH(B63,Jugadores!$A$2:$A$501,0)),"⚠ ID no existe"))</f>
        <v/>
      </c>
      <c r="D63" s="19" t="n"/>
      <c r="E63" s="19" t="n"/>
      <c r="F63" s="16">
        <f>IF(OR(B63="",D63=""),"",IFERROR(INDEX('Tabla XP'!$B$2:$B$12,MATCH(D63,'Tabla XP'!$A$2:$A$12,0))*IF(E63="",1,E63),0))</f>
        <v/>
      </c>
      <c r="G63" s="19" t="n"/>
      <c r="H63" s="19" t="n"/>
    </row>
    <row r="64">
      <c r="A64" s="22" t="n"/>
      <c r="B64" s="19" t="n"/>
      <c r="C64" s="18">
        <f>IF(B64="","",IFERROR(INDEX(Jugadores!$C$2:$C$501,MATCH(B64,Jugadores!$A$2:$A$501,0)),"⚠ ID no existe"))</f>
        <v/>
      </c>
      <c r="D64" s="19" t="n"/>
      <c r="E64" s="19" t="n"/>
      <c r="F64" s="16">
        <f>IF(OR(B64="",D64=""),"",IFERROR(INDEX('Tabla XP'!$B$2:$B$12,MATCH(D64,'Tabla XP'!$A$2:$A$12,0))*IF(E64="",1,E64),0))</f>
        <v/>
      </c>
      <c r="G64" s="19" t="n"/>
      <c r="H64" s="19" t="n"/>
    </row>
    <row r="65">
      <c r="A65" s="22" t="n"/>
      <c r="B65" s="19" t="n"/>
      <c r="C65" s="18">
        <f>IF(B65="","",IFERROR(INDEX(Jugadores!$C$2:$C$501,MATCH(B65,Jugadores!$A$2:$A$501,0)),"⚠ ID no existe"))</f>
        <v/>
      </c>
      <c r="D65" s="19" t="n"/>
      <c r="E65" s="19" t="n"/>
      <c r="F65" s="16">
        <f>IF(OR(B65="",D65=""),"",IFERROR(INDEX('Tabla XP'!$B$2:$B$12,MATCH(D65,'Tabla XP'!$A$2:$A$12,0))*IF(E65="",1,E65),0))</f>
        <v/>
      </c>
      <c r="G65" s="19" t="n"/>
      <c r="H65" s="19" t="n"/>
    </row>
    <row r="66">
      <c r="A66" s="22" t="n"/>
      <c r="B66" s="19" t="n"/>
      <c r="C66" s="18">
        <f>IF(B66="","",IFERROR(INDEX(Jugadores!$C$2:$C$501,MATCH(B66,Jugadores!$A$2:$A$501,0)),"⚠ ID no existe"))</f>
        <v/>
      </c>
      <c r="D66" s="19" t="n"/>
      <c r="E66" s="19" t="n"/>
      <c r="F66" s="16">
        <f>IF(OR(B66="",D66=""),"",IFERROR(INDEX('Tabla XP'!$B$2:$B$12,MATCH(D66,'Tabla XP'!$A$2:$A$12,0))*IF(E66="",1,E66),0))</f>
        <v/>
      </c>
      <c r="G66" s="19" t="n"/>
      <c r="H66" s="19" t="n"/>
    </row>
    <row r="67">
      <c r="A67" s="22" t="n"/>
      <c r="B67" s="19" t="n"/>
      <c r="C67" s="18">
        <f>IF(B67="","",IFERROR(INDEX(Jugadores!$C$2:$C$501,MATCH(B67,Jugadores!$A$2:$A$501,0)),"⚠ ID no existe"))</f>
        <v/>
      </c>
      <c r="D67" s="19" t="n"/>
      <c r="E67" s="19" t="n"/>
      <c r="F67" s="16">
        <f>IF(OR(B67="",D67=""),"",IFERROR(INDEX('Tabla XP'!$B$2:$B$12,MATCH(D67,'Tabla XP'!$A$2:$A$12,0))*IF(E67="",1,E67),0))</f>
        <v/>
      </c>
      <c r="G67" s="19" t="n"/>
      <c r="H67" s="19" t="n"/>
    </row>
    <row r="68">
      <c r="A68" s="22" t="n"/>
      <c r="B68" s="19" t="n"/>
      <c r="C68" s="18">
        <f>IF(B68="","",IFERROR(INDEX(Jugadores!$C$2:$C$501,MATCH(B68,Jugadores!$A$2:$A$501,0)),"⚠ ID no existe"))</f>
        <v/>
      </c>
      <c r="D68" s="19" t="n"/>
      <c r="E68" s="19" t="n"/>
      <c r="F68" s="16">
        <f>IF(OR(B68="",D68=""),"",IFERROR(INDEX('Tabla XP'!$B$2:$B$12,MATCH(D68,'Tabla XP'!$A$2:$A$12,0))*IF(E68="",1,E68),0))</f>
        <v/>
      </c>
      <c r="G68" s="19" t="n"/>
      <c r="H68" s="19" t="n"/>
    </row>
    <row r="69">
      <c r="A69" s="22" t="n"/>
      <c r="B69" s="19" t="n"/>
      <c r="C69" s="18">
        <f>IF(B69="","",IFERROR(INDEX(Jugadores!$C$2:$C$501,MATCH(B69,Jugadores!$A$2:$A$501,0)),"⚠ ID no existe"))</f>
        <v/>
      </c>
      <c r="D69" s="19" t="n"/>
      <c r="E69" s="19" t="n"/>
      <c r="F69" s="16">
        <f>IF(OR(B69="",D69=""),"",IFERROR(INDEX('Tabla XP'!$B$2:$B$12,MATCH(D69,'Tabla XP'!$A$2:$A$12,0))*IF(E69="",1,E69),0))</f>
        <v/>
      </c>
      <c r="G69" s="19" t="n"/>
      <c r="H69" s="19" t="n"/>
    </row>
    <row r="70">
      <c r="A70" s="22" t="n"/>
      <c r="B70" s="19" t="n"/>
      <c r="C70" s="18">
        <f>IF(B70="","",IFERROR(INDEX(Jugadores!$C$2:$C$501,MATCH(B70,Jugadores!$A$2:$A$501,0)),"⚠ ID no existe"))</f>
        <v/>
      </c>
      <c r="D70" s="19" t="n"/>
      <c r="E70" s="19" t="n"/>
      <c r="F70" s="16">
        <f>IF(OR(B70="",D70=""),"",IFERROR(INDEX('Tabla XP'!$B$2:$B$12,MATCH(D70,'Tabla XP'!$A$2:$A$12,0))*IF(E70="",1,E70),0))</f>
        <v/>
      </c>
      <c r="G70" s="19" t="n"/>
      <c r="H70" s="19" t="n"/>
    </row>
    <row r="71">
      <c r="A71" s="22" t="n"/>
      <c r="B71" s="19" t="n"/>
      <c r="C71" s="18">
        <f>IF(B71="","",IFERROR(INDEX(Jugadores!$C$2:$C$501,MATCH(B71,Jugadores!$A$2:$A$501,0)),"⚠ ID no existe"))</f>
        <v/>
      </c>
      <c r="D71" s="19" t="n"/>
      <c r="E71" s="19" t="n"/>
      <c r="F71" s="16">
        <f>IF(OR(B71="",D71=""),"",IFERROR(INDEX('Tabla XP'!$B$2:$B$12,MATCH(D71,'Tabla XP'!$A$2:$A$12,0))*IF(E71="",1,E71),0))</f>
        <v/>
      </c>
      <c r="G71" s="19" t="n"/>
      <c r="H71" s="19" t="n"/>
    </row>
    <row r="72">
      <c r="A72" s="22" t="n"/>
      <c r="B72" s="19" t="n"/>
      <c r="C72" s="18">
        <f>IF(B72="","",IFERROR(INDEX(Jugadores!$C$2:$C$501,MATCH(B72,Jugadores!$A$2:$A$501,0)),"⚠ ID no existe"))</f>
        <v/>
      </c>
      <c r="D72" s="19" t="n"/>
      <c r="E72" s="19" t="n"/>
      <c r="F72" s="16">
        <f>IF(OR(B72="",D72=""),"",IFERROR(INDEX('Tabla XP'!$B$2:$B$12,MATCH(D72,'Tabla XP'!$A$2:$A$12,0))*IF(E72="",1,E72),0))</f>
        <v/>
      </c>
      <c r="G72" s="19" t="n"/>
      <c r="H72" s="19" t="n"/>
    </row>
    <row r="73">
      <c r="A73" s="22" t="n"/>
      <c r="B73" s="19" t="n"/>
      <c r="C73" s="18">
        <f>IF(B73="","",IFERROR(INDEX(Jugadores!$C$2:$C$501,MATCH(B73,Jugadores!$A$2:$A$501,0)),"⚠ ID no existe"))</f>
        <v/>
      </c>
      <c r="D73" s="19" t="n"/>
      <c r="E73" s="19" t="n"/>
      <c r="F73" s="16">
        <f>IF(OR(B73="",D73=""),"",IFERROR(INDEX('Tabla XP'!$B$2:$B$12,MATCH(D73,'Tabla XP'!$A$2:$A$12,0))*IF(E73="",1,E73),0))</f>
        <v/>
      </c>
      <c r="G73" s="19" t="n"/>
      <c r="H73" s="19" t="n"/>
    </row>
    <row r="74">
      <c r="A74" s="22" t="n"/>
      <c r="B74" s="19" t="n"/>
      <c r="C74" s="18">
        <f>IF(B74="","",IFERROR(INDEX(Jugadores!$C$2:$C$501,MATCH(B74,Jugadores!$A$2:$A$501,0)),"⚠ ID no existe"))</f>
        <v/>
      </c>
      <c r="D74" s="19" t="n"/>
      <c r="E74" s="19" t="n"/>
      <c r="F74" s="16">
        <f>IF(OR(B74="",D74=""),"",IFERROR(INDEX('Tabla XP'!$B$2:$B$12,MATCH(D74,'Tabla XP'!$A$2:$A$12,0))*IF(E74="",1,E74),0))</f>
        <v/>
      </c>
      <c r="G74" s="19" t="n"/>
      <c r="H74" s="19" t="n"/>
    </row>
    <row r="75">
      <c r="A75" s="22" t="n"/>
      <c r="B75" s="19" t="n"/>
      <c r="C75" s="18">
        <f>IF(B75="","",IFERROR(INDEX(Jugadores!$C$2:$C$501,MATCH(B75,Jugadores!$A$2:$A$501,0)),"⚠ ID no existe"))</f>
        <v/>
      </c>
      <c r="D75" s="19" t="n"/>
      <c r="E75" s="19" t="n"/>
      <c r="F75" s="16">
        <f>IF(OR(B75="",D75=""),"",IFERROR(INDEX('Tabla XP'!$B$2:$B$12,MATCH(D75,'Tabla XP'!$A$2:$A$12,0))*IF(E75="",1,E75),0))</f>
        <v/>
      </c>
      <c r="G75" s="19" t="n"/>
      <c r="H75" s="19" t="n"/>
    </row>
    <row r="76">
      <c r="A76" s="22" t="n"/>
      <c r="B76" s="19" t="n"/>
      <c r="C76" s="18">
        <f>IF(B76="","",IFERROR(INDEX(Jugadores!$C$2:$C$501,MATCH(B76,Jugadores!$A$2:$A$501,0)),"⚠ ID no existe"))</f>
        <v/>
      </c>
      <c r="D76" s="19" t="n"/>
      <c r="E76" s="19" t="n"/>
      <c r="F76" s="16">
        <f>IF(OR(B76="",D76=""),"",IFERROR(INDEX('Tabla XP'!$B$2:$B$12,MATCH(D76,'Tabla XP'!$A$2:$A$12,0))*IF(E76="",1,E76),0))</f>
        <v/>
      </c>
      <c r="G76" s="19" t="n"/>
      <c r="H76" s="19" t="n"/>
    </row>
    <row r="77">
      <c r="A77" s="22" t="n"/>
      <c r="B77" s="19" t="n"/>
      <c r="C77" s="18">
        <f>IF(B77="","",IFERROR(INDEX(Jugadores!$C$2:$C$501,MATCH(B77,Jugadores!$A$2:$A$501,0)),"⚠ ID no existe"))</f>
        <v/>
      </c>
      <c r="D77" s="19" t="n"/>
      <c r="E77" s="19" t="n"/>
      <c r="F77" s="16">
        <f>IF(OR(B77="",D77=""),"",IFERROR(INDEX('Tabla XP'!$B$2:$B$12,MATCH(D77,'Tabla XP'!$A$2:$A$12,0))*IF(E77="",1,E77),0))</f>
        <v/>
      </c>
      <c r="G77" s="19" t="n"/>
      <c r="H77" s="19" t="n"/>
    </row>
    <row r="78">
      <c r="A78" s="22" t="n"/>
      <c r="B78" s="19" t="n"/>
      <c r="C78" s="18">
        <f>IF(B78="","",IFERROR(INDEX(Jugadores!$C$2:$C$501,MATCH(B78,Jugadores!$A$2:$A$501,0)),"⚠ ID no existe"))</f>
        <v/>
      </c>
      <c r="D78" s="19" t="n"/>
      <c r="E78" s="19" t="n"/>
      <c r="F78" s="16">
        <f>IF(OR(B78="",D78=""),"",IFERROR(INDEX('Tabla XP'!$B$2:$B$12,MATCH(D78,'Tabla XP'!$A$2:$A$12,0))*IF(E78="",1,E78),0))</f>
        <v/>
      </c>
      <c r="G78" s="19" t="n"/>
      <c r="H78" s="19" t="n"/>
    </row>
    <row r="79">
      <c r="A79" s="22" t="n"/>
      <c r="B79" s="19" t="n"/>
      <c r="C79" s="18">
        <f>IF(B79="","",IFERROR(INDEX(Jugadores!$C$2:$C$501,MATCH(B79,Jugadores!$A$2:$A$501,0)),"⚠ ID no existe"))</f>
        <v/>
      </c>
      <c r="D79" s="19" t="n"/>
      <c r="E79" s="19" t="n"/>
      <c r="F79" s="16">
        <f>IF(OR(B79="",D79=""),"",IFERROR(INDEX('Tabla XP'!$B$2:$B$12,MATCH(D79,'Tabla XP'!$A$2:$A$12,0))*IF(E79="",1,E79),0))</f>
        <v/>
      </c>
      <c r="G79" s="19" t="n"/>
      <c r="H79" s="19" t="n"/>
    </row>
    <row r="80">
      <c r="A80" s="22" t="n"/>
      <c r="B80" s="19" t="n"/>
      <c r="C80" s="18">
        <f>IF(B80="","",IFERROR(INDEX(Jugadores!$C$2:$C$501,MATCH(B80,Jugadores!$A$2:$A$501,0)),"⚠ ID no existe"))</f>
        <v/>
      </c>
      <c r="D80" s="19" t="n"/>
      <c r="E80" s="19" t="n"/>
      <c r="F80" s="16">
        <f>IF(OR(B80="",D80=""),"",IFERROR(INDEX('Tabla XP'!$B$2:$B$12,MATCH(D80,'Tabla XP'!$A$2:$A$12,0))*IF(E80="",1,E80),0))</f>
        <v/>
      </c>
      <c r="G80" s="19" t="n"/>
      <c r="H80" s="19" t="n"/>
    </row>
    <row r="81">
      <c r="A81" s="22" t="n"/>
      <c r="B81" s="19" t="n"/>
      <c r="C81" s="18">
        <f>IF(B81="","",IFERROR(INDEX(Jugadores!$C$2:$C$501,MATCH(B81,Jugadores!$A$2:$A$501,0)),"⚠ ID no existe"))</f>
        <v/>
      </c>
      <c r="D81" s="19" t="n"/>
      <c r="E81" s="19" t="n"/>
      <c r="F81" s="16">
        <f>IF(OR(B81="",D81=""),"",IFERROR(INDEX('Tabla XP'!$B$2:$B$12,MATCH(D81,'Tabla XP'!$A$2:$A$12,0))*IF(E81="",1,E81),0))</f>
        <v/>
      </c>
      <c r="G81" s="19" t="n"/>
      <c r="H81" s="19" t="n"/>
    </row>
    <row r="82">
      <c r="A82" s="22" t="n"/>
      <c r="B82" s="19" t="n"/>
      <c r="C82" s="18">
        <f>IF(B82="","",IFERROR(INDEX(Jugadores!$C$2:$C$501,MATCH(B82,Jugadores!$A$2:$A$501,0)),"⚠ ID no existe"))</f>
        <v/>
      </c>
      <c r="D82" s="19" t="n"/>
      <c r="E82" s="19" t="n"/>
      <c r="F82" s="16">
        <f>IF(OR(B82="",D82=""),"",IFERROR(INDEX('Tabla XP'!$B$2:$B$12,MATCH(D82,'Tabla XP'!$A$2:$A$12,0))*IF(E82="",1,E82),0))</f>
        <v/>
      </c>
      <c r="G82" s="19" t="n"/>
      <c r="H82" s="19" t="n"/>
    </row>
    <row r="83">
      <c r="A83" s="22" t="n"/>
      <c r="B83" s="19" t="n"/>
      <c r="C83" s="18">
        <f>IF(B83="","",IFERROR(INDEX(Jugadores!$C$2:$C$501,MATCH(B83,Jugadores!$A$2:$A$501,0)),"⚠ ID no existe"))</f>
        <v/>
      </c>
      <c r="D83" s="19" t="n"/>
      <c r="E83" s="19" t="n"/>
      <c r="F83" s="16">
        <f>IF(OR(B83="",D83=""),"",IFERROR(INDEX('Tabla XP'!$B$2:$B$12,MATCH(D83,'Tabla XP'!$A$2:$A$12,0))*IF(E83="",1,E83),0))</f>
        <v/>
      </c>
      <c r="G83" s="19" t="n"/>
      <c r="H83" s="19" t="n"/>
    </row>
    <row r="84">
      <c r="A84" s="22" t="n"/>
      <c r="B84" s="19" t="n"/>
      <c r="C84" s="18">
        <f>IF(B84="","",IFERROR(INDEX(Jugadores!$C$2:$C$501,MATCH(B84,Jugadores!$A$2:$A$501,0)),"⚠ ID no existe"))</f>
        <v/>
      </c>
      <c r="D84" s="19" t="n"/>
      <c r="E84" s="19" t="n"/>
      <c r="F84" s="16">
        <f>IF(OR(B84="",D84=""),"",IFERROR(INDEX('Tabla XP'!$B$2:$B$12,MATCH(D84,'Tabla XP'!$A$2:$A$12,0))*IF(E84="",1,E84),0))</f>
        <v/>
      </c>
      <c r="G84" s="19" t="n"/>
      <c r="H84" s="19" t="n"/>
    </row>
    <row r="85">
      <c r="A85" s="22" t="n"/>
      <c r="B85" s="19" t="n"/>
      <c r="C85" s="18">
        <f>IF(B85="","",IFERROR(INDEX(Jugadores!$C$2:$C$501,MATCH(B85,Jugadores!$A$2:$A$501,0)),"⚠ ID no existe"))</f>
        <v/>
      </c>
      <c r="D85" s="19" t="n"/>
      <c r="E85" s="19" t="n"/>
      <c r="F85" s="16">
        <f>IF(OR(B85="",D85=""),"",IFERROR(INDEX('Tabla XP'!$B$2:$B$12,MATCH(D85,'Tabla XP'!$A$2:$A$12,0))*IF(E85="",1,E85),0))</f>
        <v/>
      </c>
      <c r="G85" s="19" t="n"/>
      <c r="H85" s="19" t="n"/>
    </row>
    <row r="86">
      <c r="A86" s="22" t="n"/>
      <c r="B86" s="19" t="n"/>
      <c r="C86" s="18">
        <f>IF(B86="","",IFERROR(INDEX(Jugadores!$C$2:$C$501,MATCH(B86,Jugadores!$A$2:$A$501,0)),"⚠ ID no existe"))</f>
        <v/>
      </c>
      <c r="D86" s="19" t="n"/>
      <c r="E86" s="19" t="n"/>
      <c r="F86" s="16">
        <f>IF(OR(B86="",D86=""),"",IFERROR(INDEX('Tabla XP'!$B$2:$B$12,MATCH(D86,'Tabla XP'!$A$2:$A$12,0))*IF(E86="",1,E86),0))</f>
        <v/>
      </c>
      <c r="G86" s="19" t="n"/>
      <c r="H86" s="19" t="n"/>
    </row>
    <row r="87">
      <c r="A87" s="22" t="n"/>
      <c r="B87" s="19" t="n"/>
      <c r="C87" s="18">
        <f>IF(B87="","",IFERROR(INDEX(Jugadores!$C$2:$C$501,MATCH(B87,Jugadores!$A$2:$A$501,0)),"⚠ ID no existe"))</f>
        <v/>
      </c>
      <c r="D87" s="19" t="n"/>
      <c r="E87" s="19" t="n"/>
      <c r="F87" s="16">
        <f>IF(OR(B87="",D87=""),"",IFERROR(INDEX('Tabla XP'!$B$2:$B$12,MATCH(D87,'Tabla XP'!$A$2:$A$12,0))*IF(E87="",1,E87),0))</f>
        <v/>
      </c>
      <c r="G87" s="19" t="n"/>
      <c r="H87" s="19" t="n"/>
    </row>
    <row r="88">
      <c r="A88" s="22" t="n"/>
      <c r="B88" s="19" t="n"/>
      <c r="C88" s="18">
        <f>IF(B88="","",IFERROR(INDEX(Jugadores!$C$2:$C$501,MATCH(B88,Jugadores!$A$2:$A$501,0)),"⚠ ID no existe"))</f>
        <v/>
      </c>
      <c r="D88" s="19" t="n"/>
      <c r="E88" s="19" t="n"/>
      <c r="F88" s="16">
        <f>IF(OR(B88="",D88=""),"",IFERROR(INDEX('Tabla XP'!$B$2:$B$12,MATCH(D88,'Tabla XP'!$A$2:$A$12,0))*IF(E88="",1,E88),0))</f>
        <v/>
      </c>
      <c r="G88" s="19" t="n"/>
      <c r="H88" s="19" t="n"/>
    </row>
    <row r="89">
      <c r="A89" s="22" t="n"/>
      <c r="B89" s="19" t="n"/>
      <c r="C89" s="18">
        <f>IF(B89="","",IFERROR(INDEX(Jugadores!$C$2:$C$501,MATCH(B89,Jugadores!$A$2:$A$501,0)),"⚠ ID no existe"))</f>
        <v/>
      </c>
      <c r="D89" s="19" t="n"/>
      <c r="E89" s="19" t="n"/>
      <c r="F89" s="16">
        <f>IF(OR(B89="",D89=""),"",IFERROR(INDEX('Tabla XP'!$B$2:$B$12,MATCH(D89,'Tabla XP'!$A$2:$A$12,0))*IF(E89="",1,E89),0))</f>
        <v/>
      </c>
      <c r="G89" s="19" t="n"/>
      <c r="H89" s="19" t="n"/>
    </row>
    <row r="90">
      <c r="A90" s="22" t="n"/>
      <c r="B90" s="19" t="n"/>
      <c r="C90" s="18">
        <f>IF(B90="","",IFERROR(INDEX(Jugadores!$C$2:$C$501,MATCH(B90,Jugadores!$A$2:$A$501,0)),"⚠ ID no existe"))</f>
        <v/>
      </c>
      <c r="D90" s="19" t="n"/>
      <c r="E90" s="19" t="n"/>
      <c r="F90" s="16">
        <f>IF(OR(B90="",D90=""),"",IFERROR(INDEX('Tabla XP'!$B$2:$B$12,MATCH(D90,'Tabla XP'!$A$2:$A$12,0))*IF(E90="",1,E90),0))</f>
        <v/>
      </c>
      <c r="G90" s="19" t="n"/>
      <c r="H90" s="19" t="n"/>
    </row>
    <row r="91">
      <c r="A91" s="22" t="n"/>
      <c r="B91" s="19" t="n"/>
      <c r="C91" s="18">
        <f>IF(B91="","",IFERROR(INDEX(Jugadores!$C$2:$C$501,MATCH(B91,Jugadores!$A$2:$A$501,0)),"⚠ ID no existe"))</f>
        <v/>
      </c>
      <c r="D91" s="19" t="n"/>
      <c r="E91" s="19" t="n"/>
      <c r="F91" s="16">
        <f>IF(OR(B91="",D91=""),"",IFERROR(INDEX('Tabla XP'!$B$2:$B$12,MATCH(D91,'Tabla XP'!$A$2:$A$12,0))*IF(E91="",1,E91),0))</f>
        <v/>
      </c>
      <c r="G91" s="19" t="n"/>
      <c r="H91" s="19" t="n"/>
    </row>
    <row r="92">
      <c r="A92" s="22" t="n"/>
      <c r="B92" s="19" t="n"/>
      <c r="C92" s="18">
        <f>IF(B92="","",IFERROR(INDEX(Jugadores!$C$2:$C$501,MATCH(B92,Jugadores!$A$2:$A$501,0)),"⚠ ID no existe"))</f>
        <v/>
      </c>
      <c r="D92" s="19" t="n"/>
      <c r="E92" s="19" t="n"/>
      <c r="F92" s="16">
        <f>IF(OR(B92="",D92=""),"",IFERROR(INDEX('Tabla XP'!$B$2:$B$12,MATCH(D92,'Tabla XP'!$A$2:$A$12,0))*IF(E92="",1,E92),0))</f>
        <v/>
      </c>
      <c r="G92" s="19" t="n"/>
      <c r="H92" s="19" t="n"/>
    </row>
    <row r="93">
      <c r="A93" s="22" t="n"/>
      <c r="B93" s="19" t="n"/>
      <c r="C93" s="18">
        <f>IF(B93="","",IFERROR(INDEX(Jugadores!$C$2:$C$501,MATCH(B93,Jugadores!$A$2:$A$501,0)),"⚠ ID no existe"))</f>
        <v/>
      </c>
      <c r="D93" s="19" t="n"/>
      <c r="E93" s="19" t="n"/>
      <c r="F93" s="16">
        <f>IF(OR(B93="",D93=""),"",IFERROR(INDEX('Tabla XP'!$B$2:$B$12,MATCH(D93,'Tabla XP'!$A$2:$A$12,0))*IF(E93="",1,E93),0))</f>
        <v/>
      </c>
      <c r="G93" s="19" t="n"/>
      <c r="H93" s="19" t="n"/>
    </row>
    <row r="94">
      <c r="A94" s="22" t="n"/>
      <c r="B94" s="19" t="n"/>
      <c r="C94" s="18">
        <f>IF(B94="","",IFERROR(INDEX(Jugadores!$C$2:$C$501,MATCH(B94,Jugadores!$A$2:$A$501,0)),"⚠ ID no existe"))</f>
        <v/>
      </c>
      <c r="D94" s="19" t="n"/>
      <c r="E94" s="19" t="n"/>
      <c r="F94" s="16">
        <f>IF(OR(B94="",D94=""),"",IFERROR(INDEX('Tabla XP'!$B$2:$B$12,MATCH(D94,'Tabla XP'!$A$2:$A$12,0))*IF(E94="",1,E94),0))</f>
        <v/>
      </c>
      <c r="G94" s="19" t="n"/>
      <c r="H94" s="19" t="n"/>
    </row>
    <row r="95">
      <c r="A95" s="22" t="n"/>
      <c r="B95" s="19" t="n"/>
      <c r="C95" s="18">
        <f>IF(B95="","",IFERROR(INDEX(Jugadores!$C$2:$C$501,MATCH(B95,Jugadores!$A$2:$A$501,0)),"⚠ ID no existe"))</f>
        <v/>
      </c>
      <c r="D95" s="19" t="n"/>
      <c r="E95" s="19" t="n"/>
      <c r="F95" s="16">
        <f>IF(OR(B95="",D95=""),"",IFERROR(INDEX('Tabla XP'!$B$2:$B$12,MATCH(D95,'Tabla XP'!$A$2:$A$12,0))*IF(E95="",1,E95),0))</f>
        <v/>
      </c>
      <c r="G95" s="19" t="n"/>
      <c r="H95" s="19" t="n"/>
    </row>
    <row r="96">
      <c r="A96" s="22" t="n"/>
      <c r="B96" s="19" t="n"/>
      <c r="C96" s="18">
        <f>IF(B96="","",IFERROR(INDEX(Jugadores!$C$2:$C$501,MATCH(B96,Jugadores!$A$2:$A$501,0)),"⚠ ID no existe"))</f>
        <v/>
      </c>
      <c r="D96" s="19" t="n"/>
      <c r="E96" s="19" t="n"/>
      <c r="F96" s="16">
        <f>IF(OR(B96="",D96=""),"",IFERROR(INDEX('Tabla XP'!$B$2:$B$12,MATCH(D96,'Tabla XP'!$A$2:$A$12,0))*IF(E96="",1,E96),0))</f>
        <v/>
      </c>
      <c r="G96" s="19" t="n"/>
      <c r="H96" s="19" t="n"/>
    </row>
    <row r="97">
      <c r="A97" s="22" t="n"/>
      <c r="B97" s="19" t="n"/>
      <c r="C97" s="18">
        <f>IF(B97="","",IFERROR(INDEX(Jugadores!$C$2:$C$501,MATCH(B97,Jugadores!$A$2:$A$501,0)),"⚠ ID no existe"))</f>
        <v/>
      </c>
      <c r="D97" s="19" t="n"/>
      <c r="E97" s="19" t="n"/>
      <c r="F97" s="16">
        <f>IF(OR(B97="",D97=""),"",IFERROR(INDEX('Tabla XP'!$B$2:$B$12,MATCH(D97,'Tabla XP'!$A$2:$A$12,0))*IF(E97="",1,E97),0))</f>
        <v/>
      </c>
      <c r="G97" s="19" t="n"/>
      <c r="H97" s="19" t="n"/>
    </row>
    <row r="98">
      <c r="A98" s="22" t="n"/>
      <c r="B98" s="19" t="n"/>
      <c r="C98" s="18">
        <f>IF(B98="","",IFERROR(INDEX(Jugadores!$C$2:$C$501,MATCH(B98,Jugadores!$A$2:$A$501,0)),"⚠ ID no existe"))</f>
        <v/>
      </c>
      <c r="D98" s="19" t="n"/>
      <c r="E98" s="19" t="n"/>
      <c r="F98" s="16">
        <f>IF(OR(B98="",D98=""),"",IFERROR(INDEX('Tabla XP'!$B$2:$B$12,MATCH(D98,'Tabla XP'!$A$2:$A$12,0))*IF(E98="",1,E98),0))</f>
        <v/>
      </c>
      <c r="G98" s="19" t="n"/>
      <c r="H98" s="19" t="n"/>
    </row>
    <row r="99">
      <c r="A99" s="22" t="n"/>
      <c r="B99" s="19" t="n"/>
      <c r="C99" s="18">
        <f>IF(B99="","",IFERROR(INDEX(Jugadores!$C$2:$C$501,MATCH(B99,Jugadores!$A$2:$A$501,0)),"⚠ ID no existe"))</f>
        <v/>
      </c>
      <c r="D99" s="19" t="n"/>
      <c r="E99" s="19" t="n"/>
      <c r="F99" s="16">
        <f>IF(OR(B99="",D99=""),"",IFERROR(INDEX('Tabla XP'!$B$2:$B$12,MATCH(D99,'Tabla XP'!$A$2:$A$12,0))*IF(E99="",1,E99),0))</f>
        <v/>
      </c>
      <c r="G99" s="19" t="n"/>
      <c r="H99" s="19" t="n"/>
    </row>
    <row r="100">
      <c r="A100" s="22" t="n"/>
      <c r="B100" s="19" t="n"/>
      <c r="C100" s="18">
        <f>IF(B100="","",IFERROR(INDEX(Jugadores!$C$2:$C$501,MATCH(B100,Jugadores!$A$2:$A$501,0)),"⚠ ID no existe"))</f>
        <v/>
      </c>
      <c r="D100" s="19" t="n"/>
      <c r="E100" s="19" t="n"/>
      <c r="F100" s="16">
        <f>IF(OR(B100="",D100=""),"",IFERROR(INDEX('Tabla XP'!$B$2:$B$12,MATCH(D100,'Tabla XP'!$A$2:$A$12,0))*IF(E100="",1,E100),0))</f>
        <v/>
      </c>
      <c r="G100" s="19" t="n"/>
      <c r="H100" s="19" t="n"/>
    </row>
    <row r="101">
      <c r="A101" s="22" t="n"/>
      <c r="B101" s="19" t="n"/>
      <c r="C101" s="18">
        <f>IF(B101="","",IFERROR(INDEX(Jugadores!$C$2:$C$501,MATCH(B101,Jugadores!$A$2:$A$501,0)),"⚠ ID no existe"))</f>
        <v/>
      </c>
      <c r="D101" s="19" t="n"/>
      <c r="E101" s="19" t="n"/>
      <c r="F101" s="16">
        <f>IF(OR(B101="",D101=""),"",IFERROR(INDEX('Tabla XP'!$B$2:$B$12,MATCH(D101,'Tabla XP'!$A$2:$A$12,0))*IF(E101="",1,E101),0))</f>
        <v/>
      </c>
      <c r="G101" s="19" t="n"/>
      <c r="H101" s="19" t="n"/>
    </row>
    <row r="102">
      <c r="A102" s="22" t="n"/>
      <c r="B102" s="19" t="n"/>
      <c r="C102" s="18">
        <f>IF(B102="","",IFERROR(INDEX(Jugadores!$C$2:$C$501,MATCH(B102,Jugadores!$A$2:$A$501,0)),"⚠ ID no existe"))</f>
        <v/>
      </c>
      <c r="D102" s="19" t="n"/>
      <c r="E102" s="19" t="n"/>
      <c r="F102" s="16">
        <f>IF(OR(B102="",D102=""),"",IFERROR(INDEX('Tabla XP'!$B$2:$B$12,MATCH(D102,'Tabla XP'!$A$2:$A$12,0))*IF(E102="",1,E102),0))</f>
        <v/>
      </c>
      <c r="G102" s="19" t="n"/>
      <c r="H102" s="19" t="n"/>
    </row>
    <row r="103">
      <c r="A103" s="22" t="n"/>
      <c r="B103" s="19" t="n"/>
      <c r="C103" s="18">
        <f>IF(B103="","",IFERROR(INDEX(Jugadores!$C$2:$C$501,MATCH(B103,Jugadores!$A$2:$A$501,0)),"⚠ ID no existe"))</f>
        <v/>
      </c>
      <c r="D103" s="19" t="n"/>
      <c r="E103" s="19" t="n"/>
      <c r="F103" s="16">
        <f>IF(OR(B103="",D103=""),"",IFERROR(INDEX('Tabla XP'!$B$2:$B$12,MATCH(D103,'Tabla XP'!$A$2:$A$12,0))*IF(E103="",1,E103),0))</f>
        <v/>
      </c>
      <c r="G103" s="19" t="n"/>
      <c r="H103" s="19" t="n"/>
    </row>
    <row r="104">
      <c r="A104" s="22" t="n"/>
      <c r="B104" s="19" t="n"/>
      <c r="C104" s="18">
        <f>IF(B104="","",IFERROR(INDEX(Jugadores!$C$2:$C$501,MATCH(B104,Jugadores!$A$2:$A$501,0)),"⚠ ID no existe"))</f>
        <v/>
      </c>
      <c r="D104" s="19" t="n"/>
      <c r="E104" s="19" t="n"/>
      <c r="F104" s="16">
        <f>IF(OR(B104="",D104=""),"",IFERROR(INDEX('Tabla XP'!$B$2:$B$12,MATCH(D104,'Tabla XP'!$A$2:$A$12,0))*IF(E104="",1,E104),0))</f>
        <v/>
      </c>
      <c r="G104" s="19" t="n"/>
      <c r="H104" s="19" t="n"/>
    </row>
    <row r="105">
      <c r="A105" s="22" t="n"/>
      <c r="B105" s="19" t="n"/>
      <c r="C105" s="18">
        <f>IF(B105="","",IFERROR(INDEX(Jugadores!$C$2:$C$501,MATCH(B105,Jugadores!$A$2:$A$501,0)),"⚠ ID no existe"))</f>
        <v/>
      </c>
      <c r="D105" s="19" t="n"/>
      <c r="E105" s="19" t="n"/>
      <c r="F105" s="16">
        <f>IF(OR(B105="",D105=""),"",IFERROR(INDEX('Tabla XP'!$B$2:$B$12,MATCH(D105,'Tabla XP'!$A$2:$A$12,0))*IF(E105="",1,E105),0))</f>
        <v/>
      </c>
      <c r="G105" s="19" t="n"/>
      <c r="H105" s="19" t="n"/>
    </row>
    <row r="106">
      <c r="A106" s="22" t="n"/>
      <c r="B106" s="19" t="n"/>
      <c r="C106" s="18">
        <f>IF(B106="","",IFERROR(INDEX(Jugadores!$C$2:$C$501,MATCH(B106,Jugadores!$A$2:$A$501,0)),"⚠ ID no existe"))</f>
        <v/>
      </c>
      <c r="D106" s="19" t="n"/>
      <c r="E106" s="19" t="n"/>
      <c r="F106" s="16">
        <f>IF(OR(B106="",D106=""),"",IFERROR(INDEX('Tabla XP'!$B$2:$B$12,MATCH(D106,'Tabla XP'!$A$2:$A$12,0))*IF(E106="",1,E106),0))</f>
        <v/>
      </c>
      <c r="G106" s="19" t="n"/>
      <c r="H106" s="19" t="n"/>
    </row>
    <row r="107">
      <c r="A107" s="22" t="n"/>
      <c r="B107" s="19" t="n"/>
      <c r="C107" s="18">
        <f>IF(B107="","",IFERROR(INDEX(Jugadores!$C$2:$C$501,MATCH(B107,Jugadores!$A$2:$A$501,0)),"⚠ ID no existe"))</f>
        <v/>
      </c>
      <c r="D107" s="19" t="n"/>
      <c r="E107" s="19" t="n"/>
      <c r="F107" s="16">
        <f>IF(OR(B107="",D107=""),"",IFERROR(INDEX('Tabla XP'!$B$2:$B$12,MATCH(D107,'Tabla XP'!$A$2:$A$12,0))*IF(E107="",1,E107),0))</f>
        <v/>
      </c>
      <c r="G107" s="19" t="n"/>
      <c r="H107" s="19" t="n"/>
    </row>
    <row r="108">
      <c r="A108" s="22" t="n"/>
      <c r="B108" s="19" t="n"/>
      <c r="C108" s="18">
        <f>IF(B108="","",IFERROR(INDEX(Jugadores!$C$2:$C$501,MATCH(B108,Jugadores!$A$2:$A$501,0)),"⚠ ID no existe"))</f>
        <v/>
      </c>
      <c r="D108" s="19" t="n"/>
      <c r="E108" s="19" t="n"/>
      <c r="F108" s="16">
        <f>IF(OR(B108="",D108=""),"",IFERROR(INDEX('Tabla XP'!$B$2:$B$12,MATCH(D108,'Tabla XP'!$A$2:$A$12,0))*IF(E108="",1,E108),0))</f>
        <v/>
      </c>
      <c r="G108" s="19" t="n"/>
      <c r="H108" s="19" t="n"/>
    </row>
    <row r="109">
      <c r="A109" s="22" t="n"/>
      <c r="B109" s="19" t="n"/>
      <c r="C109" s="18">
        <f>IF(B109="","",IFERROR(INDEX(Jugadores!$C$2:$C$501,MATCH(B109,Jugadores!$A$2:$A$501,0)),"⚠ ID no existe"))</f>
        <v/>
      </c>
      <c r="D109" s="19" t="n"/>
      <c r="E109" s="19" t="n"/>
      <c r="F109" s="16">
        <f>IF(OR(B109="",D109=""),"",IFERROR(INDEX('Tabla XP'!$B$2:$B$12,MATCH(D109,'Tabla XP'!$A$2:$A$12,0))*IF(E109="",1,E109),0))</f>
        <v/>
      </c>
      <c r="G109" s="19" t="n"/>
      <c r="H109" s="19" t="n"/>
    </row>
    <row r="110">
      <c r="A110" s="22" t="n"/>
      <c r="B110" s="19" t="n"/>
      <c r="C110" s="18">
        <f>IF(B110="","",IFERROR(INDEX(Jugadores!$C$2:$C$501,MATCH(B110,Jugadores!$A$2:$A$501,0)),"⚠ ID no existe"))</f>
        <v/>
      </c>
      <c r="D110" s="19" t="n"/>
      <c r="E110" s="19" t="n"/>
      <c r="F110" s="16">
        <f>IF(OR(B110="",D110=""),"",IFERROR(INDEX('Tabla XP'!$B$2:$B$12,MATCH(D110,'Tabla XP'!$A$2:$A$12,0))*IF(E110="",1,E110),0))</f>
        <v/>
      </c>
      <c r="G110" s="19" t="n"/>
      <c r="H110" s="19" t="n"/>
    </row>
    <row r="111">
      <c r="A111" s="22" t="n"/>
      <c r="B111" s="19" t="n"/>
      <c r="C111" s="18">
        <f>IF(B111="","",IFERROR(INDEX(Jugadores!$C$2:$C$501,MATCH(B111,Jugadores!$A$2:$A$501,0)),"⚠ ID no existe"))</f>
        <v/>
      </c>
      <c r="D111" s="19" t="n"/>
      <c r="E111" s="19" t="n"/>
      <c r="F111" s="16">
        <f>IF(OR(B111="",D111=""),"",IFERROR(INDEX('Tabla XP'!$B$2:$B$12,MATCH(D111,'Tabla XP'!$A$2:$A$12,0))*IF(E111="",1,E111),0))</f>
        <v/>
      </c>
      <c r="G111" s="19" t="n"/>
      <c r="H111" s="19" t="n"/>
    </row>
    <row r="112">
      <c r="A112" s="22" t="n"/>
      <c r="B112" s="19" t="n"/>
      <c r="C112" s="18">
        <f>IF(B112="","",IFERROR(INDEX(Jugadores!$C$2:$C$501,MATCH(B112,Jugadores!$A$2:$A$501,0)),"⚠ ID no existe"))</f>
        <v/>
      </c>
      <c r="D112" s="19" t="n"/>
      <c r="E112" s="19" t="n"/>
      <c r="F112" s="16">
        <f>IF(OR(B112="",D112=""),"",IFERROR(INDEX('Tabla XP'!$B$2:$B$12,MATCH(D112,'Tabla XP'!$A$2:$A$12,0))*IF(E112="",1,E112),0))</f>
        <v/>
      </c>
      <c r="G112" s="19" t="n"/>
      <c r="H112" s="19" t="n"/>
    </row>
    <row r="113">
      <c r="A113" s="22" t="n"/>
      <c r="B113" s="19" t="n"/>
      <c r="C113" s="18">
        <f>IF(B113="","",IFERROR(INDEX(Jugadores!$C$2:$C$501,MATCH(B113,Jugadores!$A$2:$A$501,0)),"⚠ ID no existe"))</f>
        <v/>
      </c>
      <c r="D113" s="19" t="n"/>
      <c r="E113" s="19" t="n"/>
      <c r="F113" s="16">
        <f>IF(OR(B113="",D113=""),"",IFERROR(INDEX('Tabla XP'!$B$2:$B$12,MATCH(D113,'Tabla XP'!$A$2:$A$12,0))*IF(E113="",1,E113),0))</f>
        <v/>
      </c>
      <c r="G113" s="19" t="n"/>
      <c r="H113" s="19" t="n"/>
    </row>
    <row r="114">
      <c r="A114" s="22" t="n"/>
      <c r="B114" s="19" t="n"/>
      <c r="C114" s="18">
        <f>IF(B114="","",IFERROR(INDEX(Jugadores!$C$2:$C$501,MATCH(B114,Jugadores!$A$2:$A$501,0)),"⚠ ID no existe"))</f>
        <v/>
      </c>
      <c r="D114" s="19" t="n"/>
      <c r="E114" s="19" t="n"/>
      <c r="F114" s="16">
        <f>IF(OR(B114="",D114=""),"",IFERROR(INDEX('Tabla XP'!$B$2:$B$12,MATCH(D114,'Tabla XP'!$A$2:$A$12,0))*IF(E114="",1,E114),0))</f>
        <v/>
      </c>
      <c r="G114" s="19" t="n"/>
      <c r="H114" s="19" t="n"/>
    </row>
    <row r="115">
      <c r="A115" s="22" t="n"/>
      <c r="B115" s="19" t="n"/>
      <c r="C115" s="18">
        <f>IF(B115="","",IFERROR(INDEX(Jugadores!$C$2:$C$501,MATCH(B115,Jugadores!$A$2:$A$501,0)),"⚠ ID no existe"))</f>
        <v/>
      </c>
      <c r="D115" s="19" t="n"/>
      <c r="E115" s="19" t="n"/>
      <c r="F115" s="16">
        <f>IF(OR(B115="",D115=""),"",IFERROR(INDEX('Tabla XP'!$B$2:$B$12,MATCH(D115,'Tabla XP'!$A$2:$A$12,0))*IF(E115="",1,E115),0))</f>
        <v/>
      </c>
      <c r="G115" s="19" t="n"/>
      <c r="H115" s="19" t="n"/>
    </row>
    <row r="116">
      <c r="A116" s="22" t="n"/>
      <c r="B116" s="19" t="n"/>
      <c r="C116" s="18">
        <f>IF(B116="","",IFERROR(INDEX(Jugadores!$C$2:$C$501,MATCH(B116,Jugadores!$A$2:$A$501,0)),"⚠ ID no existe"))</f>
        <v/>
      </c>
      <c r="D116" s="19" t="n"/>
      <c r="E116" s="19" t="n"/>
      <c r="F116" s="16">
        <f>IF(OR(B116="",D116=""),"",IFERROR(INDEX('Tabla XP'!$B$2:$B$12,MATCH(D116,'Tabla XP'!$A$2:$A$12,0))*IF(E116="",1,E116),0))</f>
        <v/>
      </c>
      <c r="G116" s="19" t="n"/>
      <c r="H116" s="19" t="n"/>
    </row>
    <row r="117">
      <c r="A117" s="22" t="n"/>
      <c r="B117" s="19" t="n"/>
      <c r="C117" s="18">
        <f>IF(B117="","",IFERROR(INDEX(Jugadores!$C$2:$C$501,MATCH(B117,Jugadores!$A$2:$A$501,0)),"⚠ ID no existe"))</f>
        <v/>
      </c>
      <c r="D117" s="19" t="n"/>
      <c r="E117" s="19" t="n"/>
      <c r="F117" s="16">
        <f>IF(OR(B117="",D117=""),"",IFERROR(INDEX('Tabla XP'!$B$2:$B$12,MATCH(D117,'Tabla XP'!$A$2:$A$12,0))*IF(E117="",1,E117),0))</f>
        <v/>
      </c>
      <c r="G117" s="19" t="n"/>
      <c r="H117" s="19" t="n"/>
    </row>
    <row r="118">
      <c r="A118" s="22" t="n"/>
      <c r="B118" s="19" t="n"/>
      <c r="C118" s="18">
        <f>IF(B118="","",IFERROR(INDEX(Jugadores!$C$2:$C$501,MATCH(B118,Jugadores!$A$2:$A$501,0)),"⚠ ID no existe"))</f>
        <v/>
      </c>
      <c r="D118" s="19" t="n"/>
      <c r="E118" s="19" t="n"/>
      <c r="F118" s="16">
        <f>IF(OR(B118="",D118=""),"",IFERROR(INDEX('Tabla XP'!$B$2:$B$12,MATCH(D118,'Tabla XP'!$A$2:$A$12,0))*IF(E118="",1,E118),0))</f>
        <v/>
      </c>
      <c r="G118" s="19" t="n"/>
      <c r="H118" s="19" t="n"/>
    </row>
    <row r="119">
      <c r="A119" s="22" t="n"/>
      <c r="B119" s="19" t="n"/>
      <c r="C119" s="18">
        <f>IF(B119="","",IFERROR(INDEX(Jugadores!$C$2:$C$501,MATCH(B119,Jugadores!$A$2:$A$501,0)),"⚠ ID no existe"))</f>
        <v/>
      </c>
      <c r="D119" s="19" t="n"/>
      <c r="E119" s="19" t="n"/>
      <c r="F119" s="16">
        <f>IF(OR(B119="",D119=""),"",IFERROR(INDEX('Tabla XP'!$B$2:$B$12,MATCH(D119,'Tabla XP'!$A$2:$A$12,0))*IF(E119="",1,E119),0))</f>
        <v/>
      </c>
      <c r="G119" s="19" t="n"/>
      <c r="H119" s="19" t="n"/>
    </row>
    <row r="120">
      <c r="A120" s="22" t="n"/>
      <c r="B120" s="19" t="n"/>
      <c r="C120" s="18">
        <f>IF(B120="","",IFERROR(INDEX(Jugadores!$C$2:$C$501,MATCH(B120,Jugadores!$A$2:$A$501,0)),"⚠ ID no existe"))</f>
        <v/>
      </c>
      <c r="D120" s="19" t="n"/>
      <c r="E120" s="19" t="n"/>
      <c r="F120" s="16">
        <f>IF(OR(B120="",D120=""),"",IFERROR(INDEX('Tabla XP'!$B$2:$B$12,MATCH(D120,'Tabla XP'!$A$2:$A$12,0))*IF(E120="",1,E120),0))</f>
        <v/>
      </c>
      <c r="G120" s="19" t="n"/>
      <c r="H120" s="19" t="n"/>
    </row>
    <row r="121">
      <c r="A121" s="22" t="n"/>
      <c r="B121" s="19" t="n"/>
      <c r="C121" s="18">
        <f>IF(B121="","",IFERROR(INDEX(Jugadores!$C$2:$C$501,MATCH(B121,Jugadores!$A$2:$A$501,0)),"⚠ ID no existe"))</f>
        <v/>
      </c>
      <c r="D121" s="19" t="n"/>
      <c r="E121" s="19" t="n"/>
      <c r="F121" s="16">
        <f>IF(OR(B121="",D121=""),"",IFERROR(INDEX('Tabla XP'!$B$2:$B$12,MATCH(D121,'Tabla XP'!$A$2:$A$12,0))*IF(E121="",1,E121),0))</f>
        <v/>
      </c>
      <c r="G121" s="19" t="n"/>
      <c r="H121" s="19" t="n"/>
    </row>
    <row r="122">
      <c r="A122" s="22" t="n"/>
      <c r="B122" s="19" t="n"/>
      <c r="C122" s="18">
        <f>IF(B122="","",IFERROR(INDEX(Jugadores!$C$2:$C$501,MATCH(B122,Jugadores!$A$2:$A$501,0)),"⚠ ID no existe"))</f>
        <v/>
      </c>
      <c r="D122" s="19" t="n"/>
      <c r="E122" s="19" t="n"/>
      <c r="F122" s="16">
        <f>IF(OR(B122="",D122=""),"",IFERROR(INDEX('Tabla XP'!$B$2:$B$12,MATCH(D122,'Tabla XP'!$A$2:$A$12,0))*IF(E122="",1,E122),0))</f>
        <v/>
      </c>
      <c r="G122" s="19" t="n"/>
      <c r="H122" s="19" t="n"/>
    </row>
    <row r="123">
      <c r="A123" s="22" t="n"/>
      <c r="B123" s="19" t="n"/>
      <c r="C123" s="18">
        <f>IF(B123="","",IFERROR(INDEX(Jugadores!$C$2:$C$501,MATCH(B123,Jugadores!$A$2:$A$501,0)),"⚠ ID no existe"))</f>
        <v/>
      </c>
      <c r="D123" s="19" t="n"/>
      <c r="E123" s="19" t="n"/>
      <c r="F123" s="16">
        <f>IF(OR(B123="",D123=""),"",IFERROR(INDEX('Tabla XP'!$B$2:$B$12,MATCH(D123,'Tabla XP'!$A$2:$A$12,0))*IF(E123="",1,E123),0))</f>
        <v/>
      </c>
      <c r="G123" s="19" t="n"/>
      <c r="H123" s="19" t="n"/>
    </row>
    <row r="124">
      <c r="A124" s="22" t="n"/>
      <c r="B124" s="19" t="n"/>
      <c r="C124" s="18">
        <f>IF(B124="","",IFERROR(INDEX(Jugadores!$C$2:$C$501,MATCH(B124,Jugadores!$A$2:$A$501,0)),"⚠ ID no existe"))</f>
        <v/>
      </c>
      <c r="D124" s="19" t="n"/>
      <c r="E124" s="19" t="n"/>
      <c r="F124" s="16">
        <f>IF(OR(B124="",D124=""),"",IFERROR(INDEX('Tabla XP'!$B$2:$B$12,MATCH(D124,'Tabla XP'!$A$2:$A$12,0))*IF(E124="",1,E124),0))</f>
        <v/>
      </c>
      <c r="G124" s="19" t="n"/>
      <c r="H124" s="19" t="n"/>
    </row>
    <row r="125">
      <c r="A125" s="22" t="n"/>
      <c r="B125" s="19" t="n"/>
      <c r="C125" s="18">
        <f>IF(B125="","",IFERROR(INDEX(Jugadores!$C$2:$C$501,MATCH(B125,Jugadores!$A$2:$A$501,0)),"⚠ ID no existe"))</f>
        <v/>
      </c>
      <c r="D125" s="19" t="n"/>
      <c r="E125" s="19" t="n"/>
      <c r="F125" s="16">
        <f>IF(OR(B125="",D125=""),"",IFERROR(INDEX('Tabla XP'!$B$2:$B$12,MATCH(D125,'Tabla XP'!$A$2:$A$12,0))*IF(E125="",1,E125),0))</f>
        <v/>
      </c>
      <c r="G125" s="19" t="n"/>
      <c r="H125" s="19" t="n"/>
    </row>
    <row r="126">
      <c r="A126" s="22" t="n"/>
      <c r="B126" s="19" t="n"/>
      <c r="C126" s="18">
        <f>IF(B126="","",IFERROR(INDEX(Jugadores!$C$2:$C$501,MATCH(B126,Jugadores!$A$2:$A$501,0)),"⚠ ID no existe"))</f>
        <v/>
      </c>
      <c r="D126" s="19" t="n"/>
      <c r="E126" s="19" t="n"/>
      <c r="F126" s="16">
        <f>IF(OR(B126="",D126=""),"",IFERROR(INDEX('Tabla XP'!$B$2:$B$12,MATCH(D126,'Tabla XP'!$A$2:$A$12,0))*IF(E126="",1,E126),0))</f>
        <v/>
      </c>
      <c r="G126" s="19" t="n"/>
      <c r="H126" s="19" t="n"/>
    </row>
    <row r="127">
      <c r="A127" s="22" t="n"/>
      <c r="B127" s="19" t="n"/>
      <c r="C127" s="18">
        <f>IF(B127="","",IFERROR(INDEX(Jugadores!$C$2:$C$501,MATCH(B127,Jugadores!$A$2:$A$501,0)),"⚠ ID no existe"))</f>
        <v/>
      </c>
      <c r="D127" s="19" t="n"/>
      <c r="E127" s="19" t="n"/>
      <c r="F127" s="16">
        <f>IF(OR(B127="",D127=""),"",IFERROR(INDEX('Tabla XP'!$B$2:$B$12,MATCH(D127,'Tabla XP'!$A$2:$A$12,0))*IF(E127="",1,E127),0))</f>
        <v/>
      </c>
      <c r="G127" s="19" t="n"/>
      <c r="H127" s="19" t="n"/>
    </row>
    <row r="128">
      <c r="A128" s="22" t="n"/>
      <c r="B128" s="19" t="n"/>
      <c r="C128" s="18">
        <f>IF(B128="","",IFERROR(INDEX(Jugadores!$C$2:$C$501,MATCH(B128,Jugadores!$A$2:$A$501,0)),"⚠ ID no existe"))</f>
        <v/>
      </c>
      <c r="D128" s="19" t="n"/>
      <c r="E128" s="19" t="n"/>
      <c r="F128" s="16">
        <f>IF(OR(B128="",D128=""),"",IFERROR(INDEX('Tabla XP'!$B$2:$B$12,MATCH(D128,'Tabla XP'!$A$2:$A$12,0))*IF(E128="",1,E128),0))</f>
        <v/>
      </c>
      <c r="G128" s="19" t="n"/>
      <c r="H128" s="19" t="n"/>
    </row>
    <row r="129">
      <c r="A129" s="22" t="n"/>
      <c r="B129" s="19" t="n"/>
      <c r="C129" s="18">
        <f>IF(B129="","",IFERROR(INDEX(Jugadores!$C$2:$C$501,MATCH(B129,Jugadores!$A$2:$A$501,0)),"⚠ ID no existe"))</f>
        <v/>
      </c>
      <c r="D129" s="19" t="n"/>
      <c r="E129" s="19" t="n"/>
      <c r="F129" s="16">
        <f>IF(OR(B129="",D129=""),"",IFERROR(INDEX('Tabla XP'!$B$2:$B$12,MATCH(D129,'Tabla XP'!$A$2:$A$12,0))*IF(E129="",1,E129),0))</f>
        <v/>
      </c>
      <c r="G129" s="19" t="n"/>
      <c r="H129" s="19" t="n"/>
    </row>
    <row r="130">
      <c r="A130" s="22" t="n"/>
      <c r="B130" s="19" t="n"/>
      <c r="C130" s="18">
        <f>IF(B130="","",IFERROR(INDEX(Jugadores!$C$2:$C$501,MATCH(B130,Jugadores!$A$2:$A$501,0)),"⚠ ID no existe"))</f>
        <v/>
      </c>
      <c r="D130" s="19" t="n"/>
      <c r="E130" s="19" t="n"/>
      <c r="F130" s="16">
        <f>IF(OR(B130="",D130=""),"",IFERROR(INDEX('Tabla XP'!$B$2:$B$12,MATCH(D130,'Tabla XP'!$A$2:$A$12,0))*IF(E130="",1,E130),0))</f>
        <v/>
      </c>
      <c r="G130" s="19" t="n"/>
      <c r="H130" s="19" t="n"/>
    </row>
    <row r="131">
      <c r="A131" s="22" t="n"/>
      <c r="B131" s="19" t="n"/>
      <c r="C131" s="18">
        <f>IF(B131="","",IFERROR(INDEX(Jugadores!$C$2:$C$501,MATCH(B131,Jugadores!$A$2:$A$501,0)),"⚠ ID no existe"))</f>
        <v/>
      </c>
      <c r="D131" s="19" t="n"/>
      <c r="E131" s="19" t="n"/>
      <c r="F131" s="16">
        <f>IF(OR(B131="",D131=""),"",IFERROR(INDEX('Tabla XP'!$B$2:$B$12,MATCH(D131,'Tabla XP'!$A$2:$A$12,0))*IF(E131="",1,E131),0))</f>
        <v/>
      </c>
      <c r="G131" s="19" t="n"/>
      <c r="H131" s="19" t="n"/>
    </row>
    <row r="132">
      <c r="A132" s="22" t="n"/>
      <c r="B132" s="19" t="n"/>
      <c r="C132" s="18">
        <f>IF(B132="","",IFERROR(INDEX(Jugadores!$C$2:$C$501,MATCH(B132,Jugadores!$A$2:$A$501,0)),"⚠ ID no existe"))</f>
        <v/>
      </c>
      <c r="D132" s="19" t="n"/>
      <c r="E132" s="19" t="n"/>
      <c r="F132" s="16">
        <f>IF(OR(B132="",D132=""),"",IFERROR(INDEX('Tabla XP'!$B$2:$B$12,MATCH(D132,'Tabla XP'!$A$2:$A$12,0))*IF(E132="",1,E132),0))</f>
        <v/>
      </c>
      <c r="G132" s="19" t="n"/>
      <c r="H132" s="19" t="n"/>
    </row>
    <row r="133">
      <c r="A133" s="22" t="n"/>
      <c r="B133" s="19" t="n"/>
      <c r="C133" s="18">
        <f>IF(B133="","",IFERROR(INDEX(Jugadores!$C$2:$C$501,MATCH(B133,Jugadores!$A$2:$A$501,0)),"⚠ ID no existe"))</f>
        <v/>
      </c>
      <c r="D133" s="19" t="n"/>
      <c r="E133" s="19" t="n"/>
      <c r="F133" s="16">
        <f>IF(OR(B133="",D133=""),"",IFERROR(INDEX('Tabla XP'!$B$2:$B$12,MATCH(D133,'Tabla XP'!$A$2:$A$12,0))*IF(E133="",1,E133),0))</f>
        <v/>
      </c>
      <c r="G133" s="19" t="n"/>
      <c r="H133" s="19" t="n"/>
    </row>
    <row r="134">
      <c r="A134" s="22" t="n"/>
      <c r="B134" s="19" t="n"/>
      <c r="C134" s="18">
        <f>IF(B134="","",IFERROR(INDEX(Jugadores!$C$2:$C$501,MATCH(B134,Jugadores!$A$2:$A$501,0)),"⚠ ID no existe"))</f>
        <v/>
      </c>
      <c r="D134" s="19" t="n"/>
      <c r="E134" s="19" t="n"/>
      <c r="F134" s="16">
        <f>IF(OR(B134="",D134=""),"",IFERROR(INDEX('Tabla XP'!$B$2:$B$12,MATCH(D134,'Tabla XP'!$A$2:$A$12,0))*IF(E134="",1,E134),0))</f>
        <v/>
      </c>
      <c r="G134" s="19" t="n"/>
      <c r="H134" s="19" t="n"/>
    </row>
    <row r="135">
      <c r="A135" s="22" t="n"/>
      <c r="B135" s="19" t="n"/>
      <c r="C135" s="18">
        <f>IF(B135="","",IFERROR(INDEX(Jugadores!$C$2:$C$501,MATCH(B135,Jugadores!$A$2:$A$501,0)),"⚠ ID no existe"))</f>
        <v/>
      </c>
      <c r="D135" s="19" t="n"/>
      <c r="E135" s="19" t="n"/>
      <c r="F135" s="16">
        <f>IF(OR(B135="",D135=""),"",IFERROR(INDEX('Tabla XP'!$B$2:$B$12,MATCH(D135,'Tabla XP'!$A$2:$A$12,0))*IF(E135="",1,E135),0))</f>
        <v/>
      </c>
      <c r="G135" s="19" t="n"/>
      <c r="H135" s="19" t="n"/>
    </row>
    <row r="136">
      <c r="A136" s="22" t="n"/>
      <c r="B136" s="19" t="n"/>
      <c r="C136" s="18">
        <f>IF(B136="","",IFERROR(INDEX(Jugadores!$C$2:$C$501,MATCH(B136,Jugadores!$A$2:$A$501,0)),"⚠ ID no existe"))</f>
        <v/>
      </c>
      <c r="D136" s="19" t="n"/>
      <c r="E136" s="19" t="n"/>
      <c r="F136" s="16">
        <f>IF(OR(B136="",D136=""),"",IFERROR(INDEX('Tabla XP'!$B$2:$B$12,MATCH(D136,'Tabla XP'!$A$2:$A$12,0))*IF(E136="",1,E136),0))</f>
        <v/>
      </c>
      <c r="G136" s="19" t="n"/>
      <c r="H136" s="19" t="n"/>
    </row>
    <row r="137">
      <c r="A137" s="22" t="n"/>
      <c r="B137" s="19" t="n"/>
      <c r="C137" s="18">
        <f>IF(B137="","",IFERROR(INDEX(Jugadores!$C$2:$C$501,MATCH(B137,Jugadores!$A$2:$A$501,0)),"⚠ ID no existe"))</f>
        <v/>
      </c>
      <c r="D137" s="19" t="n"/>
      <c r="E137" s="19" t="n"/>
      <c r="F137" s="16">
        <f>IF(OR(B137="",D137=""),"",IFERROR(INDEX('Tabla XP'!$B$2:$B$12,MATCH(D137,'Tabla XP'!$A$2:$A$12,0))*IF(E137="",1,E137),0))</f>
        <v/>
      </c>
      <c r="G137" s="19" t="n"/>
      <c r="H137" s="19" t="n"/>
    </row>
    <row r="138">
      <c r="A138" s="22" t="n"/>
      <c r="B138" s="19" t="n"/>
      <c r="C138" s="18">
        <f>IF(B138="","",IFERROR(INDEX(Jugadores!$C$2:$C$501,MATCH(B138,Jugadores!$A$2:$A$501,0)),"⚠ ID no existe"))</f>
        <v/>
      </c>
      <c r="D138" s="19" t="n"/>
      <c r="E138" s="19" t="n"/>
      <c r="F138" s="16">
        <f>IF(OR(B138="",D138=""),"",IFERROR(INDEX('Tabla XP'!$B$2:$B$12,MATCH(D138,'Tabla XP'!$A$2:$A$12,0))*IF(E138="",1,E138),0))</f>
        <v/>
      </c>
      <c r="G138" s="19" t="n"/>
      <c r="H138" s="19" t="n"/>
    </row>
    <row r="139">
      <c r="A139" s="22" t="n"/>
      <c r="B139" s="19" t="n"/>
      <c r="C139" s="18">
        <f>IF(B139="","",IFERROR(INDEX(Jugadores!$C$2:$C$501,MATCH(B139,Jugadores!$A$2:$A$501,0)),"⚠ ID no existe"))</f>
        <v/>
      </c>
      <c r="D139" s="19" t="n"/>
      <c r="E139" s="19" t="n"/>
      <c r="F139" s="16">
        <f>IF(OR(B139="",D139=""),"",IFERROR(INDEX('Tabla XP'!$B$2:$B$12,MATCH(D139,'Tabla XP'!$A$2:$A$12,0))*IF(E139="",1,E139),0))</f>
        <v/>
      </c>
      <c r="G139" s="19" t="n"/>
      <c r="H139" s="19" t="n"/>
    </row>
    <row r="140">
      <c r="A140" s="22" t="n"/>
      <c r="B140" s="19" t="n"/>
      <c r="C140" s="18">
        <f>IF(B140="","",IFERROR(INDEX(Jugadores!$C$2:$C$501,MATCH(B140,Jugadores!$A$2:$A$501,0)),"⚠ ID no existe"))</f>
        <v/>
      </c>
      <c r="D140" s="19" t="n"/>
      <c r="E140" s="19" t="n"/>
      <c r="F140" s="16">
        <f>IF(OR(B140="",D140=""),"",IFERROR(INDEX('Tabla XP'!$B$2:$B$12,MATCH(D140,'Tabla XP'!$A$2:$A$12,0))*IF(E140="",1,E140),0))</f>
        <v/>
      </c>
      <c r="G140" s="19" t="n"/>
      <c r="H140" s="19" t="n"/>
    </row>
    <row r="141">
      <c r="A141" s="22" t="n"/>
      <c r="B141" s="19" t="n"/>
      <c r="C141" s="18">
        <f>IF(B141="","",IFERROR(INDEX(Jugadores!$C$2:$C$501,MATCH(B141,Jugadores!$A$2:$A$501,0)),"⚠ ID no existe"))</f>
        <v/>
      </c>
      <c r="D141" s="19" t="n"/>
      <c r="E141" s="19" t="n"/>
      <c r="F141" s="16">
        <f>IF(OR(B141="",D141=""),"",IFERROR(INDEX('Tabla XP'!$B$2:$B$12,MATCH(D141,'Tabla XP'!$A$2:$A$12,0))*IF(E141="",1,E141),0))</f>
        <v/>
      </c>
      <c r="G141" s="19" t="n"/>
      <c r="H141" s="19" t="n"/>
    </row>
    <row r="142">
      <c r="A142" s="22" t="n"/>
      <c r="B142" s="19" t="n"/>
      <c r="C142" s="18">
        <f>IF(B142="","",IFERROR(INDEX(Jugadores!$C$2:$C$501,MATCH(B142,Jugadores!$A$2:$A$501,0)),"⚠ ID no existe"))</f>
        <v/>
      </c>
      <c r="D142" s="19" t="n"/>
      <c r="E142" s="19" t="n"/>
      <c r="F142" s="16">
        <f>IF(OR(B142="",D142=""),"",IFERROR(INDEX('Tabla XP'!$B$2:$B$12,MATCH(D142,'Tabla XP'!$A$2:$A$12,0))*IF(E142="",1,E142),0))</f>
        <v/>
      </c>
      <c r="G142" s="19" t="n"/>
      <c r="H142" s="19" t="n"/>
    </row>
    <row r="143">
      <c r="A143" s="22" t="n"/>
      <c r="B143" s="19" t="n"/>
      <c r="C143" s="18">
        <f>IF(B143="","",IFERROR(INDEX(Jugadores!$C$2:$C$501,MATCH(B143,Jugadores!$A$2:$A$501,0)),"⚠ ID no existe"))</f>
        <v/>
      </c>
      <c r="D143" s="19" t="n"/>
      <c r="E143" s="19" t="n"/>
      <c r="F143" s="16">
        <f>IF(OR(B143="",D143=""),"",IFERROR(INDEX('Tabla XP'!$B$2:$B$12,MATCH(D143,'Tabla XP'!$A$2:$A$12,0))*IF(E143="",1,E143),0))</f>
        <v/>
      </c>
      <c r="G143" s="19" t="n"/>
      <c r="H143" s="19" t="n"/>
    </row>
    <row r="144">
      <c r="A144" s="22" t="n"/>
      <c r="B144" s="19" t="n"/>
      <c r="C144" s="18">
        <f>IF(B144="","",IFERROR(INDEX(Jugadores!$C$2:$C$501,MATCH(B144,Jugadores!$A$2:$A$501,0)),"⚠ ID no existe"))</f>
        <v/>
      </c>
      <c r="D144" s="19" t="n"/>
      <c r="E144" s="19" t="n"/>
      <c r="F144" s="16">
        <f>IF(OR(B144="",D144=""),"",IFERROR(INDEX('Tabla XP'!$B$2:$B$12,MATCH(D144,'Tabla XP'!$A$2:$A$12,0))*IF(E144="",1,E144),0))</f>
        <v/>
      </c>
      <c r="G144" s="19" t="n"/>
      <c r="H144" s="19" t="n"/>
    </row>
    <row r="145">
      <c r="A145" s="22" t="n"/>
      <c r="B145" s="19" t="n"/>
      <c r="C145" s="18">
        <f>IF(B145="","",IFERROR(INDEX(Jugadores!$C$2:$C$501,MATCH(B145,Jugadores!$A$2:$A$501,0)),"⚠ ID no existe"))</f>
        <v/>
      </c>
      <c r="D145" s="19" t="n"/>
      <c r="E145" s="19" t="n"/>
      <c r="F145" s="16">
        <f>IF(OR(B145="",D145=""),"",IFERROR(INDEX('Tabla XP'!$B$2:$B$12,MATCH(D145,'Tabla XP'!$A$2:$A$12,0))*IF(E145="",1,E145),0))</f>
        <v/>
      </c>
      <c r="G145" s="19" t="n"/>
      <c r="H145" s="19" t="n"/>
    </row>
    <row r="146">
      <c r="A146" s="22" t="n"/>
      <c r="B146" s="19" t="n"/>
      <c r="C146" s="18">
        <f>IF(B146="","",IFERROR(INDEX(Jugadores!$C$2:$C$501,MATCH(B146,Jugadores!$A$2:$A$501,0)),"⚠ ID no existe"))</f>
        <v/>
      </c>
      <c r="D146" s="19" t="n"/>
      <c r="E146" s="19" t="n"/>
      <c r="F146" s="16">
        <f>IF(OR(B146="",D146=""),"",IFERROR(INDEX('Tabla XP'!$B$2:$B$12,MATCH(D146,'Tabla XP'!$A$2:$A$12,0))*IF(E146="",1,E146),0))</f>
        <v/>
      </c>
      <c r="G146" s="19" t="n"/>
      <c r="H146" s="19" t="n"/>
    </row>
    <row r="147">
      <c r="A147" s="22" t="n"/>
      <c r="B147" s="19" t="n"/>
      <c r="C147" s="18">
        <f>IF(B147="","",IFERROR(INDEX(Jugadores!$C$2:$C$501,MATCH(B147,Jugadores!$A$2:$A$501,0)),"⚠ ID no existe"))</f>
        <v/>
      </c>
      <c r="D147" s="19" t="n"/>
      <c r="E147" s="19" t="n"/>
      <c r="F147" s="16">
        <f>IF(OR(B147="",D147=""),"",IFERROR(INDEX('Tabla XP'!$B$2:$B$12,MATCH(D147,'Tabla XP'!$A$2:$A$12,0))*IF(E147="",1,E147),0))</f>
        <v/>
      </c>
      <c r="G147" s="19" t="n"/>
      <c r="H147" s="19" t="n"/>
    </row>
    <row r="148">
      <c r="A148" s="22" t="n"/>
      <c r="B148" s="19" t="n"/>
      <c r="C148" s="18">
        <f>IF(B148="","",IFERROR(INDEX(Jugadores!$C$2:$C$501,MATCH(B148,Jugadores!$A$2:$A$501,0)),"⚠ ID no existe"))</f>
        <v/>
      </c>
      <c r="D148" s="19" t="n"/>
      <c r="E148" s="19" t="n"/>
      <c r="F148" s="16">
        <f>IF(OR(B148="",D148=""),"",IFERROR(INDEX('Tabla XP'!$B$2:$B$12,MATCH(D148,'Tabla XP'!$A$2:$A$12,0))*IF(E148="",1,E148),0))</f>
        <v/>
      </c>
      <c r="G148" s="19" t="n"/>
      <c r="H148" s="19" t="n"/>
    </row>
    <row r="149">
      <c r="A149" s="22" t="n"/>
      <c r="B149" s="19" t="n"/>
      <c r="C149" s="18">
        <f>IF(B149="","",IFERROR(INDEX(Jugadores!$C$2:$C$501,MATCH(B149,Jugadores!$A$2:$A$501,0)),"⚠ ID no existe"))</f>
        <v/>
      </c>
      <c r="D149" s="19" t="n"/>
      <c r="E149" s="19" t="n"/>
      <c r="F149" s="16">
        <f>IF(OR(B149="",D149=""),"",IFERROR(INDEX('Tabla XP'!$B$2:$B$12,MATCH(D149,'Tabla XP'!$A$2:$A$12,0))*IF(E149="",1,E149),0))</f>
        <v/>
      </c>
      <c r="G149" s="19" t="n"/>
      <c r="H149" s="19" t="n"/>
    </row>
    <row r="150">
      <c r="A150" s="22" t="n"/>
      <c r="B150" s="19" t="n"/>
      <c r="C150" s="18">
        <f>IF(B150="","",IFERROR(INDEX(Jugadores!$C$2:$C$501,MATCH(B150,Jugadores!$A$2:$A$501,0)),"⚠ ID no existe"))</f>
        <v/>
      </c>
      <c r="D150" s="19" t="n"/>
      <c r="E150" s="19" t="n"/>
      <c r="F150" s="16">
        <f>IF(OR(B150="",D150=""),"",IFERROR(INDEX('Tabla XP'!$B$2:$B$12,MATCH(D150,'Tabla XP'!$A$2:$A$12,0))*IF(E150="",1,E150),0))</f>
        <v/>
      </c>
      <c r="G150" s="19" t="n"/>
      <c r="H150" s="19" t="n"/>
    </row>
    <row r="151">
      <c r="A151" s="22" t="n"/>
      <c r="B151" s="19" t="n"/>
      <c r="C151" s="18">
        <f>IF(B151="","",IFERROR(INDEX(Jugadores!$C$2:$C$501,MATCH(B151,Jugadores!$A$2:$A$501,0)),"⚠ ID no existe"))</f>
        <v/>
      </c>
      <c r="D151" s="19" t="n"/>
      <c r="E151" s="19" t="n"/>
      <c r="F151" s="16">
        <f>IF(OR(B151="",D151=""),"",IFERROR(INDEX('Tabla XP'!$B$2:$B$12,MATCH(D151,'Tabla XP'!$A$2:$A$12,0))*IF(E151="",1,E151),0))</f>
        <v/>
      </c>
      <c r="G151" s="19" t="n"/>
      <c r="H151" s="19" t="n"/>
    </row>
    <row r="152">
      <c r="A152" s="22" t="n"/>
      <c r="B152" s="19" t="n"/>
      <c r="C152" s="18">
        <f>IF(B152="","",IFERROR(INDEX(Jugadores!$C$2:$C$501,MATCH(B152,Jugadores!$A$2:$A$501,0)),"⚠ ID no existe"))</f>
        <v/>
      </c>
      <c r="D152" s="19" t="n"/>
      <c r="E152" s="19" t="n"/>
      <c r="F152" s="16">
        <f>IF(OR(B152="",D152=""),"",IFERROR(INDEX('Tabla XP'!$B$2:$B$12,MATCH(D152,'Tabla XP'!$A$2:$A$12,0))*IF(E152="",1,E152),0))</f>
        <v/>
      </c>
      <c r="G152" s="19" t="n"/>
      <c r="H152" s="19" t="n"/>
    </row>
    <row r="153">
      <c r="A153" s="22" t="n"/>
      <c r="B153" s="19" t="n"/>
      <c r="C153" s="18">
        <f>IF(B153="","",IFERROR(INDEX(Jugadores!$C$2:$C$501,MATCH(B153,Jugadores!$A$2:$A$501,0)),"⚠ ID no existe"))</f>
        <v/>
      </c>
      <c r="D153" s="19" t="n"/>
      <c r="E153" s="19" t="n"/>
      <c r="F153" s="16">
        <f>IF(OR(B153="",D153=""),"",IFERROR(INDEX('Tabla XP'!$B$2:$B$12,MATCH(D153,'Tabla XP'!$A$2:$A$12,0))*IF(E153="",1,E153),0))</f>
        <v/>
      </c>
      <c r="G153" s="19" t="n"/>
      <c r="H153" s="19" t="n"/>
    </row>
    <row r="154">
      <c r="A154" s="22" t="n"/>
      <c r="B154" s="19" t="n"/>
      <c r="C154" s="18">
        <f>IF(B154="","",IFERROR(INDEX(Jugadores!$C$2:$C$501,MATCH(B154,Jugadores!$A$2:$A$501,0)),"⚠ ID no existe"))</f>
        <v/>
      </c>
      <c r="D154" s="19" t="n"/>
      <c r="E154" s="19" t="n"/>
      <c r="F154" s="16">
        <f>IF(OR(B154="",D154=""),"",IFERROR(INDEX('Tabla XP'!$B$2:$B$12,MATCH(D154,'Tabla XP'!$A$2:$A$12,0))*IF(E154="",1,E154),0))</f>
        <v/>
      </c>
      <c r="G154" s="19" t="n"/>
      <c r="H154" s="19" t="n"/>
    </row>
    <row r="155">
      <c r="A155" s="22" t="n"/>
      <c r="B155" s="19" t="n"/>
      <c r="C155" s="18">
        <f>IF(B155="","",IFERROR(INDEX(Jugadores!$C$2:$C$501,MATCH(B155,Jugadores!$A$2:$A$501,0)),"⚠ ID no existe"))</f>
        <v/>
      </c>
      <c r="D155" s="19" t="n"/>
      <c r="E155" s="19" t="n"/>
      <c r="F155" s="16">
        <f>IF(OR(B155="",D155=""),"",IFERROR(INDEX('Tabla XP'!$B$2:$B$12,MATCH(D155,'Tabla XP'!$A$2:$A$12,0))*IF(E155="",1,E155),0))</f>
        <v/>
      </c>
      <c r="G155" s="19" t="n"/>
      <c r="H155" s="19" t="n"/>
    </row>
    <row r="156">
      <c r="A156" s="22" t="n"/>
      <c r="B156" s="19" t="n"/>
      <c r="C156" s="18">
        <f>IF(B156="","",IFERROR(INDEX(Jugadores!$C$2:$C$501,MATCH(B156,Jugadores!$A$2:$A$501,0)),"⚠ ID no existe"))</f>
        <v/>
      </c>
      <c r="D156" s="19" t="n"/>
      <c r="E156" s="19" t="n"/>
      <c r="F156" s="16">
        <f>IF(OR(B156="",D156=""),"",IFERROR(INDEX('Tabla XP'!$B$2:$B$12,MATCH(D156,'Tabla XP'!$A$2:$A$12,0))*IF(E156="",1,E156),0))</f>
        <v/>
      </c>
      <c r="G156" s="19" t="n"/>
      <c r="H156" s="19" t="n"/>
    </row>
    <row r="157">
      <c r="A157" s="22" t="n"/>
      <c r="B157" s="19" t="n"/>
      <c r="C157" s="18">
        <f>IF(B157="","",IFERROR(INDEX(Jugadores!$C$2:$C$501,MATCH(B157,Jugadores!$A$2:$A$501,0)),"⚠ ID no existe"))</f>
        <v/>
      </c>
      <c r="D157" s="19" t="n"/>
      <c r="E157" s="19" t="n"/>
      <c r="F157" s="16">
        <f>IF(OR(B157="",D157=""),"",IFERROR(INDEX('Tabla XP'!$B$2:$B$12,MATCH(D157,'Tabla XP'!$A$2:$A$12,0))*IF(E157="",1,E157),0))</f>
        <v/>
      </c>
      <c r="G157" s="19" t="n"/>
      <c r="H157" s="19" t="n"/>
    </row>
    <row r="158">
      <c r="A158" s="22" t="n"/>
      <c r="B158" s="19" t="n"/>
      <c r="C158" s="18">
        <f>IF(B158="","",IFERROR(INDEX(Jugadores!$C$2:$C$501,MATCH(B158,Jugadores!$A$2:$A$501,0)),"⚠ ID no existe"))</f>
        <v/>
      </c>
      <c r="D158" s="19" t="n"/>
      <c r="E158" s="19" t="n"/>
      <c r="F158" s="16">
        <f>IF(OR(B158="",D158=""),"",IFERROR(INDEX('Tabla XP'!$B$2:$B$12,MATCH(D158,'Tabla XP'!$A$2:$A$12,0))*IF(E158="",1,E158),0))</f>
        <v/>
      </c>
      <c r="G158" s="19" t="n"/>
      <c r="H158" s="19" t="n"/>
    </row>
    <row r="159">
      <c r="A159" s="22" t="n"/>
      <c r="B159" s="19" t="n"/>
      <c r="C159" s="18">
        <f>IF(B159="","",IFERROR(INDEX(Jugadores!$C$2:$C$501,MATCH(B159,Jugadores!$A$2:$A$501,0)),"⚠ ID no existe"))</f>
        <v/>
      </c>
      <c r="D159" s="19" t="n"/>
      <c r="E159" s="19" t="n"/>
      <c r="F159" s="16">
        <f>IF(OR(B159="",D159=""),"",IFERROR(INDEX('Tabla XP'!$B$2:$B$12,MATCH(D159,'Tabla XP'!$A$2:$A$12,0))*IF(E159="",1,E159),0))</f>
        <v/>
      </c>
      <c r="G159" s="19" t="n"/>
      <c r="H159" s="19" t="n"/>
    </row>
    <row r="160">
      <c r="A160" s="22" t="n"/>
      <c r="B160" s="19" t="n"/>
      <c r="C160" s="18">
        <f>IF(B160="","",IFERROR(INDEX(Jugadores!$C$2:$C$501,MATCH(B160,Jugadores!$A$2:$A$501,0)),"⚠ ID no existe"))</f>
        <v/>
      </c>
      <c r="D160" s="19" t="n"/>
      <c r="E160" s="19" t="n"/>
      <c r="F160" s="16">
        <f>IF(OR(B160="",D160=""),"",IFERROR(INDEX('Tabla XP'!$B$2:$B$12,MATCH(D160,'Tabla XP'!$A$2:$A$12,0))*IF(E160="",1,E160),0))</f>
        <v/>
      </c>
      <c r="G160" s="19" t="n"/>
      <c r="H160" s="19" t="n"/>
    </row>
    <row r="161">
      <c r="A161" s="22" t="n"/>
      <c r="B161" s="19" t="n"/>
      <c r="C161" s="18">
        <f>IF(B161="","",IFERROR(INDEX(Jugadores!$C$2:$C$501,MATCH(B161,Jugadores!$A$2:$A$501,0)),"⚠ ID no existe"))</f>
        <v/>
      </c>
      <c r="D161" s="19" t="n"/>
      <c r="E161" s="19" t="n"/>
      <c r="F161" s="16">
        <f>IF(OR(B161="",D161=""),"",IFERROR(INDEX('Tabla XP'!$B$2:$B$12,MATCH(D161,'Tabla XP'!$A$2:$A$12,0))*IF(E161="",1,E161),0))</f>
        <v/>
      </c>
      <c r="G161" s="19" t="n"/>
      <c r="H161" s="19" t="n"/>
    </row>
    <row r="162">
      <c r="A162" s="22" t="n"/>
      <c r="B162" s="19" t="n"/>
      <c r="C162" s="18">
        <f>IF(B162="","",IFERROR(INDEX(Jugadores!$C$2:$C$501,MATCH(B162,Jugadores!$A$2:$A$501,0)),"⚠ ID no existe"))</f>
        <v/>
      </c>
      <c r="D162" s="19" t="n"/>
      <c r="E162" s="19" t="n"/>
      <c r="F162" s="16">
        <f>IF(OR(B162="",D162=""),"",IFERROR(INDEX('Tabla XP'!$B$2:$B$12,MATCH(D162,'Tabla XP'!$A$2:$A$12,0))*IF(E162="",1,E162),0))</f>
        <v/>
      </c>
      <c r="G162" s="19" t="n"/>
      <c r="H162" s="19" t="n"/>
    </row>
    <row r="163">
      <c r="A163" s="22" t="n"/>
      <c r="B163" s="19" t="n"/>
      <c r="C163" s="18">
        <f>IF(B163="","",IFERROR(INDEX(Jugadores!$C$2:$C$501,MATCH(B163,Jugadores!$A$2:$A$501,0)),"⚠ ID no existe"))</f>
        <v/>
      </c>
      <c r="D163" s="19" t="n"/>
      <c r="E163" s="19" t="n"/>
      <c r="F163" s="16">
        <f>IF(OR(B163="",D163=""),"",IFERROR(INDEX('Tabla XP'!$B$2:$B$12,MATCH(D163,'Tabla XP'!$A$2:$A$12,0))*IF(E163="",1,E163),0))</f>
        <v/>
      </c>
      <c r="G163" s="19" t="n"/>
      <c r="H163" s="19" t="n"/>
    </row>
    <row r="164">
      <c r="A164" s="22" t="n"/>
      <c r="B164" s="19" t="n"/>
      <c r="C164" s="18">
        <f>IF(B164="","",IFERROR(INDEX(Jugadores!$C$2:$C$501,MATCH(B164,Jugadores!$A$2:$A$501,0)),"⚠ ID no existe"))</f>
        <v/>
      </c>
      <c r="D164" s="19" t="n"/>
      <c r="E164" s="19" t="n"/>
      <c r="F164" s="16">
        <f>IF(OR(B164="",D164=""),"",IFERROR(INDEX('Tabla XP'!$B$2:$B$12,MATCH(D164,'Tabla XP'!$A$2:$A$12,0))*IF(E164="",1,E164),0))</f>
        <v/>
      </c>
      <c r="G164" s="19" t="n"/>
      <c r="H164" s="19" t="n"/>
    </row>
    <row r="165">
      <c r="A165" s="22" t="n"/>
      <c r="B165" s="19" t="n"/>
      <c r="C165" s="18">
        <f>IF(B165="","",IFERROR(INDEX(Jugadores!$C$2:$C$501,MATCH(B165,Jugadores!$A$2:$A$501,0)),"⚠ ID no existe"))</f>
        <v/>
      </c>
      <c r="D165" s="19" t="n"/>
      <c r="E165" s="19" t="n"/>
      <c r="F165" s="16">
        <f>IF(OR(B165="",D165=""),"",IFERROR(INDEX('Tabla XP'!$B$2:$B$12,MATCH(D165,'Tabla XP'!$A$2:$A$12,0))*IF(E165="",1,E165),0))</f>
        <v/>
      </c>
      <c r="G165" s="19" t="n"/>
      <c r="H165" s="19" t="n"/>
    </row>
    <row r="166">
      <c r="A166" s="22" t="n"/>
      <c r="B166" s="19" t="n"/>
      <c r="C166" s="18">
        <f>IF(B166="","",IFERROR(INDEX(Jugadores!$C$2:$C$501,MATCH(B166,Jugadores!$A$2:$A$501,0)),"⚠ ID no existe"))</f>
        <v/>
      </c>
      <c r="D166" s="19" t="n"/>
      <c r="E166" s="19" t="n"/>
      <c r="F166" s="16">
        <f>IF(OR(B166="",D166=""),"",IFERROR(INDEX('Tabla XP'!$B$2:$B$12,MATCH(D166,'Tabla XP'!$A$2:$A$12,0))*IF(E166="",1,E166),0))</f>
        <v/>
      </c>
      <c r="G166" s="19" t="n"/>
      <c r="H166" s="19" t="n"/>
    </row>
    <row r="167">
      <c r="A167" s="22" t="n"/>
      <c r="B167" s="19" t="n"/>
      <c r="C167" s="18">
        <f>IF(B167="","",IFERROR(INDEX(Jugadores!$C$2:$C$501,MATCH(B167,Jugadores!$A$2:$A$501,0)),"⚠ ID no existe"))</f>
        <v/>
      </c>
      <c r="D167" s="19" t="n"/>
      <c r="E167" s="19" t="n"/>
      <c r="F167" s="16">
        <f>IF(OR(B167="",D167=""),"",IFERROR(INDEX('Tabla XP'!$B$2:$B$12,MATCH(D167,'Tabla XP'!$A$2:$A$12,0))*IF(E167="",1,E167),0))</f>
        <v/>
      </c>
      <c r="G167" s="19" t="n"/>
      <c r="H167" s="19" t="n"/>
    </row>
    <row r="168">
      <c r="A168" s="22" t="n"/>
      <c r="B168" s="19" t="n"/>
      <c r="C168" s="18">
        <f>IF(B168="","",IFERROR(INDEX(Jugadores!$C$2:$C$501,MATCH(B168,Jugadores!$A$2:$A$501,0)),"⚠ ID no existe"))</f>
        <v/>
      </c>
      <c r="D168" s="19" t="n"/>
      <c r="E168" s="19" t="n"/>
      <c r="F168" s="16">
        <f>IF(OR(B168="",D168=""),"",IFERROR(INDEX('Tabla XP'!$B$2:$B$12,MATCH(D168,'Tabla XP'!$A$2:$A$12,0))*IF(E168="",1,E168),0))</f>
        <v/>
      </c>
      <c r="G168" s="19" t="n"/>
      <c r="H168" s="19" t="n"/>
    </row>
    <row r="169">
      <c r="A169" s="22" t="n"/>
      <c r="B169" s="19" t="n"/>
      <c r="C169" s="18">
        <f>IF(B169="","",IFERROR(INDEX(Jugadores!$C$2:$C$501,MATCH(B169,Jugadores!$A$2:$A$501,0)),"⚠ ID no existe"))</f>
        <v/>
      </c>
      <c r="D169" s="19" t="n"/>
      <c r="E169" s="19" t="n"/>
      <c r="F169" s="16">
        <f>IF(OR(B169="",D169=""),"",IFERROR(INDEX('Tabla XP'!$B$2:$B$12,MATCH(D169,'Tabla XP'!$A$2:$A$12,0))*IF(E169="",1,E169),0))</f>
        <v/>
      </c>
      <c r="G169" s="19" t="n"/>
      <c r="H169" s="19" t="n"/>
    </row>
    <row r="170">
      <c r="A170" s="22" t="n"/>
      <c r="B170" s="19" t="n"/>
      <c r="C170" s="18">
        <f>IF(B170="","",IFERROR(INDEX(Jugadores!$C$2:$C$501,MATCH(B170,Jugadores!$A$2:$A$501,0)),"⚠ ID no existe"))</f>
        <v/>
      </c>
      <c r="D170" s="19" t="n"/>
      <c r="E170" s="19" t="n"/>
      <c r="F170" s="16">
        <f>IF(OR(B170="",D170=""),"",IFERROR(INDEX('Tabla XP'!$B$2:$B$12,MATCH(D170,'Tabla XP'!$A$2:$A$12,0))*IF(E170="",1,E170),0))</f>
        <v/>
      </c>
      <c r="G170" s="19" t="n"/>
      <c r="H170" s="19" t="n"/>
    </row>
    <row r="171">
      <c r="A171" s="22" t="n"/>
      <c r="B171" s="19" t="n"/>
      <c r="C171" s="18">
        <f>IF(B171="","",IFERROR(INDEX(Jugadores!$C$2:$C$501,MATCH(B171,Jugadores!$A$2:$A$501,0)),"⚠ ID no existe"))</f>
        <v/>
      </c>
      <c r="D171" s="19" t="n"/>
      <c r="E171" s="19" t="n"/>
      <c r="F171" s="16">
        <f>IF(OR(B171="",D171=""),"",IFERROR(INDEX('Tabla XP'!$B$2:$B$12,MATCH(D171,'Tabla XP'!$A$2:$A$12,0))*IF(E171="",1,E171),0))</f>
        <v/>
      </c>
      <c r="G171" s="19" t="n"/>
      <c r="H171" s="19" t="n"/>
    </row>
    <row r="172">
      <c r="A172" s="22" t="n"/>
      <c r="B172" s="19" t="n"/>
      <c r="C172" s="18">
        <f>IF(B172="","",IFERROR(INDEX(Jugadores!$C$2:$C$501,MATCH(B172,Jugadores!$A$2:$A$501,0)),"⚠ ID no existe"))</f>
        <v/>
      </c>
      <c r="D172" s="19" t="n"/>
      <c r="E172" s="19" t="n"/>
      <c r="F172" s="16">
        <f>IF(OR(B172="",D172=""),"",IFERROR(INDEX('Tabla XP'!$B$2:$B$12,MATCH(D172,'Tabla XP'!$A$2:$A$12,0))*IF(E172="",1,E172),0))</f>
        <v/>
      </c>
      <c r="G172" s="19" t="n"/>
      <c r="H172" s="19" t="n"/>
    </row>
    <row r="173">
      <c r="A173" s="22" t="n"/>
      <c r="B173" s="19" t="n"/>
      <c r="C173" s="18">
        <f>IF(B173="","",IFERROR(INDEX(Jugadores!$C$2:$C$501,MATCH(B173,Jugadores!$A$2:$A$501,0)),"⚠ ID no existe"))</f>
        <v/>
      </c>
      <c r="D173" s="19" t="n"/>
      <c r="E173" s="19" t="n"/>
      <c r="F173" s="16">
        <f>IF(OR(B173="",D173=""),"",IFERROR(INDEX('Tabla XP'!$B$2:$B$12,MATCH(D173,'Tabla XP'!$A$2:$A$12,0))*IF(E173="",1,E173),0))</f>
        <v/>
      </c>
      <c r="G173" s="19" t="n"/>
      <c r="H173" s="19" t="n"/>
    </row>
    <row r="174">
      <c r="A174" s="22" t="n"/>
      <c r="B174" s="19" t="n"/>
      <c r="C174" s="18">
        <f>IF(B174="","",IFERROR(INDEX(Jugadores!$C$2:$C$501,MATCH(B174,Jugadores!$A$2:$A$501,0)),"⚠ ID no existe"))</f>
        <v/>
      </c>
      <c r="D174" s="19" t="n"/>
      <c r="E174" s="19" t="n"/>
      <c r="F174" s="16">
        <f>IF(OR(B174="",D174=""),"",IFERROR(INDEX('Tabla XP'!$B$2:$B$12,MATCH(D174,'Tabla XP'!$A$2:$A$12,0))*IF(E174="",1,E174),0))</f>
        <v/>
      </c>
      <c r="G174" s="19" t="n"/>
      <c r="H174" s="19" t="n"/>
    </row>
    <row r="175">
      <c r="A175" s="22" t="n"/>
      <c r="B175" s="19" t="n"/>
      <c r="C175" s="18">
        <f>IF(B175="","",IFERROR(INDEX(Jugadores!$C$2:$C$501,MATCH(B175,Jugadores!$A$2:$A$501,0)),"⚠ ID no existe"))</f>
        <v/>
      </c>
      <c r="D175" s="19" t="n"/>
      <c r="E175" s="19" t="n"/>
      <c r="F175" s="16">
        <f>IF(OR(B175="",D175=""),"",IFERROR(INDEX('Tabla XP'!$B$2:$B$12,MATCH(D175,'Tabla XP'!$A$2:$A$12,0))*IF(E175="",1,E175),0))</f>
        <v/>
      </c>
      <c r="G175" s="19" t="n"/>
      <c r="H175" s="19" t="n"/>
    </row>
    <row r="176">
      <c r="A176" s="22" t="n"/>
      <c r="B176" s="19" t="n"/>
      <c r="C176" s="18">
        <f>IF(B176="","",IFERROR(INDEX(Jugadores!$C$2:$C$501,MATCH(B176,Jugadores!$A$2:$A$501,0)),"⚠ ID no existe"))</f>
        <v/>
      </c>
      <c r="D176" s="19" t="n"/>
      <c r="E176" s="19" t="n"/>
      <c r="F176" s="16">
        <f>IF(OR(B176="",D176=""),"",IFERROR(INDEX('Tabla XP'!$B$2:$B$12,MATCH(D176,'Tabla XP'!$A$2:$A$12,0))*IF(E176="",1,E176),0))</f>
        <v/>
      </c>
      <c r="G176" s="19" t="n"/>
      <c r="H176" s="19" t="n"/>
    </row>
    <row r="177">
      <c r="A177" s="22" t="n"/>
      <c r="B177" s="19" t="n"/>
      <c r="C177" s="18">
        <f>IF(B177="","",IFERROR(INDEX(Jugadores!$C$2:$C$501,MATCH(B177,Jugadores!$A$2:$A$501,0)),"⚠ ID no existe"))</f>
        <v/>
      </c>
      <c r="D177" s="19" t="n"/>
      <c r="E177" s="19" t="n"/>
      <c r="F177" s="16">
        <f>IF(OR(B177="",D177=""),"",IFERROR(INDEX('Tabla XP'!$B$2:$B$12,MATCH(D177,'Tabla XP'!$A$2:$A$12,0))*IF(E177="",1,E177),0))</f>
        <v/>
      </c>
      <c r="G177" s="19" t="n"/>
      <c r="H177" s="19" t="n"/>
    </row>
    <row r="178">
      <c r="A178" s="22" t="n"/>
      <c r="B178" s="19" t="n"/>
      <c r="C178" s="18">
        <f>IF(B178="","",IFERROR(INDEX(Jugadores!$C$2:$C$501,MATCH(B178,Jugadores!$A$2:$A$501,0)),"⚠ ID no existe"))</f>
        <v/>
      </c>
      <c r="D178" s="19" t="n"/>
      <c r="E178" s="19" t="n"/>
      <c r="F178" s="16">
        <f>IF(OR(B178="",D178=""),"",IFERROR(INDEX('Tabla XP'!$B$2:$B$12,MATCH(D178,'Tabla XP'!$A$2:$A$12,0))*IF(E178="",1,E178),0))</f>
        <v/>
      </c>
      <c r="G178" s="19" t="n"/>
      <c r="H178" s="19" t="n"/>
    </row>
    <row r="179">
      <c r="A179" s="22" t="n"/>
      <c r="B179" s="19" t="n"/>
      <c r="C179" s="18">
        <f>IF(B179="","",IFERROR(INDEX(Jugadores!$C$2:$C$501,MATCH(B179,Jugadores!$A$2:$A$501,0)),"⚠ ID no existe"))</f>
        <v/>
      </c>
      <c r="D179" s="19" t="n"/>
      <c r="E179" s="19" t="n"/>
      <c r="F179" s="16">
        <f>IF(OR(B179="",D179=""),"",IFERROR(INDEX('Tabla XP'!$B$2:$B$12,MATCH(D179,'Tabla XP'!$A$2:$A$12,0))*IF(E179="",1,E179),0))</f>
        <v/>
      </c>
      <c r="G179" s="19" t="n"/>
      <c r="H179" s="19" t="n"/>
    </row>
    <row r="180">
      <c r="A180" s="22" t="n"/>
      <c r="B180" s="19" t="n"/>
      <c r="C180" s="18">
        <f>IF(B180="","",IFERROR(INDEX(Jugadores!$C$2:$C$501,MATCH(B180,Jugadores!$A$2:$A$501,0)),"⚠ ID no existe"))</f>
        <v/>
      </c>
      <c r="D180" s="19" t="n"/>
      <c r="E180" s="19" t="n"/>
      <c r="F180" s="16">
        <f>IF(OR(B180="",D180=""),"",IFERROR(INDEX('Tabla XP'!$B$2:$B$12,MATCH(D180,'Tabla XP'!$A$2:$A$12,0))*IF(E180="",1,E180),0))</f>
        <v/>
      </c>
      <c r="G180" s="19" t="n"/>
      <c r="H180" s="19" t="n"/>
    </row>
    <row r="181">
      <c r="A181" s="22" t="n"/>
      <c r="B181" s="19" t="n"/>
      <c r="C181" s="18">
        <f>IF(B181="","",IFERROR(INDEX(Jugadores!$C$2:$C$501,MATCH(B181,Jugadores!$A$2:$A$501,0)),"⚠ ID no existe"))</f>
        <v/>
      </c>
      <c r="D181" s="19" t="n"/>
      <c r="E181" s="19" t="n"/>
      <c r="F181" s="16">
        <f>IF(OR(B181="",D181=""),"",IFERROR(INDEX('Tabla XP'!$B$2:$B$12,MATCH(D181,'Tabla XP'!$A$2:$A$12,0))*IF(E181="",1,E181),0))</f>
        <v/>
      </c>
      <c r="G181" s="19" t="n"/>
      <c r="H181" s="19" t="n"/>
    </row>
    <row r="182">
      <c r="A182" s="22" t="n"/>
      <c r="B182" s="19" t="n"/>
      <c r="C182" s="18">
        <f>IF(B182="","",IFERROR(INDEX(Jugadores!$C$2:$C$501,MATCH(B182,Jugadores!$A$2:$A$501,0)),"⚠ ID no existe"))</f>
        <v/>
      </c>
      <c r="D182" s="19" t="n"/>
      <c r="E182" s="19" t="n"/>
      <c r="F182" s="16">
        <f>IF(OR(B182="",D182=""),"",IFERROR(INDEX('Tabla XP'!$B$2:$B$12,MATCH(D182,'Tabla XP'!$A$2:$A$12,0))*IF(E182="",1,E182),0))</f>
        <v/>
      </c>
      <c r="G182" s="19" t="n"/>
      <c r="H182" s="19" t="n"/>
    </row>
    <row r="183">
      <c r="A183" s="22" t="n"/>
      <c r="B183" s="19" t="n"/>
      <c r="C183" s="18">
        <f>IF(B183="","",IFERROR(INDEX(Jugadores!$C$2:$C$501,MATCH(B183,Jugadores!$A$2:$A$501,0)),"⚠ ID no existe"))</f>
        <v/>
      </c>
      <c r="D183" s="19" t="n"/>
      <c r="E183" s="19" t="n"/>
      <c r="F183" s="16">
        <f>IF(OR(B183="",D183=""),"",IFERROR(INDEX('Tabla XP'!$B$2:$B$12,MATCH(D183,'Tabla XP'!$A$2:$A$12,0))*IF(E183="",1,E183),0))</f>
        <v/>
      </c>
      <c r="G183" s="19" t="n"/>
      <c r="H183" s="19" t="n"/>
    </row>
    <row r="184">
      <c r="A184" s="22" t="n"/>
      <c r="B184" s="19" t="n"/>
      <c r="C184" s="18">
        <f>IF(B184="","",IFERROR(INDEX(Jugadores!$C$2:$C$501,MATCH(B184,Jugadores!$A$2:$A$501,0)),"⚠ ID no existe"))</f>
        <v/>
      </c>
      <c r="D184" s="19" t="n"/>
      <c r="E184" s="19" t="n"/>
      <c r="F184" s="16">
        <f>IF(OR(B184="",D184=""),"",IFERROR(INDEX('Tabla XP'!$B$2:$B$12,MATCH(D184,'Tabla XP'!$A$2:$A$12,0))*IF(E184="",1,E184),0))</f>
        <v/>
      </c>
      <c r="G184" s="19" t="n"/>
      <c r="H184" s="19" t="n"/>
    </row>
    <row r="185">
      <c r="A185" s="22" t="n"/>
      <c r="B185" s="19" t="n"/>
      <c r="C185" s="18">
        <f>IF(B185="","",IFERROR(INDEX(Jugadores!$C$2:$C$501,MATCH(B185,Jugadores!$A$2:$A$501,0)),"⚠ ID no existe"))</f>
        <v/>
      </c>
      <c r="D185" s="19" t="n"/>
      <c r="E185" s="19" t="n"/>
      <c r="F185" s="16">
        <f>IF(OR(B185="",D185=""),"",IFERROR(INDEX('Tabla XP'!$B$2:$B$12,MATCH(D185,'Tabla XP'!$A$2:$A$12,0))*IF(E185="",1,E185),0))</f>
        <v/>
      </c>
      <c r="G185" s="19" t="n"/>
      <c r="H185" s="19" t="n"/>
    </row>
    <row r="186">
      <c r="A186" s="22" t="n"/>
      <c r="B186" s="19" t="n"/>
      <c r="C186" s="18">
        <f>IF(B186="","",IFERROR(INDEX(Jugadores!$C$2:$C$501,MATCH(B186,Jugadores!$A$2:$A$501,0)),"⚠ ID no existe"))</f>
        <v/>
      </c>
      <c r="D186" s="19" t="n"/>
      <c r="E186" s="19" t="n"/>
      <c r="F186" s="16">
        <f>IF(OR(B186="",D186=""),"",IFERROR(INDEX('Tabla XP'!$B$2:$B$12,MATCH(D186,'Tabla XP'!$A$2:$A$12,0))*IF(E186="",1,E186),0))</f>
        <v/>
      </c>
      <c r="G186" s="19" t="n"/>
      <c r="H186" s="19" t="n"/>
    </row>
    <row r="187">
      <c r="A187" s="22" t="n"/>
      <c r="B187" s="19" t="n"/>
      <c r="C187" s="18">
        <f>IF(B187="","",IFERROR(INDEX(Jugadores!$C$2:$C$501,MATCH(B187,Jugadores!$A$2:$A$501,0)),"⚠ ID no existe"))</f>
        <v/>
      </c>
      <c r="D187" s="19" t="n"/>
      <c r="E187" s="19" t="n"/>
      <c r="F187" s="16">
        <f>IF(OR(B187="",D187=""),"",IFERROR(INDEX('Tabla XP'!$B$2:$B$12,MATCH(D187,'Tabla XP'!$A$2:$A$12,0))*IF(E187="",1,E187),0))</f>
        <v/>
      </c>
      <c r="G187" s="19" t="n"/>
      <c r="H187" s="19" t="n"/>
    </row>
    <row r="188">
      <c r="A188" s="22" t="n"/>
      <c r="B188" s="19" t="n"/>
      <c r="C188" s="18">
        <f>IF(B188="","",IFERROR(INDEX(Jugadores!$C$2:$C$501,MATCH(B188,Jugadores!$A$2:$A$501,0)),"⚠ ID no existe"))</f>
        <v/>
      </c>
      <c r="D188" s="19" t="n"/>
      <c r="E188" s="19" t="n"/>
      <c r="F188" s="16">
        <f>IF(OR(B188="",D188=""),"",IFERROR(INDEX('Tabla XP'!$B$2:$B$12,MATCH(D188,'Tabla XP'!$A$2:$A$12,0))*IF(E188="",1,E188),0))</f>
        <v/>
      </c>
      <c r="G188" s="19" t="n"/>
      <c r="H188" s="19" t="n"/>
    </row>
    <row r="189">
      <c r="A189" s="22" t="n"/>
      <c r="B189" s="19" t="n"/>
      <c r="C189" s="18">
        <f>IF(B189="","",IFERROR(INDEX(Jugadores!$C$2:$C$501,MATCH(B189,Jugadores!$A$2:$A$501,0)),"⚠ ID no existe"))</f>
        <v/>
      </c>
      <c r="D189" s="19" t="n"/>
      <c r="E189" s="19" t="n"/>
      <c r="F189" s="16">
        <f>IF(OR(B189="",D189=""),"",IFERROR(INDEX('Tabla XP'!$B$2:$B$12,MATCH(D189,'Tabla XP'!$A$2:$A$12,0))*IF(E189="",1,E189),0))</f>
        <v/>
      </c>
      <c r="G189" s="19" t="n"/>
      <c r="H189" s="19" t="n"/>
    </row>
    <row r="190">
      <c r="A190" s="22" t="n"/>
      <c r="B190" s="19" t="n"/>
      <c r="C190" s="18">
        <f>IF(B190="","",IFERROR(INDEX(Jugadores!$C$2:$C$501,MATCH(B190,Jugadores!$A$2:$A$501,0)),"⚠ ID no existe"))</f>
        <v/>
      </c>
      <c r="D190" s="19" t="n"/>
      <c r="E190" s="19" t="n"/>
      <c r="F190" s="16">
        <f>IF(OR(B190="",D190=""),"",IFERROR(INDEX('Tabla XP'!$B$2:$B$12,MATCH(D190,'Tabla XP'!$A$2:$A$12,0))*IF(E190="",1,E190),0))</f>
        <v/>
      </c>
      <c r="G190" s="19" t="n"/>
      <c r="H190" s="19" t="n"/>
    </row>
    <row r="191">
      <c r="A191" s="22" t="n"/>
      <c r="B191" s="19" t="n"/>
      <c r="C191" s="18">
        <f>IF(B191="","",IFERROR(INDEX(Jugadores!$C$2:$C$501,MATCH(B191,Jugadores!$A$2:$A$501,0)),"⚠ ID no existe"))</f>
        <v/>
      </c>
      <c r="D191" s="19" t="n"/>
      <c r="E191" s="19" t="n"/>
      <c r="F191" s="16">
        <f>IF(OR(B191="",D191=""),"",IFERROR(INDEX('Tabla XP'!$B$2:$B$12,MATCH(D191,'Tabla XP'!$A$2:$A$12,0))*IF(E191="",1,E191),0))</f>
        <v/>
      </c>
      <c r="G191" s="19" t="n"/>
      <c r="H191" s="19" t="n"/>
    </row>
    <row r="192">
      <c r="A192" s="22" t="n"/>
      <c r="B192" s="19" t="n"/>
      <c r="C192" s="18">
        <f>IF(B192="","",IFERROR(INDEX(Jugadores!$C$2:$C$501,MATCH(B192,Jugadores!$A$2:$A$501,0)),"⚠ ID no existe"))</f>
        <v/>
      </c>
      <c r="D192" s="19" t="n"/>
      <c r="E192" s="19" t="n"/>
      <c r="F192" s="16">
        <f>IF(OR(B192="",D192=""),"",IFERROR(INDEX('Tabla XP'!$B$2:$B$12,MATCH(D192,'Tabla XP'!$A$2:$A$12,0))*IF(E192="",1,E192),0))</f>
        <v/>
      </c>
      <c r="G192" s="19" t="n"/>
      <c r="H192" s="19" t="n"/>
    </row>
    <row r="193">
      <c r="A193" s="22" t="n"/>
      <c r="B193" s="19" t="n"/>
      <c r="C193" s="18">
        <f>IF(B193="","",IFERROR(INDEX(Jugadores!$C$2:$C$501,MATCH(B193,Jugadores!$A$2:$A$501,0)),"⚠ ID no existe"))</f>
        <v/>
      </c>
      <c r="D193" s="19" t="n"/>
      <c r="E193" s="19" t="n"/>
      <c r="F193" s="16">
        <f>IF(OR(B193="",D193=""),"",IFERROR(INDEX('Tabla XP'!$B$2:$B$12,MATCH(D193,'Tabla XP'!$A$2:$A$12,0))*IF(E193="",1,E193),0))</f>
        <v/>
      </c>
      <c r="G193" s="19" t="n"/>
      <c r="H193" s="19" t="n"/>
    </row>
    <row r="194">
      <c r="A194" s="22" t="n"/>
      <c r="B194" s="19" t="n"/>
      <c r="C194" s="18">
        <f>IF(B194="","",IFERROR(INDEX(Jugadores!$C$2:$C$501,MATCH(B194,Jugadores!$A$2:$A$501,0)),"⚠ ID no existe"))</f>
        <v/>
      </c>
      <c r="D194" s="19" t="n"/>
      <c r="E194" s="19" t="n"/>
      <c r="F194" s="16">
        <f>IF(OR(B194="",D194=""),"",IFERROR(INDEX('Tabla XP'!$B$2:$B$12,MATCH(D194,'Tabla XP'!$A$2:$A$12,0))*IF(E194="",1,E194),0))</f>
        <v/>
      </c>
      <c r="G194" s="19" t="n"/>
      <c r="H194" s="19" t="n"/>
    </row>
    <row r="195">
      <c r="A195" s="22" t="n"/>
      <c r="B195" s="19" t="n"/>
      <c r="C195" s="18">
        <f>IF(B195="","",IFERROR(INDEX(Jugadores!$C$2:$C$501,MATCH(B195,Jugadores!$A$2:$A$501,0)),"⚠ ID no existe"))</f>
        <v/>
      </c>
      <c r="D195" s="19" t="n"/>
      <c r="E195" s="19" t="n"/>
      <c r="F195" s="16">
        <f>IF(OR(B195="",D195=""),"",IFERROR(INDEX('Tabla XP'!$B$2:$B$12,MATCH(D195,'Tabla XP'!$A$2:$A$12,0))*IF(E195="",1,E195),0))</f>
        <v/>
      </c>
      <c r="G195" s="19" t="n"/>
      <c r="H195" s="19" t="n"/>
    </row>
    <row r="196">
      <c r="A196" s="22" t="n"/>
      <c r="B196" s="19" t="n"/>
      <c r="C196" s="18">
        <f>IF(B196="","",IFERROR(INDEX(Jugadores!$C$2:$C$501,MATCH(B196,Jugadores!$A$2:$A$501,0)),"⚠ ID no existe"))</f>
        <v/>
      </c>
      <c r="D196" s="19" t="n"/>
      <c r="E196" s="19" t="n"/>
      <c r="F196" s="16">
        <f>IF(OR(B196="",D196=""),"",IFERROR(INDEX('Tabla XP'!$B$2:$B$12,MATCH(D196,'Tabla XP'!$A$2:$A$12,0))*IF(E196="",1,E196),0))</f>
        <v/>
      </c>
      <c r="G196" s="19" t="n"/>
      <c r="H196" s="19" t="n"/>
    </row>
    <row r="197">
      <c r="A197" s="22" t="n"/>
      <c r="B197" s="19" t="n"/>
      <c r="C197" s="18">
        <f>IF(B197="","",IFERROR(INDEX(Jugadores!$C$2:$C$501,MATCH(B197,Jugadores!$A$2:$A$501,0)),"⚠ ID no existe"))</f>
        <v/>
      </c>
      <c r="D197" s="19" t="n"/>
      <c r="E197" s="19" t="n"/>
      <c r="F197" s="16">
        <f>IF(OR(B197="",D197=""),"",IFERROR(INDEX('Tabla XP'!$B$2:$B$12,MATCH(D197,'Tabla XP'!$A$2:$A$12,0))*IF(E197="",1,E197),0))</f>
        <v/>
      </c>
      <c r="G197" s="19" t="n"/>
      <c r="H197" s="19" t="n"/>
    </row>
    <row r="198">
      <c r="A198" s="22" t="n"/>
      <c r="B198" s="19" t="n"/>
      <c r="C198" s="18">
        <f>IF(B198="","",IFERROR(INDEX(Jugadores!$C$2:$C$501,MATCH(B198,Jugadores!$A$2:$A$501,0)),"⚠ ID no existe"))</f>
        <v/>
      </c>
      <c r="D198" s="19" t="n"/>
      <c r="E198" s="19" t="n"/>
      <c r="F198" s="16">
        <f>IF(OR(B198="",D198=""),"",IFERROR(INDEX('Tabla XP'!$B$2:$B$12,MATCH(D198,'Tabla XP'!$A$2:$A$12,0))*IF(E198="",1,E198),0))</f>
        <v/>
      </c>
      <c r="G198" s="19" t="n"/>
      <c r="H198" s="19" t="n"/>
    </row>
    <row r="199">
      <c r="A199" s="22" t="n"/>
      <c r="B199" s="19" t="n"/>
      <c r="C199" s="18">
        <f>IF(B199="","",IFERROR(INDEX(Jugadores!$C$2:$C$501,MATCH(B199,Jugadores!$A$2:$A$501,0)),"⚠ ID no existe"))</f>
        <v/>
      </c>
      <c r="D199" s="19" t="n"/>
      <c r="E199" s="19" t="n"/>
      <c r="F199" s="16">
        <f>IF(OR(B199="",D199=""),"",IFERROR(INDEX('Tabla XP'!$B$2:$B$12,MATCH(D199,'Tabla XP'!$A$2:$A$12,0))*IF(E199="",1,E199),0))</f>
        <v/>
      </c>
      <c r="G199" s="19" t="n"/>
      <c r="H199" s="19" t="n"/>
    </row>
    <row r="200">
      <c r="A200" s="22" t="n"/>
      <c r="B200" s="19" t="n"/>
      <c r="C200" s="18">
        <f>IF(B200="","",IFERROR(INDEX(Jugadores!$C$2:$C$501,MATCH(B200,Jugadores!$A$2:$A$501,0)),"⚠ ID no existe"))</f>
        <v/>
      </c>
      <c r="D200" s="19" t="n"/>
      <c r="E200" s="19" t="n"/>
      <c r="F200" s="16">
        <f>IF(OR(B200="",D200=""),"",IFERROR(INDEX('Tabla XP'!$B$2:$B$12,MATCH(D200,'Tabla XP'!$A$2:$A$12,0))*IF(E200="",1,E200),0))</f>
        <v/>
      </c>
      <c r="G200" s="19" t="n"/>
      <c r="H200" s="19" t="n"/>
    </row>
    <row r="201">
      <c r="A201" s="22" t="n"/>
      <c r="B201" s="19" t="n"/>
      <c r="C201" s="18">
        <f>IF(B201="","",IFERROR(INDEX(Jugadores!$C$2:$C$501,MATCH(B201,Jugadores!$A$2:$A$501,0)),"⚠ ID no existe"))</f>
        <v/>
      </c>
      <c r="D201" s="19" t="n"/>
      <c r="E201" s="19" t="n"/>
      <c r="F201" s="16">
        <f>IF(OR(B201="",D201=""),"",IFERROR(INDEX('Tabla XP'!$B$2:$B$12,MATCH(D201,'Tabla XP'!$A$2:$A$12,0))*IF(E201="",1,E201),0))</f>
        <v/>
      </c>
      <c r="G201" s="19" t="n"/>
      <c r="H201" s="19" t="n"/>
    </row>
    <row r="202">
      <c r="A202" s="22" t="n"/>
      <c r="B202" s="19" t="n"/>
      <c r="C202" s="18">
        <f>IF(B202="","",IFERROR(INDEX(Jugadores!$C$2:$C$501,MATCH(B202,Jugadores!$A$2:$A$501,0)),"⚠ ID no existe"))</f>
        <v/>
      </c>
      <c r="D202" s="19" t="n"/>
      <c r="E202" s="19" t="n"/>
      <c r="F202" s="16">
        <f>IF(OR(B202="",D202=""),"",IFERROR(INDEX('Tabla XP'!$B$2:$B$12,MATCH(D202,'Tabla XP'!$A$2:$A$12,0))*IF(E202="",1,E202),0))</f>
        <v/>
      </c>
      <c r="G202" s="19" t="n"/>
      <c r="H202" s="19" t="n"/>
    </row>
    <row r="203">
      <c r="A203" s="22" t="n"/>
      <c r="B203" s="19" t="n"/>
      <c r="C203" s="18">
        <f>IF(B203="","",IFERROR(INDEX(Jugadores!$C$2:$C$501,MATCH(B203,Jugadores!$A$2:$A$501,0)),"⚠ ID no existe"))</f>
        <v/>
      </c>
      <c r="D203" s="19" t="n"/>
      <c r="E203" s="19" t="n"/>
      <c r="F203" s="16">
        <f>IF(OR(B203="",D203=""),"",IFERROR(INDEX('Tabla XP'!$B$2:$B$12,MATCH(D203,'Tabla XP'!$A$2:$A$12,0))*IF(E203="",1,E203),0))</f>
        <v/>
      </c>
      <c r="G203" s="19" t="n"/>
      <c r="H203" s="19" t="n"/>
    </row>
    <row r="204">
      <c r="A204" s="22" t="n"/>
      <c r="B204" s="19" t="n"/>
      <c r="C204" s="18">
        <f>IF(B204="","",IFERROR(INDEX(Jugadores!$C$2:$C$501,MATCH(B204,Jugadores!$A$2:$A$501,0)),"⚠ ID no existe"))</f>
        <v/>
      </c>
      <c r="D204" s="19" t="n"/>
      <c r="E204" s="19" t="n"/>
      <c r="F204" s="16">
        <f>IF(OR(B204="",D204=""),"",IFERROR(INDEX('Tabla XP'!$B$2:$B$12,MATCH(D204,'Tabla XP'!$A$2:$A$12,0))*IF(E204="",1,E204),0))</f>
        <v/>
      </c>
      <c r="G204" s="19" t="n"/>
      <c r="H204" s="19" t="n"/>
    </row>
    <row r="205">
      <c r="A205" s="22" t="n"/>
      <c r="B205" s="19" t="n"/>
      <c r="C205" s="18">
        <f>IF(B205="","",IFERROR(INDEX(Jugadores!$C$2:$C$501,MATCH(B205,Jugadores!$A$2:$A$501,0)),"⚠ ID no existe"))</f>
        <v/>
      </c>
      <c r="D205" s="19" t="n"/>
      <c r="E205" s="19" t="n"/>
      <c r="F205" s="16">
        <f>IF(OR(B205="",D205=""),"",IFERROR(INDEX('Tabla XP'!$B$2:$B$12,MATCH(D205,'Tabla XP'!$A$2:$A$12,0))*IF(E205="",1,E205),0))</f>
        <v/>
      </c>
      <c r="G205" s="19" t="n"/>
      <c r="H205" s="19" t="n"/>
    </row>
    <row r="206">
      <c r="A206" s="22" t="n"/>
      <c r="B206" s="19" t="n"/>
      <c r="C206" s="18">
        <f>IF(B206="","",IFERROR(INDEX(Jugadores!$C$2:$C$501,MATCH(B206,Jugadores!$A$2:$A$501,0)),"⚠ ID no existe"))</f>
        <v/>
      </c>
      <c r="D206" s="19" t="n"/>
      <c r="E206" s="19" t="n"/>
      <c r="F206" s="16">
        <f>IF(OR(B206="",D206=""),"",IFERROR(INDEX('Tabla XP'!$B$2:$B$12,MATCH(D206,'Tabla XP'!$A$2:$A$12,0))*IF(E206="",1,E206),0))</f>
        <v/>
      </c>
      <c r="G206" s="19" t="n"/>
      <c r="H206" s="19" t="n"/>
    </row>
    <row r="207">
      <c r="A207" s="22" t="n"/>
      <c r="B207" s="19" t="n"/>
      <c r="C207" s="18">
        <f>IF(B207="","",IFERROR(INDEX(Jugadores!$C$2:$C$501,MATCH(B207,Jugadores!$A$2:$A$501,0)),"⚠ ID no existe"))</f>
        <v/>
      </c>
      <c r="D207" s="19" t="n"/>
      <c r="E207" s="19" t="n"/>
      <c r="F207" s="16">
        <f>IF(OR(B207="",D207=""),"",IFERROR(INDEX('Tabla XP'!$B$2:$B$12,MATCH(D207,'Tabla XP'!$A$2:$A$12,0))*IF(E207="",1,E207),0))</f>
        <v/>
      </c>
      <c r="G207" s="19" t="n"/>
      <c r="H207" s="19" t="n"/>
    </row>
    <row r="208">
      <c r="A208" s="22" t="n"/>
      <c r="B208" s="19" t="n"/>
      <c r="C208" s="18">
        <f>IF(B208="","",IFERROR(INDEX(Jugadores!$C$2:$C$501,MATCH(B208,Jugadores!$A$2:$A$501,0)),"⚠ ID no existe"))</f>
        <v/>
      </c>
      <c r="D208" s="19" t="n"/>
      <c r="E208" s="19" t="n"/>
      <c r="F208" s="16">
        <f>IF(OR(B208="",D208=""),"",IFERROR(INDEX('Tabla XP'!$B$2:$B$12,MATCH(D208,'Tabla XP'!$A$2:$A$12,0))*IF(E208="",1,E208),0))</f>
        <v/>
      </c>
      <c r="G208" s="19" t="n"/>
      <c r="H208" s="19" t="n"/>
    </row>
    <row r="209">
      <c r="A209" s="22" t="n"/>
      <c r="B209" s="19" t="n"/>
      <c r="C209" s="18">
        <f>IF(B209="","",IFERROR(INDEX(Jugadores!$C$2:$C$501,MATCH(B209,Jugadores!$A$2:$A$501,0)),"⚠ ID no existe"))</f>
        <v/>
      </c>
      <c r="D209" s="19" t="n"/>
      <c r="E209" s="19" t="n"/>
      <c r="F209" s="16">
        <f>IF(OR(B209="",D209=""),"",IFERROR(INDEX('Tabla XP'!$B$2:$B$12,MATCH(D209,'Tabla XP'!$A$2:$A$12,0))*IF(E209="",1,E209),0))</f>
        <v/>
      </c>
      <c r="G209" s="19" t="n"/>
      <c r="H209" s="19" t="n"/>
    </row>
    <row r="210">
      <c r="A210" s="22" t="n"/>
      <c r="B210" s="19" t="n"/>
      <c r="C210" s="18">
        <f>IF(B210="","",IFERROR(INDEX(Jugadores!$C$2:$C$501,MATCH(B210,Jugadores!$A$2:$A$501,0)),"⚠ ID no existe"))</f>
        <v/>
      </c>
      <c r="D210" s="19" t="n"/>
      <c r="E210" s="19" t="n"/>
      <c r="F210" s="16">
        <f>IF(OR(B210="",D210=""),"",IFERROR(INDEX('Tabla XP'!$B$2:$B$12,MATCH(D210,'Tabla XP'!$A$2:$A$12,0))*IF(E210="",1,E210),0))</f>
        <v/>
      </c>
      <c r="G210" s="19" t="n"/>
      <c r="H210" s="19" t="n"/>
    </row>
    <row r="211">
      <c r="A211" s="22" t="n"/>
      <c r="B211" s="19" t="n"/>
      <c r="C211" s="18">
        <f>IF(B211="","",IFERROR(INDEX(Jugadores!$C$2:$C$501,MATCH(B211,Jugadores!$A$2:$A$501,0)),"⚠ ID no existe"))</f>
        <v/>
      </c>
      <c r="D211" s="19" t="n"/>
      <c r="E211" s="19" t="n"/>
      <c r="F211" s="16">
        <f>IF(OR(B211="",D211=""),"",IFERROR(INDEX('Tabla XP'!$B$2:$B$12,MATCH(D211,'Tabla XP'!$A$2:$A$12,0))*IF(E211="",1,E211),0))</f>
        <v/>
      </c>
      <c r="G211" s="19" t="n"/>
      <c r="H211" s="19" t="n"/>
    </row>
    <row r="212">
      <c r="A212" s="22" t="n"/>
      <c r="B212" s="19" t="n"/>
      <c r="C212" s="18">
        <f>IF(B212="","",IFERROR(INDEX(Jugadores!$C$2:$C$501,MATCH(B212,Jugadores!$A$2:$A$501,0)),"⚠ ID no existe"))</f>
        <v/>
      </c>
      <c r="D212" s="19" t="n"/>
      <c r="E212" s="19" t="n"/>
      <c r="F212" s="16">
        <f>IF(OR(B212="",D212=""),"",IFERROR(INDEX('Tabla XP'!$B$2:$B$12,MATCH(D212,'Tabla XP'!$A$2:$A$12,0))*IF(E212="",1,E212),0))</f>
        <v/>
      </c>
      <c r="G212" s="19" t="n"/>
      <c r="H212" s="19" t="n"/>
    </row>
    <row r="213">
      <c r="A213" s="22" t="n"/>
      <c r="B213" s="19" t="n"/>
      <c r="C213" s="18">
        <f>IF(B213="","",IFERROR(INDEX(Jugadores!$C$2:$C$501,MATCH(B213,Jugadores!$A$2:$A$501,0)),"⚠ ID no existe"))</f>
        <v/>
      </c>
      <c r="D213" s="19" t="n"/>
      <c r="E213" s="19" t="n"/>
      <c r="F213" s="16">
        <f>IF(OR(B213="",D213=""),"",IFERROR(INDEX('Tabla XP'!$B$2:$B$12,MATCH(D213,'Tabla XP'!$A$2:$A$12,0))*IF(E213="",1,E213),0))</f>
        <v/>
      </c>
      <c r="G213" s="19" t="n"/>
      <c r="H213" s="19" t="n"/>
    </row>
    <row r="214">
      <c r="A214" s="22" t="n"/>
      <c r="B214" s="19" t="n"/>
      <c r="C214" s="18">
        <f>IF(B214="","",IFERROR(INDEX(Jugadores!$C$2:$C$501,MATCH(B214,Jugadores!$A$2:$A$501,0)),"⚠ ID no existe"))</f>
        <v/>
      </c>
      <c r="D214" s="19" t="n"/>
      <c r="E214" s="19" t="n"/>
      <c r="F214" s="16">
        <f>IF(OR(B214="",D214=""),"",IFERROR(INDEX('Tabla XP'!$B$2:$B$12,MATCH(D214,'Tabla XP'!$A$2:$A$12,0))*IF(E214="",1,E214),0))</f>
        <v/>
      </c>
      <c r="G214" s="19" t="n"/>
      <c r="H214" s="19" t="n"/>
    </row>
    <row r="215">
      <c r="A215" s="22" t="n"/>
      <c r="B215" s="19" t="n"/>
      <c r="C215" s="18">
        <f>IF(B215="","",IFERROR(INDEX(Jugadores!$C$2:$C$501,MATCH(B215,Jugadores!$A$2:$A$501,0)),"⚠ ID no existe"))</f>
        <v/>
      </c>
      <c r="D215" s="19" t="n"/>
      <c r="E215" s="19" t="n"/>
      <c r="F215" s="16">
        <f>IF(OR(B215="",D215=""),"",IFERROR(INDEX('Tabla XP'!$B$2:$B$12,MATCH(D215,'Tabla XP'!$A$2:$A$12,0))*IF(E215="",1,E215),0))</f>
        <v/>
      </c>
      <c r="G215" s="19" t="n"/>
      <c r="H215" s="19" t="n"/>
    </row>
    <row r="216">
      <c r="A216" s="22" t="n"/>
      <c r="B216" s="19" t="n"/>
      <c r="C216" s="18">
        <f>IF(B216="","",IFERROR(INDEX(Jugadores!$C$2:$C$501,MATCH(B216,Jugadores!$A$2:$A$501,0)),"⚠ ID no existe"))</f>
        <v/>
      </c>
      <c r="D216" s="19" t="n"/>
      <c r="E216" s="19" t="n"/>
      <c r="F216" s="16">
        <f>IF(OR(B216="",D216=""),"",IFERROR(INDEX('Tabla XP'!$B$2:$B$12,MATCH(D216,'Tabla XP'!$A$2:$A$12,0))*IF(E216="",1,E216),0))</f>
        <v/>
      </c>
      <c r="G216" s="19" t="n"/>
      <c r="H216" s="19" t="n"/>
    </row>
    <row r="217">
      <c r="A217" s="22" t="n"/>
      <c r="B217" s="19" t="n"/>
      <c r="C217" s="18">
        <f>IF(B217="","",IFERROR(INDEX(Jugadores!$C$2:$C$501,MATCH(B217,Jugadores!$A$2:$A$501,0)),"⚠ ID no existe"))</f>
        <v/>
      </c>
      <c r="D217" s="19" t="n"/>
      <c r="E217" s="19" t="n"/>
      <c r="F217" s="16">
        <f>IF(OR(B217="",D217=""),"",IFERROR(INDEX('Tabla XP'!$B$2:$B$12,MATCH(D217,'Tabla XP'!$A$2:$A$12,0))*IF(E217="",1,E217),0))</f>
        <v/>
      </c>
      <c r="G217" s="19" t="n"/>
      <c r="H217" s="19" t="n"/>
    </row>
    <row r="218">
      <c r="A218" s="22" t="n"/>
      <c r="B218" s="19" t="n"/>
      <c r="C218" s="18">
        <f>IF(B218="","",IFERROR(INDEX(Jugadores!$C$2:$C$501,MATCH(B218,Jugadores!$A$2:$A$501,0)),"⚠ ID no existe"))</f>
        <v/>
      </c>
      <c r="D218" s="19" t="n"/>
      <c r="E218" s="19" t="n"/>
      <c r="F218" s="16">
        <f>IF(OR(B218="",D218=""),"",IFERROR(INDEX('Tabla XP'!$B$2:$B$12,MATCH(D218,'Tabla XP'!$A$2:$A$12,0))*IF(E218="",1,E218),0))</f>
        <v/>
      </c>
      <c r="G218" s="19" t="n"/>
      <c r="H218" s="19" t="n"/>
    </row>
    <row r="219">
      <c r="A219" s="22" t="n"/>
      <c r="B219" s="19" t="n"/>
      <c r="C219" s="18">
        <f>IF(B219="","",IFERROR(INDEX(Jugadores!$C$2:$C$501,MATCH(B219,Jugadores!$A$2:$A$501,0)),"⚠ ID no existe"))</f>
        <v/>
      </c>
      <c r="D219" s="19" t="n"/>
      <c r="E219" s="19" t="n"/>
      <c r="F219" s="16">
        <f>IF(OR(B219="",D219=""),"",IFERROR(INDEX('Tabla XP'!$B$2:$B$12,MATCH(D219,'Tabla XP'!$A$2:$A$12,0))*IF(E219="",1,E219),0))</f>
        <v/>
      </c>
      <c r="G219" s="19" t="n"/>
      <c r="H219" s="19" t="n"/>
    </row>
    <row r="220">
      <c r="A220" s="22" t="n"/>
      <c r="B220" s="19" t="n"/>
      <c r="C220" s="18">
        <f>IF(B220="","",IFERROR(INDEX(Jugadores!$C$2:$C$501,MATCH(B220,Jugadores!$A$2:$A$501,0)),"⚠ ID no existe"))</f>
        <v/>
      </c>
      <c r="D220" s="19" t="n"/>
      <c r="E220" s="19" t="n"/>
      <c r="F220" s="16">
        <f>IF(OR(B220="",D220=""),"",IFERROR(INDEX('Tabla XP'!$B$2:$B$12,MATCH(D220,'Tabla XP'!$A$2:$A$12,0))*IF(E220="",1,E220),0))</f>
        <v/>
      </c>
      <c r="G220" s="19" t="n"/>
      <c r="H220" s="19" t="n"/>
    </row>
    <row r="221">
      <c r="A221" s="22" t="n"/>
      <c r="B221" s="19" t="n"/>
      <c r="C221" s="18">
        <f>IF(B221="","",IFERROR(INDEX(Jugadores!$C$2:$C$501,MATCH(B221,Jugadores!$A$2:$A$501,0)),"⚠ ID no existe"))</f>
        <v/>
      </c>
      <c r="D221" s="19" t="n"/>
      <c r="E221" s="19" t="n"/>
      <c r="F221" s="16">
        <f>IF(OR(B221="",D221=""),"",IFERROR(INDEX('Tabla XP'!$B$2:$B$12,MATCH(D221,'Tabla XP'!$A$2:$A$12,0))*IF(E221="",1,E221),0))</f>
        <v/>
      </c>
      <c r="G221" s="19" t="n"/>
      <c r="H221" s="19" t="n"/>
    </row>
    <row r="222">
      <c r="A222" s="22" t="n"/>
      <c r="B222" s="19" t="n"/>
      <c r="C222" s="18">
        <f>IF(B222="","",IFERROR(INDEX(Jugadores!$C$2:$C$501,MATCH(B222,Jugadores!$A$2:$A$501,0)),"⚠ ID no existe"))</f>
        <v/>
      </c>
      <c r="D222" s="19" t="n"/>
      <c r="E222" s="19" t="n"/>
      <c r="F222" s="16">
        <f>IF(OR(B222="",D222=""),"",IFERROR(INDEX('Tabla XP'!$B$2:$B$12,MATCH(D222,'Tabla XP'!$A$2:$A$12,0))*IF(E222="",1,E222),0))</f>
        <v/>
      </c>
      <c r="G222" s="19" t="n"/>
      <c r="H222" s="19" t="n"/>
    </row>
    <row r="223">
      <c r="A223" s="22" t="n"/>
      <c r="B223" s="19" t="n"/>
      <c r="C223" s="18">
        <f>IF(B223="","",IFERROR(INDEX(Jugadores!$C$2:$C$501,MATCH(B223,Jugadores!$A$2:$A$501,0)),"⚠ ID no existe"))</f>
        <v/>
      </c>
      <c r="D223" s="19" t="n"/>
      <c r="E223" s="19" t="n"/>
      <c r="F223" s="16">
        <f>IF(OR(B223="",D223=""),"",IFERROR(INDEX('Tabla XP'!$B$2:$B$12,MATCH(D223,'Tabla XP'!$A$2:$A$12,0))*IF(E223="",1,E223),0))</f>
        <v/>
      </c>
      <c r="G223" s="19" t="n"/>
      <c r="H223" s="19" t="n"/>
    </row>
    <row r="224">
      <c r="A224" s="22" t="n"/>
      <c r="B224" s="19" t="n"/>
      <c r="C224" s="18">
        <f>IF(B224="","",IFERROR(INDEX(Jugadores!$C$2:$C$501,MATCH(B224,Jugadores!$A$2:$A$501,0)),"⚠ ID no existe"))</f>
        <v/>
      </c>
      <c r="D224" s="19" t="n"/>
      <c r="E224" s="19" t="n"/>
      <c r="F224" s="16">
        <f>IF(OR(B224="",D224=""),"",IFERROR(INDEX('Tabla XP'!$B$2:$B$12,MATCH(D224,'Tabla XP'!$A$2:$A$12,0))*IF(E224="",1,E224),0))</f>
        <v/>
      </c>
      <c r="G224" s="19" t="n"/>
      <c r="H224" s="19" t="n"/>
    </row>
    <row r="225">
      <c r="A225" s="22" t="n"/>
      <c r="B225" s="19" t="n"/>
      <c r="C225" s="18">
        <f>IF(B225="","",IFERROR(INDEX(Jugadores!$C$2:$C$501,MATCH(B225,Jugadores!$A$2:$A$501,0)),"⚠ ID no existe"))</f>
        <v/>
      </c>
      <c r="D225" s="19" t="n"/>
      <c r="E225" s="19" t="n"/>
      <c r="F225" s="16">
        <f>IF(OR(B225="",D225=""),"",IFERROR(INDEX('Tabla XP'!$B$2:$B$12,MATCH(D225,'Tabla XP'!$A$2:$A$12,0))*IF(E225="",1,E225),0))</f>
        <v/>
      </c>
      <c r="G225" s="19" t="n"/>
      <c r="H225" s="19" t="n"/>
    </row>
    <row r="226">
      <c r="A226" s="22" t="n"/>
      <c r="B226" s="19" t="n"/>
      <c r="C226" s="18">
        <f>IF(B226="","",IFERROR(INDEX(Jugadores!$C$2:$C$501,MATCH(B226,Jugadores!$A$2:$A$501,0)),"⚠ ID no existe"))</f>
        <v/>
      </c>
      <c r="D226" s="19" t="n"/>
      <c r="E226" s="19" t="n"/>
      <c r="F226" s="16">
        <f>IF(OR(B226="",D226=""),"",IFERROR(INDEX('Tabla XP'!$B$2:$B$12,MATCH(D226,'Tabla XP'!$A$2:$A$12,0))*IF(E226="",1,E226),0))</f>
        <v/>
      </c>
      <c r="G226" s="19" t="n"/>
      <c r="H226" s="19" t="n"/>
    </row>
    <row r="227">
      <c r="A227" s="22" t="n"/>
      <c r="B227" s="19" t="n"/>
      <c r="C227" s="18">
        <f>IF(B227="","",IFERROR(INDEX(Jugadores!$C$2:$C$501,MATCH(B227,Jugadores!$A$2:$A$501,0)),"⚠ ID no existe"))</f>
        <v/>
      </c>
      <c r="D227" s="19" t="n"/>
      <c r="E227" s="19" t="n"/>
      <c r="F227" s="16">
        <f>IF(OR(B227="",D227=""),"",IFERROR(INDEX('Tabla XP'!$B$2:$B$12,MATCH(D227,'Tabla XP'!$A$2:$A$12,0))*IF(E227="",1,E227),0))</f>
        <v/>
      </c>
      <c r="G227" s="19" t="n"/>
      <c r="H227" s="19" t="n"/>
    </row>
    <row r="228">
      <c r="A228" s="22" t="n"/>
      <c r="B228" s="19" t="n"/>
      <c r="C228" s="18">
        <f>IF(B228="","",IFERROR(INDEX(Jugadores!$C$2:$C$501,MATCH(B228,Jugadores!$A$2:$A$501,0)),"⚠ ID no existe"))</f>
        <v/>
      </c>
      <c r="D228" s="19" t="n"/>
      <c r="E228" s="19" t="n"/>
      <c r="F228" s="16">
        <f>IF(OR(B228="",D228=""),"",IFERROR(INDEX('Tabla XP'!$B$2:$B$12,MATCH(D228,'Tabla XP'!$A$2:$A$12,0))*IF(E228="",1,E228),0))</f>
        <v/>
      </c>
      <c r="G228" s="19" t="n"/>
      <c r="H228" s="19" t="n"/>
    </row>
    <row r="229">
      <c r="A229" s="22" t="n"/>
      <c r="B229" s="19" t="n"/>
      <c r="C229" s="18">
        <f>IF(B229="","",IFERROR(INDEX(Jugadores!$C$2:$C$501,MATCH(B229,Jugadores!$A$2:$A$501,0)),"⚠ ID no existe"))</f>
        <v/>
      </c>
      <c r="D229" s="19" t="n"/>
      <c r="E229" s="19" t="n"/>
      <c r="F229" s="16">
        <f>IF(OR(B229="",D229=""),"",IFERROR(INDEX('Tabla XP'!$B$2:$B$12,MATCH(D229,'Tabla XP'!$A$2:$A$12,0))*IF(E229="",1,E229),0))</f>
        <v/>
      </c>
      <c r="G229" s="19" t="n"/>
      <c r="H229" s="19" t="n"/>
    </row>
    <row r="230">
      <c r="A230" s="22" t="n"/>
      <c r="B230" s="19" t="n"/>
      <c r="C230" s="18">
        <f>IF(B230="","",IFERROR(INDEX(Jugadores!$C$2:$C$501,MATCH(B230,Jugadores!$A$2:$A$501,0)),"⚠ ID no existe"))</f>
        <v/>
      </c>
      <c r="D230" s="19" t="n"/>
      <c r="E230" s="19" t="n"/>
      <c r="F230" s="16">
        <f>IF(OR(B230="",D230=""),"",IFERROR(INDEX('Tabla XP'!$B$2:$B$12,MATCH(D230,'Tabla XP'!$A$2:$A$12,0))*IF(E230="",1,E230),0))</f>
        <v/>
      </c>
      <c r="G230" s="19" t="n"/>
      <c r="H230" s="19" t="n"/>
    </row>
    <row r="231">
      <c r="A231" s="22" t="n"/>
      <c r="B231" s="19" t="n"/>
      <c r="C231" s="18">
        <f>IF(B231="","",IFERROR(INDEX(Jugadores!$C$2:$C$501,MATCH(B231,Jugadores!$A$2:$A$501,0)),"⚠ ID no existe"))</f>
        <v/>
      </c>
      <c r="D231" s="19" t="n"/>
      <c r="E231" s="19" t="n"/>
      <c r="F231" s="16">
        <f>IF(OR(B231="",D231=""),"",IFERROR(INDEX('Tabla XP'!$B$2:$B$12,MATCH(D231,'Tabla XP'!$A$2:$A$12,0))*IF(E231="",1,E231),0))</f>
        <v/>
      </c>
      <c r="G231" s="19" t="n"/>
      <c r="H231" s="19" t="n"/>
    </row>
    <row r="232">
      <c r="A232" s="22" t="n"/>
      <c r="B232" s="19" t="n"/>
      <c r="C232" s="18">
        <f>IF(B232="","",IFERROR(INDEX(Jugadores!$C$2:$C$501,MATCH(B232,Jugadores!$A$2:$A$501,0)),"⚠ ID no existe"))</f>
        <v/>
      </c>
      <c r="D232" s="19" t="n"/>
      <c r="E232" s="19" t="n"/>
      <c r="F232" s="16">
        <f>IF(OR(B232="",D232=""),"",IFERROR(INDEX('Tabla XP'!$B$2:$B$12,MATCH(D232,'Tabla XP'!$A$2:$A$12,0))*IF(E232="",1,E232),0))</f>
        <v/>
      </c>
      <c r="G232" s="19" t="n"/>
      <c r="H232" s="19" t="n"/>
    </row>
    <row r="233">
      <c r="A233" s="22" t="n"/>
      <c r="B233" s="19" t="n"/>
      <c r="C233" s="18">
        <f>IF(B233="","",IFERROR(INDEX(Jugadores!$C$2:$C$501,MATCH(B233,Jugadores!$A$2:$A$501,0)),"⚠ ID no existe"))</f>
        <v/>
      </c>
      <c r="D233" s="19" t="n"/>
      <c r="E233" s="19" t="n"/>
      <c r="F233" s="16">
        <f>IF(OR(B233="",D233=""),"",IFERROR(INDEX('Tabla XP'!$B$2:$B$12,MATCH(D233,'Tabla XP'!$A$2:$A$12,0))*IF(E233="",1,E233),0))</f>
        <v/>
      </c>
      <c r="G233" s="19" t="n"/>
      <c r="H233" s="19" t="n"/>
    </row>
    <row r="234">
      <c r="A234" s="22" t="n"/>
      <c r="B234" s="19" t="n"/>
      <c r="C234" s="18">
        <f>IF(B234="","",IFERROR(INDEX(Jugadores!$C$2:$C$501,MATCH(B234,Jugadores!$A$2:$A$501,0)),"⚠ ID no existe"))</f>
        <v/>
      </c>
      <c r="D234" s="19" t="n"/>
      <c r="E234" s="19" t="n"/>
      <c r="F234" s="16">
        <f>IF(OR(B234="",D234=""),"",IFERROR(INDEX('Tabla XP'!$B$2:$B$12,MATCH(D234,'Tabla XP'!$A$2:$A$12,0))*IF(E234="",1,E234),0))</f>
        <v/>
      </c>
      <c r="G234" s="19" t="n"/>
      <c r="H234" s="19" t="n"/>
    </row>
    <row r="235">
      <c r="A235" s="22" t="n"/>
      <c r="B235" s="19" t="n"/>
      <c r="C235" s="18">
        <f>IF(B235="","",IFERROR(INDEX(Jugadores!$C$2:$C$501,MATCH(B235,Jugadores!$A$2:$A$501,0)),"⚠ ID no existe"))</f>
        <v/>
      </c>
      <c r="D235" s="19" t="n"/>
      <c r="E235" s="19" t="n"/>
      <c r="F235" s="16">
        <f>IF(OR(B235="",D235=""),"",IFERROR(INDEX('Tabla XP'!$B$2:$B$12,MATCH(D235,'Tabla XP'!$A$2:$A$12,0))*IF(E235="",1,E235),0))</f>
        <v/>
      </c>
      <c r="G235" s="19" t="n"/>
      <c r="H235" s="19" t="n"/>
    </row>
    <row r="236">
      <c r="A236" s="22" t="n"/>
      <c r="B236" s="19" t="n"/>
      <c r="C236" s="18">
        <f>IF(B236="","",IFERROR(INDEX(Jugadores!$C$2:$C$501,MATCH(B236,Jugadores!$A$2:$A$501,0)),"⚠ ID no existe"))</f>
        <v/>
      </c>
      <c r="D236" s="19" t="n"/>
      <c r="E236" s="19" t="n"/>
      <c r="F236" s="16">
        <f>IF(OR(B236="",D236=""),"",IFERROR(INDEX('Tabla XP'!$B$2:$B$12,MATCH(D236,'Tabla XP'!$A$2:$A$12,0))*IF(E236="",1,E236),0))</f>
        <v/>
      </c>
      <c r="G236" s="19" t="n"/>
      <c r="H236" s="19" t="n"/>
    </row>
    <row r="237">
      <c r="A237" s="22" t="n"/>
      <c r="B237" s="19" t="n"/>
      <c r="C237" s="18">
        <f>IF(B237="","",IFERROR(INDEX(Jugadores!$C$2:$C$501,MATCH(B237,Jugadores!$A$2:$A$501,0)),"⚠ ID no existe"))</f>
        <v/>
      </c>
      <c r="D237" s="19" t="n"/>
      <c r="E237" s="19" t="n"/>
      <c r="F237" s="16">
        <f>IF(OR(B237="",D237=""),"",IFERROR(INDEX('Tabla XP'!$B$2:$B$12,MATCH(D237,'Tabla XP'!$A$2:$A$12,0))*IF(E237="",1,E237),0))</f>
        <v/>
      </c>
      <c r="G237" s="19" t="n"/>
      <c r="H237" s="19" t="n"/>
    </row>
    <row r="238">
      <c r="A238" s="22" t="n"/>
      <c r="B238" s="19" t="n"/>
      <c r="C238" s="18">
        <f>IF(B238="","",IFERROR(INDEX(Jugadores!$C$2:$C$501,MATCH(B238,Jugadores!$A$2:$A$501,0)),"⚠ ID no existe"))</f>
        <v/>
      </c>
      <c r="D238" s="19" t="n"/>
      <c r="E238" s="19" t="n"/>
      <c r="F238" s="16">
        <f>IF(OR(B238="",D238=""),"",IFERROR(INDEX('Tabla XP'!$B$2:$B$12,MATCH(D238,'Tabla XP'!$A$2:$A$12,0))*IF(E238="",1,E238),0))</f>
        <v/>
      </c>
      <c r="G238" s="19" t="n"/>
      <c r="H238" s="19" t="n"/>
    </row>
    <row r="239">
      <c r="A239" s="22" t="n"/>
      <c r="B239" s="19" t="n"/>
      <c r="C239" s="18">
        <f>IF(B239="","",IFERROR(INDEX(Jugadores!$C$2:$C$501,MATCH(B239,Jugadores!$A$2:$A$501,0)),"⚠ ID no existe"))</f>
        <v/>
      </c>
      <c r="D239" s="19" t="n"/>
      <c r="E239" s="19" t="n"/>
      <c r="F239" s="16">
        <f>IF(OR(B239="",D239=""),"",IFERROR(INDEX('Tabla XP'!$B$2:$B$12,MATCH(D239,'Tabla XP'!$A$2:$A$12,0))*IF(E239="",1,E239),0))</f>
        <v/>
      </c>
      <c r="G239" s="19" t="n"/>
      <c r="H239" s="19" t="n"/>
    </row>
    <row r="240">
      <c r="A240" s="22" t="n"/>
      <c r="B240" s="19" t="n"/>
      <c r="C240" s="18">
        <f>IF(B240="","",IFERROR(INDEX(Jugadores!$C$2:$C$501,MATCH(B240,Jugadores!$A$2:$A$501,0)),"⚠ ID no existe"))</f>
        <v/>
      </c>
      <c r="D240" s="19" t="n"/>
      <c r="E240" s="19" t="n"/>
      <c r="F240" s="16">
        <f>IF(OR(B240="",D240=""),"",IFERROR(INDEX('Tabla XP'!$B$2:$B$12,MATCH(D240,'Tabla XP'!$A$2:$A$12,0))*IF(E240="",1,E240),0))</f>
        <v/>
      </c>
      <c r="G240" s="19" t="n"/>
      <c r="H240" s="19" t="n"/>
    </row>
    <row r="241">
      <c r="A241" s="22" t="n"/>
      <c r="B241" s="19" t="n"/>
      <c r="C241" s="18">
        <f>IF(B241="","",IFERROR(INDEX(Jugadores!$C$2:$C$501,MATCH(B241,Jugadores!$A$2:$A$501,0)),"⚠ ID no existe"))</f>
        <v/>
      </c>
      <c r="D241" s="19" t="n"/>
      <c r="E241" s="19" t="n"/>
      <c r="F241" s="16">
        <f>IF(OR(B241="",D241=""),"",IFERROR(INDEX('Tabla XP'!$B$2:$B$12,MATCH(D241,'Tabla XP'!$A$2:$A$12,0))*IF(E241="",1,E241),0))</f>
        <v/>
      </c>
      <c r="G241" s="19" t="n"/>
      <c r="H241" s="19" t="n"/>
    </row>
    <row r="242">
      <c r="A242" s="22" t="n"/>
      <c r="B242" s="19" t="n"/>
      <c r="C242" s="18">
        <f>IF(B242="","",IFERROR(INDEX(Jugadores!$C$2:$C$501,MATCH(B242,Jugadores!$A$2:$A$501,0)),"⚠ ID no existe"))</f>
        <v/>
      </c>
      <c r="D242" s="19" t="n"/>
      <c r="E242" s="19" t="n"/>
      <c r="F242" s="16">
        <f>IF(OR(B242="",D242=""),"",IFERROR(INDEX('Tabla XP'!$B$2:$B$12,MATCH(D242,'Tabla XP'!$A$2:$A$12,0))*IF(E242="",1,E242),0))</f>
        <v/>
      </c>
      <c r="G242" s="19" t="n"/>
      <c r="H242" s="19" t="n"/>
    </row>
    <row r="243">
      <c r="A243" s="22" t="n"/>
      <c r="B243" s="19" t="n"/>
      <c r="C243" s="18">
        <f>IF(B243="","",IFERROR(INDEX(Jugadores!$C$2:$C$501,MATCH(B243,Jugadores!$A$2:$A$501,0)),"⚠ ID no existe"))</f>
        <v/>
      </c>
      <c r="D243" s="19" t="n"/>
      <c r="E243" s="19" t="n"/>
      <c r="F243" s="16">
        <f>IF(OR(B243="",D243=""),"",IFERROR(INDEX('Tabla XP'!$B$2:$B$12,MATCH(D243,'Tabla XP'!$A$2:$A$12,0))*IF(E243="",1,E243),0))</f>
        <v/>
      </c>
      <c r="G243" s="19" t="n"/>
      <c r="H243" s="19" t="n"/>
    </row>
    <row r="244">
      <c r="A244" s="22" t="n"/>
      <c r="B244" s="19" t="n"/>
      <c r="C244" s="18">
        <f>IF(B244="","",IFERROR(INDEX(Jugadores!$C$2:$C$501,MATCH(B244,Jugadores!$A$2:$A$501,0)),"⚠ ID no existe"))</f>
        <v/>
      </c>
      <c r="D244" s="19" t="n"/>
      <c r="E244" s="19" t="n"/>
      <c r="F244" s="16">
        <f>IF(OR(B244="",D244=""),"",IFERROR(INDEX('Tabla XP'!$B$2:$B$12,MATCH(D244,'Tabla XP'!$A$2:$A$12,0))*IF(E244="",1,E244),0))</f>
        <v/>
      </c>
      <c r="G244" s="19" t="n"/>
      <c r="H244" s="19" t="n"/>
    </row>
    <row r="245">
      <c r="A245" s="22" t="n"/>
      <c r="B245" s="19" t="n"/>
      <c r="C245" s="18">
        <f>IF(B245="","",IFERROR(INDEX(Jugadores!$C$2:$C$501,MATCH(B245,Jugadores!$A$2:$A$501,0)),"⚠ ID no existe"))</f>
        <v/>
      </c>
      <c r="D245" s="19" t="n"/>
      <c r="E245" s="19" t="n"/>
      <c r="F245" s="16">
        <f>IF(OR(B245="",D245=""),"",IFERROR(INDEX('Tabla XP'!$B$2:$B$12,MATCH(D245,'Tabla XP'!$A$2:$A$12,0))*IF(E245="",1,E245),0))</f>
        <v/>
      </c>
      <c r="G245" s="19" t="n"/>
      <c r="H245" s="19" t="n"/>
    </row>
    <row r="246">
      <c r="A246" s="22" t="n"/>
      <c r="B246" s="19" t="n"/>
      <c r="C246" s="18">
        <f>IF(B246="","",IFERROR(INDEX(Jugadores!$C$2:$C$501,MATCH(B246,Jugadores!$A$2:$A$501,0)),"⚠ ID no existe"))</f>
        <v/>
      </c>
      <c r="D246" s="19" t="n"/>
      <c r="E246" s="19" t="n"/>
      <c r="F246" s="16">
        <f>IF(OR(B246="",D246=""),"",IFERROR(INDEX('Tabla XP'!$B$2:$B$12,MATCH(D246,'Tabla XP'!$A$2:$A$12,0))*IF(E246="",1,E246),0))</f>
        <v/>
      </c>
      <c r="G246" s="19" t="n"/>
      <c r="H246" s="19" t="n"/>
    </row>
    <row r="247">
      <c r="A247" s="22" t="n"/>
      <c r="B247" s="19" t="n"/>
      <c r="C247" s="18">
        <f>IF(B247="","",IFERROR(INDEX(Jugadores!$C$2:$C$501,MATCH(B247,Jugadores!$A$2:$A$501,0)),"⚠ ID no existe"))</f>
        <v/>
      </c>
      <c r="D247" s="19" t="n"/>
      <c r="E247" s="19" t="n"/>
      <c r="F247" s="16">
        <f>IF(OR(B247="",D247=""),"",IFERROR(INDEX('Tabla XP'!$B$2:$B$12,MATCH(D247,'Tabla XP'!$A$2:$A$12,0))*IF(E247="",1,E247),0))</f>
        <v/>
      </c>
      <c r="G247" s="19" t="n"/>
      <c r="H247" s="19" t="n"/>
    </row>
    <row r="248">
      <c r="A248" s="22" t="n"/>
      <c r="B248" s="19" t="n"/>
      <c r="C248" s="18">
        <f>IF(B248="","",IFERROR(INDEX(Jugadores!$C$2:$C$501,MATCH(B248,Jugadores!$A$2:$A$501,0)),"⚠ ID no existe"))</f>
        <v/>
      </c>
      <c r="D248" s="19" t="n"/>
      <c r="E248" s="19" t="n"/>
      <c r="F248" s="16">
        <f>IF(OR(B248="",D248=""),"",IFERROR(INDEX('Tabla XP'!$B$2:$B$12,MATCH(D248,'Tabla XP'!$A$2:$A$12,0))*IF(E248="",1,E248),0))</f>
        <v/>
      </c>
      <c r="G248" s="19" t="n"/>
      <c r="H248" s="19" t="n"/>
    </row>
    <row r="249">
      <c r="A249" s="22" t="n"/>
      <c r="B249" s="19" t="n"/>
      <c r="C249" s="18">
        <f>IF(B249="","",IFERROR(INDEX(Jugadores!$C$2:$C$501,MATCH(B249,Jugadores!$A$2:$A$501,0)),"⚠ ID no existe"))</f>
        <v/>
      </c>
      <c r="D249" s="19" t="n"/>
      <c r="E249" s="19" t="n"/>
      <c r="F249" s="16">
        <f>IF(OR(B249="",D249=""),"",IFERROR(INDEX('Tabla XP'!$B$2:$B$12,MATCH(D249,'Tabla XP'!$A$2:$A$12,0))*IF(E249="",1,E249),0))</f>
        <v/>
      </c>
      <c r="G249" s="19" t="n"/>
      <c r="H249" s="19" t="n"/>
    </row>
    <row r="250">
      <c r="A250" s="22" t="n"/>
      <c r="B250" s="19" t="n"/>
      <c r="C250" s="18">
        <f>IF(B250="","",IFERROR(INDEX(Jugadores!$C$2:$C$501,MATCH(B250,Jugadores!$A$2:$A$501,0)),"⚠ ID no existe"))</f>
        <v/>
      </c>
      <c r="D250" s="19" t="n"/>
      <c r="E250" s="19" t="n"/>
      <c r="F250" s="16">
        <f>IF(OR(B250="",D250=""),"",IFERROR(INDEX('Tabla XP'!$B$2:$B$12,MATCH(D250,'Tabla XP'!$A$2:$A$12,0))*IF(E250="",1,E250),0))</f>
        <v/>
      </c>
      <c r="G250" s="19" t="n"/>
      <c r="H250" s="19" t="n"/>
    </row>
    <row r="251">
      <c r="A251" s="22" t="n"/>
      <c r="B251" s="19" t="n"/>
      <c r="C251" s="18">
        <f>IF(B251="","",IFERROR(INDEX(Jugadores!$C$2:$C$501,MATCH(B251,Jugadores!$A$2:$A$501,0)),"⚠ ID no existe"))</f>
        <v/>
      </c>
      <c r="D251" s="19" t="n"/>
      <c r="E251" s="19" t="n"/>
      <c r="F251" s="16">
        <f>IF(OR(B251="",D251=""),"",IFERROR(INDEX('Tabla XP'!$B$2:$B$12,MATCH(D251,'Tabla XP'!$A$2:$A$12,0))*IF(E251="",1,E251),0))</f>
        <v/>
      </c>
      <c r="G251" s="19" t="n"/>
      <c r="H251" s="19" t="n"/>
    </row>
    <row r="252">
      <c r="A252" s="22" t="n"/>
      <c r="B252" s="19" t="n"/>
      <c r="C252" s="18">
        <f>IF(B252="","",IFERROR(INDEX(Jugadores!$C$2:$C$501,MATCH(B252,Jugadores!$A$2:$A$501,0)),"⚠ ID no existe"))</f>
        <v/>
      </c>
      <c r="D252" s="19" t="n"/>
      <c r="E252" s="19" t="n"/>
      <c r="F252" s="16">
        <f>IF(OR(B252="",D252=""),"",IFERROR(INDEX('Tabla XP'!$B$2:$B$12,MATCH(D252,'Tabla XP'!$A$2:$A$12,0))*IF(E252="",1,E252),0))</f>
        <v/>
      </c>
      <c r="G252" s="19" t="n"/>
      <c r="H252" s="19" t="n"/>
    </row>
    <row r="253">
      <c r="A253" s="22" t="n"/>
      <c r="B253" s="19" t="n"/>
      <c r="C253" s="18">
        <f>IF(B253="","",IFERROR(INDEX(Jugadores!$C$2:$C$501,MATCH(B253,Jugadores!$A$2:$A$501,0)),"⚠ ID no existe"))</f>
        <v/>
      </c>
      <c r="D253" s="19" t="n"/>
      <c r="E253" s="19" t="n"/>
      <c r="F253" s="16">
        <f>IF(OR(B253="",D253=""),"",IFERROR(INDEX('Tabla XP'!$B$2:$B$12,MATCH(D253,'Tabla XP'!$A$2:$A$12,0))*IF(E253="",1,E253),0))</f>
        <v/>
      </c>
      <c r="G253" s="19" t="n"/>
      <c r="H253" s="19" t="n"/>
    </row>
    <row r="254">
      <c r="A254" s="22" t="n"/>
      <c r="B254" s="19" t="n"/>
      <c r="C254" s="18">
        <f>IF(B254="","",IFERROR(INDEX(Jugadores!$C$2:$C$501,MATCH(B254,Jugadores!$A$2:$A$501,0)),"⚠ ID no existe"))</f>
        <v/>
      </c>
      <c r="D254" s="19" t="n"/>
      <c r="E254" s="19" t="n"/>
      <c r="F254" s="16">
        <f>IF(OR(B254="",D254=""),"",IFERROR(INDEX('Tabla XP'!$B$2:$B$12,MATCH(D254,'Tabla XP'!$A$2:$A$12,0))*IF(E254="",1,E254),0))</f>
        <v/>
      </c>
      <c r="G254" s="19" t="n"/>
      <c r="H254" s="19" t="n"/>
    </row>
    <row r="255">
      <c r="A255" s="22" t="n"/>
      <c r="B255" s="19" t="n"/>
      <c r="C255" s="18">
        <f>IF(B255="","",IFERROR(INDEX(Jugadores!$C$2:$C$501,MATCH(B255,Jugadores!$A$2:$A$501,0)),"⚠ ID no existe"))</f>
        <v/>
      </c>
      <c r="D255" s="19" t="n"/>
      <c r="E255" s="19" t="n"/>
      <c r="F255" s="16">
        <f>IF(OR(B255="",D255=""),"",IFERROR(INDEX('Tabla XP'!$B$2:$B$12,MATCH(D255,'Tabla XP'!$A$2:$A$12,0))*IF(E255="",1,E255),0))</f>
        <v/>
      </c>
      <c r="G255" s="19" t="n"/>
      <c r="H255" s="19" t="n"/>
    </row>
    <row r="256">
      <c r="A256" s="22" t="n"/>
      <c r="B256" s="19" t="n"/>
      <c r="C256" s="18">
        <f>IF(B256="","",IFERROR(INDEX(Jugadores!$C$2:$C$501,MATCH(B256,Jugadores!$A$2:$A$501,0)),"⚠ ID no existe"))</f>
        <v/>
      </c>
      <c r="D256" s="19" t="n"/>
      <c r="E256" s="19" t="n"/>
      <c r="F256" s="16">
        <f>IF(OR(B256="",D256=""),"",IFERROR(INDEX('Tabla XP'!$B$2:$B$12,MATCH(D256,'Tabla XP'!$A$2:$A$12,0))*IF(E256="",1,E256),0))</f>
        <v/>
      </c>
      <c r="G256" s="19" t="n"/>
      <c r="H256" s="19" t="n"/>
    </row>
    <row r="257">
      <c r="A257" s="22" t="n"/>
      <c r="B257" s="19" t="n"/>
      <c r="C257" s="18">
        <f>IF(B257="","",IFERROR(INDEX(Jugadores!$C$2:$C$501,MATCH(B257,Jugadores!$A$2:$A$501,0)),"⚠ ID no existe"))</f>
        <v/>
      </c>
      <c r="D257" s="19" t="n"/>
      <c r="E257" s="19" t="n"/>
      <c r="F257" s="16">
        <f>IF(OR(B257="",D257=""),"",IFERROR(INDEX('Tabla XP'!$B$2:$B$12,MATCH(D257,'Tabla XP'!$A$2:$A$12,0))*IF(E257="",1,E257),0))</f>
        <v/>
      </c>
      <c r="G257" s="19" t="n"/>
      <c r="H257" s="19" t="n"/>
    </row>
    <row r="258">
      <c r="A258" s="22" t="n"/>
      <c r="B258" s="19" t="n"/>
      <c r="C258" s="18">
        <f>IF(B258="","",IFERROR(INDEX(Jugadores!$C$2:$C$501,MATCH(B258,Jugadores!$A$2:$A$501,0)),"⚠ ID no existe"))</f>
        <v/>
      </c>
      <c r="D258" s="19" t="n"/>
      <c r="E258" s="19" t="n"/>
      <c r="F258" s="16">
        <f>IF(OR(B258="",D258=""),"",IFERROR(INDEX('Tabla XP'!$B$2:$B$12,MATCH(D258,'Tabla XP'!$A$2:$A$12,0))*IF(E258="",1,E258),0))</f>
        <v/>
      </c>
      <c r="G258" s="19" t="n"/>
      <c r="H258" s="19" t="n"/>
    </row>
    <row r="259">
      <c r="A259" s="22" t="n"/>
      <c r="B259" s="19" t="n"/>
      <c r="C259" s="18">
        <f>IF(B259="","",IFERROR(INDEX(Jugadores!$C$2:$C$501,MATCH(B259,Jugadores!$A$2:$A$501,0)),"⚠ ID no existe"))</f>
        <v/>
      </c>
      <c r="D259" s="19" t="n"/>
      <c r="E259" s="19" t="n"/>
      <c r="F259" s="16">
        <f>IF(OR(B259="",D259=""),"",IFERROR(INDEX('Tabla XP'!$B$2:$B$12,MATCH(D259,'Tabla XP'!$A$2:$A$12,0))*IF(E259="",1,E259),0))</f>
        <v/>
      </c>
      <c r="G259" s="19" t="n"/>
      <c r="H259" s="19" t="n"/>
    </row>
    <row r="260">
      <c r="A260" s="22" t="n"/>
      <c r="B260" s="19" t="n"/>
      <c r="C260" s="18">
        <f>IF(B260="","",IFERROR(INDEX(Jugadores!$C$2:$C$501,MATCH(B260,Jugadores!$A$2:$A$501,0)),"⚠ ID no existe"))</f>
        <v/>
      </c>
      <c r="D260" s="19" t="n"/>
      <c r="E260" s="19" t="n"/>
      <c r="F260" s="16">
        <f>IF(OR(B260="",D260=""),"",IFERROR(INDEX('Tabla XP'!$B$2:$B$12,MATCH(D260,'Tabla XP'!$A$2:$A$12,0))*IF(E260="",1,E260),0))</f>
        <v/>
      </c>
      <c r="G260" s="19" t="n"/>
      <c r="H260" s="19" t="n"/>
    </row>
    <row r="261">
      <c r="A261" s="22" t="n"/>
      <c r="B261" s="19" t="n"/>
      <c r="C261" s="18">
        <f>IF(B261="","",IFERROR(INDEX(Jugadores!$C$2:$C$501,MATCH(B261,Jugadores!$A$2:$A$501,0)),"⚠ ID no existe"))</f>
        <v/>
      </c>
      <c r="D261" s="19" t="n"/>
      <c r="E261" s="19" t="n"/>
      <c r="F261" s="16">
        <f>IF(OR(B261="",D261=""),"",IFERROR(INDEX('Tabla XP'!$B$2:$B$12,MATCH(D261,'Tabla XP'!$A$2:$A$12,0))*IF(E261="",1,E261),0))</f>
        <v/>
      </c>
      <c r="G261" s="19" t="n"/>
      <c r="H261" s="19" t="n"/>
    </row>
    <row r="262">
      <c r="A262" s="22" t="n"/>
      <c r="B262" s="19" t="n"/>
      <c r="C262" s="18">
        <f>IF(B262="","",IFERROR(INDEX(Jugadores!$C$2:$C$501,MATCH(B262,Jugadores!$A$2:$A$501,0)),"⚠ ID no existe"))</f>
        <v/>
      </c>
      <c r="D262" s="19" t="n"/>
      <c r="E262" s="19" t="n"/>
      <c r="F262" s="16">
        <f>IF(OR(B262="",D262=""),"",IFERROR(INDEX('Tabla XP'!$B$2:$B$12,MATCH(D262,'Tabla XP'!$A$2:$A$12,0))*IF(E262="",1,E262),0))</f>
        <v/>
      </c>
      <c r="G262" s="19" t="n"/>
      <c r="H262" s="19" t="n"/>
    </row>
    <row r="263">
      <c r="A263" s="22" t="n"/>
      <c r="B263" s="19" t="n"/>
      <c r="C263" s="18">
        <f>IF(B263="","",IFERROR(INDEX(Jugadores!$C$2:$C$501,MATCH(B263,Jugadores!$A$2:$A$501,0)),"⚠ ID no existe"))</f>
        <v/>
      </c>
      <c r="D263" s="19" t="n"/>
      <c r="E263" s="19" t="n"/>
      <c r="F263" s="16">
        <f>IF(OR(B263="",D263=""),"",IFERROR(INDEX('Tabla XP'!$B$2:$B$12,MATCH(D263,'Tabla XP'!$A$2:$A$12,0))*IF(E263="",1,E263),0))</f>
        <v/>
      </c>
      <c r="G263" s="19" t="n"/>
      <c r="H263" s="19" t="n"/>
    </row>
    <row r="264">
      <c r="A264" s="22" t="n"/>
      <c r="B264" s="19" t="n"/>
      <c r="C264" s="18">
        <f>IF(B264="","",IFERROR(INDEX(Jugadores!$C$2:$C$501,MATCH(B264,Jugadores!$A$2:$A$501,0)),"⚠ ID no existe"))</f>
        <v/>
      </c>
      <c r="D264" s="19" t="n"/>
      <c r="E264" s="19" t="n"/>
      <c r="F264" s="16">
        <f>IF(OR(B264="",D264=""),"",IFERROR(INDEX('Tabla XP'!$B$2:$B$12,MATCH(D264,'Tabla XP'!$A$2:$A$12,0))*IF(E264="",1,E264),0))</f>
        <v/>
      </c>
      <c r="G264" s="19" t="n"/>
      <c r="H264" s="19" t="n"/>
    </row>
    <row r="265">
      <c r="A265" s="22" t="n"/>
      <c r="B265" s="19" t="n"/>
      <c r="C265" s="18">
        <f>IF(B265="","",IFERROR(INDEX(Jugadores!$C$2:$C$501,MATCH(B265,Jugadores!$A$2:$A$501,0)),"⚠ ID no existe"))</f>
        <v/>
      </c>
      <c r="D265" s="19" t="n"/>
      <c r="E265" s="19" t="n"/>
      <c r="F265" s="16">
        <f>IF(OR(B265="",D265=""),"",IFERROR(INDEX('Tabla XP'!$B$2:$B$12,MATCH(D265,'Tabla XP'!$A$2:$A$12,0))*IF(E265="",1,E265),0))</f>
        <v/>
      </c>
      <c r="G265" s="19" t="n"/>
      <c r="H265" s="19" t="n"/>
    </row>
    <row r="266">
      <c r="A266" s="22" t="n"/>
      <c r="B266" s="19" t="n"/>
      <c r="C266" s="18">
        <f>IF(B266="","",IFERROR(INDEX(Jugadores!$C$2:$C$501,MATCH(B266,Jugadores!$A$2:$A$501,0)),"⚠ ID no existe"))</f>
        <v/>
      </c>
      <c r="D266" s="19" t="n"/>
      <c r="E266" s="19" t="n"/>
      <c r="F266" s="16">
        <f>IF(OR(B266="",D266=""),"",IFERROR(INDEX('Tabla XP'!$B$2:$B$12,MATCH(D266,'Tabla XP'!$A$2:$A$12,0))*IF(E266="",1,E266),0))</f>
        <v/>
      </c>
      <c r="G266" s="19" t="n"/>
      <c r="H266" s="19" t="n"/>
    </row>
    <row r="267">
      <c r="A267" s="22" t="n"/>
      <c r="B267" s="19" t="n"/>
      <c r="C267" s="18">
        <f>IF(B267="","",IFERROR(INDEX(Jugadores!$C$2:$C$501,MATCH(B267,Jugadores!$A$2:$A$501,0)),"⚠ ID no existe"))</f>
        <v/>
      </c>
      <c r="D267" s="19" t="n"/>
      <c r="E267" s="19" t="n"/>
      <c r="F267" s="16">
        <f>IF(OR(B267="",D267=""),"",IFERROR(INDEX('Tabla XP'!$B$2:$B$12,MATCH(D267,'Tabla XP'!$A$2:$A$12,0))*IF(E267="",1,E267),0))</f>
        <v/>
      </c>
      <c r="G267" s="19" t="n"/>
      <c r="H267" s="19" t="n"/>
    </row>
    <row r="268">
      <c r="A268" s="22" t="n"/>
      <c r="B268" s="19" t="n"/>
      <c r="C268" s="18">
        <f>IF(B268="","",IFERROR(INDEX(Jugadores!$C$2:$C$501,MATCH(B268,Jugadores!$A$2:$A$501,0)),"⚠ ID no existe"))</f>
        <v/>
      </c>
      <c r="D268" s="19" t="n"/>
      <c r="E268" s="19" t="n"/>
      <c r="F268" s="16">
        <f>IF(OR(B268="",D268=""),"",IFERROR(INDEX('Tabla XP'!$B$2:$B$12,MATCH(D268,'Tabla XP'!$A$2:$A$12,0))*IF(E268="",1,E268),0))</f>
        <v/>
      </c>
      <c r="G268" s="19" t="n"/>
      <c r="H268" s="19" t="n"/>
    </row>
    <row r="269">
      <c r="A269" s="22" t="n"/>
      <c r="B269" s="19" t="n"/>
      <c r="C269" s="18">
        <f>IF(B269="","",IFERROR(INDEX(Jugadores!$C$2:$C$501,MATCH(B269,Jugadores!$A$2:$A$501,0)),"⚠ ID no existe"))</f>
        <v/>
      </c>
      <c r="D269" s="19" t="n"/>
      <c r="E269" s="19" t="n"/>
      <c r="F269" s="16">
        <f>IF(OR(B269="",D269=""),"",IFERROR(INDEX('Tabla XP'!$B$2:$B$12,MATCH(D269,'Tabla XP'!$A$2:$A$12,0))*IF(E269="",1,E269),0))</f>
        <v/>
      </c>
      <c r="G269" s="19" t="n"/>
      <c r="H269" s="19" t="n"/>
    </row>
    <row r="270">
      <c r="A270" s="22" t="n"/>
      <c r="B270" s="19" t="n"/>
      <c r="C270" s="18">
        <f>IF(B270="","",IFERROR(INDEX(Jugadores!$C$2:$C$501,MATCH(B270,Jugadores!$A$2:$A$501,0)),"⚠ ID no existe"))</f>
        <v/>
      </c>
      <c r="D270" s="19" t="n"/>
      <c r="E270" s="19" t="n"/>
      <c r="F270" s="16">
        <f>IF(OR(B270="",D270=""),"",IFERROR(INDEX('Tabla XP'!$B$2:$B$12,MATCH(D270,'Tabla XP'!$A$2:$A$12,0))*IF(E270="",1,E270),0))</f>
        <v/>
      </c>
      <c r="G270" s="19" t="n"/>
      <c r="H270" s="19" t="n"/>
    </row>
    <row r="271">
      <c r="A271" s="22" t="n"/>
      <c r="B271" s="19" t="n"/>
      <c r="C271" s="18">
        <f>IF(B271="","",IFERROR(INDEX(Jugadores!$C$2:$C$501,MATCH(B271,Jugadores!$A$2:$A$501,0)),"⚠ ID no existe"))</f>
        <v/>
      </c>
      <c r="D271" s="19" t="n"/>
      <c r="E271" s="19" t="n"/>
      <c r="F271" s="16">
        <f>IF(OR(B271="",D271=""),"",IFERROR(INDEX('Tabla XP'!$B$2:$B$12,MATCH(D271,'Tabla XP'!$A$2:$A$12,0))*IF(E271="",1,E271),0))</f>
        <v/>
      </c>
      <c r="G271" s="19" t="n"/>
      <c r="H271" s="19" t="n"/>
    </row>
    <row r="272">
      <c r="A272" s="22" t="n"/>
      <c r="B272" s="19" t="n"/>
      <c r="C272" s="18">
        <f>IF(B272="","",IFERROR(INDEX(Jugadores!$C$2:$C$501,MATCH(B272,Jugadores!$A$2:$A$501,0)),"⚠ ID no existe"))</f>
        <v/>
      </c>
      <c r="D272" s="19" t="n"/>
      <c r="E272" s="19" t="n"/>
      <c r="F272" s="16">
        <f>IF(OR(B272="",D272=""),"",IFERROR(INDEX('Tabla XP'!$B$2:$B$12,MATCH(D272,'Tabla XP'!$A$2:$A$12,0))*IF(E272="",1,E272),0))</f>
        <v/>
      </c>
      <c r="G272" s="19" t="n"/>
      <c r="H272" s="19" t="n"/>
    </row>
    <row r="273">
      <c r="A273" s="22" t="n"/>
      <c r="B273" s="19" t="n"/>
      <c r="C273" s="18">
        <f>IF(B273="","",IFERROR(INDEX(Jugadores!$C$2:$C$501,MATCH(B273,Jugadores!$A$2:$A$501,0)),"⚠ ID no existe"))</f>
        <v/>
      </c>
      <c r="D273" s="19" t="n"/>
      <c r="E273" s="19" t="n"/>
      <c r="F273" s="16">
        <f>IF(OR(B273="",D273=""),"",IFERROR(INDEX('Tabla XP'!$B$2:$B$12,MATCH(D273,'Tabla XP'!$A$2:$A$12,0))*IF(E273="",1,E273),0))</f>
        <v/>
      </c>
      <c r="G273" s="19" t="n"/>
      <c r="H273" s="19" t="n"/>
    </row>
    <row r="274">
      <c r="A274" s="22" t="n"/>
      <c r="B274" s="19" t="n"/>
      <c r="C274" s="18">
        <f>IF(B274="","",IFERROR(INDEX(Jugadores!$C$2:$C$501,MATCH(B274,Jugadores!$A$2:$A$501,0)),"⚠ ID no existe"))</f>
        <v/>
      </c>
      <c r="D274" s="19" t="n"/>
      <c r="E274" s="19" t="n"/>
      <c r="F274" s="16">
        <f>IF(OR(B274="",D274=""),"",IFERROR(INDEX('Tabla XP'!$B$2:$B$12,MATCH(D274,'Tabla XP'!$A$2:$A$12,0))*IF(E274="",1,E274),0))</f>
        <v/>
      </c>
      <c r="G274" s="19" t="n"/>
      <c r="H274" s="19" t="n"/>
    </row>
    <row r="275">
      <c r="A275" s="22" t="n"/>
      <c r="B275" s="19" t="n"/>
      <c r="C275" s="18">
        <f>IF(B275="","",IFERROR(INDEX(Jugadores!$C$2:$C$501,MATCH(B275,Jugadores!$A$2:$A$501,0)),"⚠ ID no existe"))</f>
        <v/>
      </c>
      <c r="D275" s="19" t="n"/>
      <c r="E275" s="19" t="n"/>
      <c r="F275" s="16">
        <f>IF(OR(B275="",D275=""),"",IFERROR(INDEX('Tabla XP'!$B$2:$B$12,MATCH(D275,'Tabla XP'!$A$2:$A$12,0))*IF(E275="",1,E275),0))</f>
        <v/>
      </c>
      <c r="G275" s="19" t="n"/>
      <c r="H275" s="19" t="n"/>
    </row>
    <row r="276">
      <c r="A276" s="22" t="n"/>
      <c r="B276" s="19" t="n"/>
      <c r="C276" s="18">
        <f>IF(B276="","",IFERROR(INDEX(Jugadores!$C$2:$C$501,MATCH(B276,Jugadores!$A$2:$A$501,0)),"⚠ ID no existe"))</f>
        <v/>
      </c>
      <c r="D276" s="19" t="n"/>
      <c r="E276" s="19" t="n"/>
      <c r="F276" s="16">
        <f>IF(OR(B276="",D276=""),"",IFERROR(INDEX('Tabla XP'!$B$2:$B$12,MATCH(D276,'Tabla XP'!$A$2:$A$12,0))*IF(E276="",1,E276),0))</f>
        <v/>
      </c>
      <c r="G276" s="19" t="n"/>
      <c r="H276" s="19" t="n"/>
    </row>
    <row r="277">
      <c r="A277" s="22" t="n"/>
      <c r="B277" s="19" t="n"/>
      <c r="C277" s="18">
        <f>IF(B277="","",IFERROR(INDEX(Jugadores!$C$2:$C$501,MATCH(B277,Jugadores!$A$2:$A$501,0)),"⚠ ID no existe"))</f>
        <v/>
      </c>
      <c r="D277" s="19" t="n"/>
      <c r="E277" s="19" t="n"/>
      <c r="F277" s="16">
        <f>IF(OR(B277="",D277=""),"",IFERROR(INDEX('Tabla XP'!$B$2:$B$12,MATCH(D277,'Tabla XP'!$A$2:$A$12,0))*IF(E277="",1,E277),0))</f>
        <v/>
      </c>
      <c r="G277" s="19" t="n"/>
      <c r="H277" s="19" t="n"/>
    </row>
    <row r="278">
      <c r="A278" s="22" t="n"/>
      <c r="B278" s="19" t="n"/>
      <c r="C278" s="18">
        <f>IF(B278="","",IFERROR(INDEX(Jugadores!$C$2:$C$501,MATCH(B278,Jugadores!$A$2:$A$501,0)),"⚠ ID no existe"))</f>
        <v/>
      </c>
      <c r="D278" s="19" t="n"/>
      <c r="E278" s="19" t="n"/>
      <c r="F278" s="16">
        <f>IF(OR(B278="",D278=""),"",IFERROR(INDEX('Tabla XP'!$B$2:$B$12,MATCH(D278,'Tabla XP'!$A$2:$A$12,0))*IF(E278="",1,E278),0))</f>
        <v/>
      </c>
      <c r="G278" s="19" t="n"/>
      <c r="H278" s="19" t="n"/>
    </row>
    <row r="279">
      <c r="A279" s="22" t="n"/>
      <c r="B279" s="19" t="n"/>
      <c r="C279" s="18">
        <f>IF(B279="","",IFERROR(INDEX(Jugadores!$C$2:$C$501,MATCH(B279,Jugadores!$A$2:$A$501,0)),"⚠ ID no existe"))</f>
        <v/>
      </c>
      <c r="D279" s="19" t="n"/>
      <c r="E279" s="19" t="n"/>
      <c r="F279" s="16">
        <f>IF(OR(B279="",D279=""),"",IFERROR(INDEX('Tabla XP'!$B$2:$B$12,MATCH(D279,'Tabla XP'!$A$2:$A$12,0))*IF(E279="",1,E279),0))</f>
        <v/>
      </c>
      <c r="G279" s="19" t="n"/>
      <c r="H279" s="19" t="n"/>
    </row>
    <row r="280">
      <c r="A280" s="22" t="n"/>
      <c r="B280" s="19" t="n"/>
      <c r="C280" s="18">
        <f>IF(B280="","",IFERROR(INDEX(Jugadores!$C$2:$C$501,MATCH(B280,Jugadores!$A$2:$A$501,0)),"⚠ ID no existe"))</f>
        <v/>
      </c>
      <c r="D280" s="19" t="n"/>
      <c r="E280" s="19" t="n"/>
      <c r="F280" s="16">
        <f>IF(OR(B280="",D280=""),"",IFERROR(INDEX('Tabla XP'!$B$2:$B$12,MATCH(D280,'Tabla XP'!$A$2:$A$12,0))*IF(E280="",1,E280),0))</f>
        <v/>
      </c>
      <c r="G280" s="19" t="n"/>
      <c r="H280" s="19" t="n"/>
    </row>
    <row r="281">
      <c r="A281" s="22" t="n"/>
      <c r="B281" s="19" t="n"/>
      <c r="C281" s="18">
        <f>IF(B281="","",IFERROR(INDEX(Jugadores!$C$2:$C$501,MATCH(B281,Jugadores!$A$2:$A$501,0)),"⚠ ID no existe"))</f>
        <v/>
      </c>
      <c r="D281" s="19" t="n"/>
      <c r="E281" s="19" t="n"/>
      <c r="F281" s="16">
        <f>IF(OR(B281="",D281=""),"",IFERROR(INDEX('Tabla XP'!$B$2:$B$12,MATCH(D281,'Tabla XP'!$A$2:$A$12,0))*IF(E281="",1,E281),0))</f>
        <v/>
      </c>
      <c r="G281" s="19" t="n"/>
      <c r="H281" s="19" t="n"/>
    </row>
    <row r="282">
      <c r="A282" s="22" t="n"/>
      <c r="B282" s="19" t="n"/>
      <c r="C282" s="18">
        <f>IF(B282="","",IFERROR(INDEX(Jugadores!$C$2:$C$501,MATCH(B282,Jugadores!$A$2:$A$501,0)),"⚠ ID no existe"))</f>
        <v/>
      </c>
      <c r="D282" s="19" t="n"/>
      <c r="E282" s="19" t="n"/>
      <c r="F282" s="16">
        <f>IF(OR(B282="",D282=""),"",IFERROR(INDEX('Tabla XP'!$B$2:$B$12,MATCH(D282,'Tabla XP'!$A$2:$A$12,0))*IF(E282="",1,E282),0))</f>
        <v/>
      </c>
      <c r="G282" s="19" t="n"/>
      <c r="H282" s="19" t="n"/>
    </row>
    <row r="283">
      <c r="A283" s="22" t="n"/>
      <c r="B283" s="19" t="n"/>
      <c r="C283" s="18">
        <f>IF(B283="","",IFERROR(INDEX(Jugadores!$C$2:$C$501,MATCH(B283,Jugadores!$A$2:$A$501,0)),"⚠ ID no existe"))</f>
        <v/>
      </c>
      <c r="D283" s="19" t="n"/>
      <c r="E283" s="19" t="n"/>
      <c r="F283" s="16">
        <f>IF(OR(B283="",D283=""),"",IFERROR(INDEX('Tabla XP'!$B$2:$B$12,MATCH(D283,'Tabla XP'!$A$2:$A$12,0))*IF(E283="",1,E283),0))</f>
        <v/>
      </c>
      <c r="G283" s="19" t="n"/>
      <c r="H283" s="19" t="n"/>
    </row>
    <row r="284">
      <c r="A284" s="22" t="n"/>
      <c r="B284" s="19" t="n"/>
      <c r="C284" s="18">
        <f>IF(B284="","",IFERROR(INDEX(Jugadores!$C$2:$C$501,MATCH(B284,Jugadores!$A$2:$A$501,0)),"⚠ ID no existe"))</f>
        <v/>
      </c>
      <c r="D284" s="19" t="n"/>
      <c r="E284" s="19" t="n"/>
      <c r="F284" s="16">
        <f>IF(OR(B284="",D284=""),"",IFERROR(INDEX('Tabla XP'!$B$2:$B$12,MATCH(D284,'Tabla XP'!$A$2:$A$12,0))*IF(E284="",1,E284),0))</f>
        <v/>
      </c>
      <c r="G284" s="19" t="n"/>
      <c r="H284" s="19" t="n"/>
    </row>
    <row r="285">
      <c r="A285" s="22" t="n"/>
      <c r="B285" s="19" t="n"/>
      <c r="C285" s="18">
        <f>IF(B285="","",IFERROR(INDEX(Jugadores!$C$2:$C$501,MATCH(B285,Jugadores!$A$2:$A$501,0)),"⚠ ID no existe"))</f>
        <v/>
      </c>
      <c r="D285" s="19" t="n"/>
      <c r="E285" s="19" t="n"/>
      <c r="F285" s="16">
        <f>IF(OR(B285="",D285=""),"",IFERROR(INDEX('Tabla XP'!$B$2:$B$12,MATCH(D285,'Tabla XP'!$A$2:$A$12,0))*IF(E285="",1,E285),0))</f>
        <v/>
      </c>
      <c r="G285" s="19" t="n"/>
      <c r="H285" s="19" t="n"/>
    </row>
    <row r="286">
      <c r="A286" s="22" t="n"/>
      <c r="B286" s="19" t="n"/>
      <c r="C286" s="18">
        <f>IF(B286="","",IFERROR(INDEX(Jugadores!$C$2:$C$501,MATCH(B286,Jugadores!$A$2:$A$501,0)),"⚠ ID no existe"))</f>
        <v/>
      </c>
      <c r="D286" s="19" t="n"/>
      <c r="E286" s="19" t="n"/>
      <c r="F286" s="16">
        <f>IF(OR(B286="",D286=""),"",IFERROR(INDEX('Tabla XP'!$B$2:$B$12,MATCH(D286,'Tabla XP'!$A$2:$A$12,0))*IF(E286="",1,E286),0))</f>
        <v/>
      </c>
      <c r="G286" s="19" t="n"/>
      <c r="H286" s="19" t="n"/>
    </row>
    <row r="287">
      <c r="A287" s="22" t="n"/>
      <c r="B287" s="19" t="n"/>
      <c r="C287" s="18">
        <f>IF(B287="","",IFERROR(INDEX(Jugadores!$C$2:$C$501,MATCH(B287,Jugadores!$A$2:$A$501,0)),"⚠ ID no existe"))</f>
        <v/>
      </c>
      <c r="D287" s="19" t="n"/>
      <c r="E287" s="19" t="n"/>
      <c r="F287" s="16">
        <f>IF(OR(B287="",D287=""),"",IFERROR(INDEX('Tabla XP'!$B$2:$B$12,MATCH(D287,'Tabla XP'!$A$2:$A$12,0))*IF(E287="",1,E287),0))</f>
        <v/>
      </c>
      <c r="G287" s="19" t="n"/>
      <c r="H287" s="19" t="n"/>
    </row>
    <row r="288">
      <c r="A288" s="22" t="n"/>
      <c r="B288" s="19" t="n"/>
      <c r="C288" s="18">
        <f>IF(B288="","",IFERROR(INDEX(Jugadores!$C$2:$C$501,MATCH(B288,Jugadores!$A$2:$A$501,0)),"⚠ ID no existe"))</f>
        <v/>
      </c>
      <c r="D288" s="19" t="n"/>
      <c r="E288" s="19" t="n"/>
      <c r="F288" s="16">
        <f>IF(OR(B288="",D288=""),"",IFERROR(INDEX('Tabla XP'!$B$2:$B$12,MATCH(D288,'Tabla XP'!$A$2:$A$12,0))*IF(E288="",1,E288),0))</f>
        <v/>
      </c>
      <c r="G288" s="19" t="n"/>
      <c r="H288" s="19" t="n"/>
    </row>
    <row r="289">
      <c r="A289" s="22" t="n"/>
      <c r="B289" s="19" t="n"/>
      <c r="C289" s="18">
        <f>IF(B289="","",IFERROR(INDEX(Jugadores!$C$2:$C$501,MATCH(B289,Jugadores!$A$2:$A$501,0)),"⚠ ID no existe"))</f>
        <v/>
      </c>
      <c r="D289" s="19" t="n"/>
      <c r="E289" s="19" t="n"/>
      <c r="F289" s="16">
        <f>IF(OR(B289="",D289=""),"",IFERROR(INDEX('Tabla XP'!$B$2:$B$12,MATCH(D289,'Tabla XP'!$A$2:$A$12,0))*IF(E289="",1,E289),0))</f>
        <v/>
      </c>
      <c r="G289" s="19" t="n"/>
      <c r="H289" s="19" t="n"/>
    </row>
    <row r="290">
      <c r="A290" s="22" t="n"/>
      <c r="B290" s="19" t="n"/>
      <c r="C290" s="18">
        <f>IF(B290="","",IFERROR(INDEX(Jugadores!$C$2:$C$501,MATCH(B290,Jugadores!$A$2:$A$501,0)),"⚠ ID no existe"))</f>
        <v/>
      </c>
      <c r="D290" s="19" t="n"/>
      <c r="E290" s="19" t="n"/>
      <c r="F290" s="16">
        <f>IF(OR(B290="",D290=""),"",IFERROR(INDEX('Tabla XP'!$B$2:$B$12,MATCH(D290,'Tabla XP'!$A$2:$A$12,0))*IF(E290="",1,E290),0))</f>
        <v/>
      </c>
      <c r="G290" s="19" t="n"/>
      <c r="H290" s="19" t="n"/>
    </row>
    <row r="291">
      <c r="A291" s="22" t="n"/>
      <c r="B291" s="19" t="n"/>
      <c r="C291" s="18">
        <f>IF(B291="","",IFERROR(INDEX(Jugadores!$C$2:$C$501,MATCH(B291,Jugadores!$A$2:$A$501,0)),"⚠ ID no existe"))</f>
        <v/>
      </c>
      <c r="D291" s="19" t="n"/>
      <c r="E291" s="19" t="n"/>
      <c r="F291" s="16">
        <f>IF(OR(B291="",D291=""),"",IFERROR(INDEX('Tabla XP'!$B$2:$B$12,MATCH(D291,'Tabla XP'!$A$2:$A$12,0))*IF(E291="",1,E291),0))</f>
        <v/>
      </c>
      <c r="G291" s="19" t="n"/>
      <c r="H291" s="19" t="n"/>
    </row>
    <row r="292">
      <c r="A292" s="22" t="n"/>
      <c r="B292" s="19" t="n"/>
      <c r="C292" s="18">
        <f>IF(B292="","",IFERROR(INDEX(Jugadores!$C$2:$C$501,MATCH(B292,Jugadores!$A$2:$A$501,0)),"⚠ ID no existe"))</f>
        <v/>
      </c>
      <c r="D292" s="19" t="n"/>
      <c r="E292" s="19" t="n"/>
      <c r="F292" s="16">
        <f>IF(OR(B292="",D292=""),"",IFERROR(INDEX('Tabla XP'!$B$2:$B$12,MATCH(D292,'Tabla XP'!$A$2:$A$12,0))*IF(E292="",1,E292),0))</f>
        <v/>
      </c>
      <c r="G292" s="19" t="n"/>
      <c r="H292" s="19" t="n"/>
    </row>
    <row r="293">
      <c r="A293" s="22" t="n"/>
      <c r="B293" s="19" t="n"/>
      <c r="C293" s="18">
        <f>IF(B293="","",IFERROR(INDEX(Jugadores!$C$2:$C$501,MATCH(B293,Jugadores!$A$2:$A$501,0)),"⚠ ID no existe"))</f>
        <v/>
      </c>
      <c r="D293" s="19" t="n"/>
      <c r="E293" s="19" t="n"/>
      <c r="F293" s="16">
        <f>IF(OR(B293="",D293=""),"",IFERROR(INDEX('Tabla XP'!$B$2:$B$12,MATCH(D293,'Tabla XP'!$A$2:$A$12,0))*IF(E293="",1,E293),0))</f>
        <v/>
      </c>
      <c r="G293" s="19" t="n"/>
      <c r="H293" s="19" t="n"/>
    </row>
    <row r="294">
      <c r="A294" s="22" t="n"/>
      <c r="B294" s="19" t="n"/>
      <c r="C294" s="18">
        <f>IF(B294="","",IFERROR(INDEX(Jugadores!$C$2:$C$501,MATCH(B294,Jugadores!$A$2:$A$501,0)),"⚠ ID no existe"))</f>
        <v/>
      </c>
      <c r="D294" s="19" t="n"/>
      <c r="E294" s="19" t="n"/>
      <c r="F294" s="16">
        <f>IF(OR(B294="",D294=""),"",IFERROR(INDEX('Tabla XP'!$B$2:$B$12,MATCH(D294,'Tabla XP'!$A$2:$A$12,0))*IF(E294="",1,E294),0))</f>
        <v/>
      </c>
      <c r="G294" s="19" t="n"/>
      <c r="H294" s="19" t="n"/>
    </row>
    <row r="295">
      <c r="A295" s="22" t="n"/>
      <c r="B295" s="19" t="n"/>
      <c r="C295" s="18">
        <f>IF(B295="","",IFERROR(INDEX(Jugadores!$C$2:$C$501,MATCH(B295,Jugadores!$A$2:$A$501,0)),"⚠ ID no existe"))</f>
        <v/>
      </c>
      <c r="D295" s="19" t="n"/>
      <c r="E295" s="19" t="n"/>
      <c r="F295" s="16">
        <f>IF(OR(B295="",D295=""),"",IFERROR(INDEX('Tabla XP'!$B$2:$B$12,MATCH(D295,'Tabla XP'!$A$2:$A$12,0))*IF(E295="",1,E295),0))</f>
        <v/>
      </c>
      <c r="G295" s="19" t="n"/>
      <c r="H295" s="19" t="n"/>
    </row>
    <row r="296">
      <c r="A296" s="22" t="n"/>
      <c r="B296" s="19" t="n"/>
      <c r="C296" s="18">
        <f>IF(B296="","",IFERROR(INDEX(Jugadores!$C$2:$C$501,MATCH(B296,Jugadores!$A$2:$A$501,0)),"⚠ ID no existe"))</f>
        <v/>
      </c>
      <c r="D296" s="19" t="n"/>
      <c r="E296" s="19" t="n"/>
      <c r="F296" s="16">
        <f>IF(OR(B296="",D296=""),"",IFERROR(INDEX('Tabla XP'!$B$2:$B$12,MATCH(D296,'Tabla XP'!$A$2:$A$12,0))*IF(E296="",1,E296),0))</f>
        <v/>
      </c>
      <c r="G296" s="19" t="n"/>
      <c r="H296" s="19" t="n"/>
    </row>
    <row r="297">
      <c r="A297" s="22" t="n"/>
      <c r="B297" s="19" t="n"/>
      <c r="C297" s="18">
        <f>IF(B297="","",IFERROR(INDEX(Jugadores!$C$2:$C$501,MATCH(B297,Jugadores!$A$2:$A$501,0)),"⚠ ID no existe"))</f>
        <v/>
      </c>
      <c r="D297" s="19" t="n"/>
      <c r="E297" s="19" t="n"/>
      <c r="F297" s="16">
        <f>IF(OR(B297="",D297=""),"",IFERROR(INDEX('Tabla XP'!$B$2:$B$12,MATCH(D297,'Tabla XP'!$A$2:$A$12,0))*IF(E297="",1,E297),0))</f>
        <v/>
      </c>
      <c r="G297" s="19" t="n"/>
      <c r="H297" s="19" t="n"/>
    </row>
    <row r="298">
      <c r="A298" s="22" t="n"/>
      <c r="B298" s="19" t="n"/>
      <c r="C298" s="18">
        <f>IF(B298="","",IFERROR(INDEX(Jugadores!$C$2:$C$501,MATCH(B298,Jugadores!$A$2:$A$501,0)),"⚠ ID no existe"))</f>
        <v/>
      </c>
      <c r="D298" s="19" t="n"/>
      <c r="E298" s="19" t="n"/>
      <c r="F298" s="16">
        <f>IF(OR(B298="",D298=""),"",IFERROR(INDEX('Tabla XP'!$B$2:$B$12,MATCH(D298,'Tabla XP'!$A$2:$A$12,0))*IF(E298="",1,E298),0))</f>
        <v/>
      </c>
      <c r="G298" s="19" t="n"/>
      <c r="H298" s="19" t="n"/>
    </row>
    <row r="299">
      <c r="A299" s="22" t="n"/>
      <c r="B299" s="19" t="n"/>
      <c r="C299" s="18">
        <f>IF(B299="","",IFERROR(INDEX(Jugadores!$C$2:$C$501,MATCH(B299,Jugadores!$A$2:$A$501,0)),"⚠ ID no existe"))</f>
        <v/>
      </c>
      <c r="D299" s="19" t="n"/>
      <c r="E299" s="19" t="n"/>
      <c r="F299" s="16">
        <f>IF(OR(B299="",D299=""),"",IFERROR(INDEX('Tabla XP'!$B$2:$B$12,MATCH(D299,'Tabla XP'!$A$2:$A$12,0))*IF(E299="",1,E299),0))</f>
        <v/>
      </c>
      <c r="G299" s="19" t="n"/>
      <c r="H299" s="19" t="n"/>
    </row>
    <row r="300">
      <c r="A300" s="22" t="n"/>
      <c r="B300" s="19" t="n"/>
      <c r="C300" s="18">
        <f>IF(B300="","",IFERROR(INDEX(Jugadores!$C$2:$C$501,MATCH(B300,Jugadores!$A$2:$A$501,0)),"⚠ ID no existe"))</f>
        <v/>
      </c>
      <c r="D300" s="19" t="n"/>
      <c r="E300" s="19" t="n"/>
      <c r="F300" s="16">
        <f>IF(OR(B300="",D300=""),"",IFERROR(INDEX('Tabla XP'!$B$2:$B$12,MATCH(D300,'Tabla XP'!$A$2:$A$12,0))*IF(E300="",1,E300),0))</f>
        <v/>
      </c>
      <c r="G300" s="19" t="n"/>
      <c r="H300" s="19" t="n"/>
    </row>
    <row r="301">
      <c r="A301" s="22" t="n"/>
      <c r="B301" s="19" t="n"/>
      <c r="C301" s="18">
        <f>IF(B301="","",IFERROR(INDEX(Jugadores!$C$2:$C$501,MATCH(B301,Jugadores!$A$2:$A$501,0)),"⚠ ID no existe"))</f>
        <v/>
      </c>
      <c r="D301" s="19" t="n"/>
      <c r="E301" s="19" t="n"/>
      <c r="F301" s="16">
        <f>IF(OR(B301="",D301=""),"",IFERROR(INDEX('Tabla XP'!$B$2:$B$12,MATCH(D301,'Tabla XP'!$A$2:$A$12,0))*IF(E301="",1,E301),0))</f>
        <v/>
      </c>
      <c r="G301" s="19" t="n"/>
      <c r="H301" s="19" t="n"/>
    </row>
    <row r="302">
      <c r="A302" s="22" t="n"/>
      <c r="B302" s="19" t="n"/>
      <c r="C302" s="18">
        <f>IF(B302="","",IFERROR(INDEX(Jugadores!$C$2:$C$501,MATCH(B302,Jugadores!$A$2:$A$501,0)),"⚠ ID no existe"))</f>
        <v/>
      </c>
      <c r="D302" s="19" t="n"/>
      <c r="E302" s="19" t="n"/>
      <c r="F302" s="16">
        <f>IF(OR(B302="",D302=""),"",IFERROR(INDEX('Tabla XP'!$B$2:$B$12,MATCH(D302,'Tabla XP'!$A$2:$A$12,0))*IF(E302="",1,E302),0))</f>
        <v/>
      </c>
      <c r="G302" s="19" t="n"/>
      <c r="H302" s="19" t="n"/>
    </row>
    <row r="303">
      <c r="A303" s="22" t="n"/>
      <c r="B303" s="19" t="n"/>
      <c r="C303" s="18">
        <f>IF(B303="","",IFERROR(INDEX(Jugadores!$C$2:$C$501,MATCH(B303,Jugadores!$A$2:$A$501,0)),"⚠ ID no existe"))</f>
        <v/>
      </c>
      <c r="D303" s="19" t="n"/>
      <c r="E303" s="19" t="n"/>
      <c r="F303" s="16">
        <f>IF(OR(B303="",D303=""),"",IFERROR(INDEX('Tabla XP'!$B$2:$B$12,MATCH(D303,'Tabla XP'!$A$2:$A$12,0))*IF(E303="",1,E303),0))</f>
        <v/>
      </c>
      <c r="G303" s="19" t="n"/>
      <c r="H303" s="19" t="n"/>
    </row>
    <row r="304">
      <c r="A304" s="22" t="n"/>
      <c r="B304" s="19" t="n"/>
      <c r="C304" s="18">
        <f>IF(B304="","",IFERROR(INDEX(Jugadores!$C$2:$C$501,MATCH(B304,Jugadores!$A$2:$A$501,0)),"⚠ ID no existe"))</f>
        <v/>
      </c>
      <c r="D304" s="19" t="n"/>
      <c r="E304" s="19" t="n"/>
      <c r="F304" s="16">
        <f>IF(OR(B304="",D304=""),"",IFERROR(INDEX('Tabla XP'!$B$2:$B$12,MATCH(D304,'Tabla XP'!$A$2:$A$12,0))*IF(E304="",1,E304),0))</f>
        <v/>
      </c>
      <c r="G304" s="19" t="n"/>
      <c r="H304" s="19" t="n"/>
    </row>
    <row r="305">
      <c r="A305" s="22" t="n"/>
      <c r="B305" s="19" t="n"/>
      <c r="C305" s="18">
        <f>IF(B305="","",IFERROR(INDEX(Jugadores!$C$2:$C$501,MATCH(B305,Jugadores!$A$2:$A$501,0)),"⚠ ID no existe"))</f>
        <v/>
      </c>
      <c r="D305" s="19" t="n"/>
      <c r="E305" s="19" t="n"/>
      <c r="F305" s="16">
        <f>IF(OR(B305="",D305=""),"",IFERROR(INDEX('Tabla XP'!$B$2:$B$12,MATCH(D305,'Tabla XP'!$A$2:$A$12,0))*IF(E305="",1,E305),0))</f>
        <v/>
      </c>
      <c r="G305" s="19" t="n"/>
      <c r="H305" s="19" t="n"/>
    </row>
    <row r="306">
      <c r="A306" s="22" t="n"/>
      <c r="B306" s="19" t="n"/>
      <c r="C306" s="18">
        <f>IF(B306="","",IFERROR(INDEX(Jugadores!$C$2:$C$501,MATCH(B306,Jugadores!$A$2:$A$501,0)),"⚠ ID no existe"))</f>
        <v/>
      </c>
      <c r="D306" s="19" t="n"/>
      <c r="E306" s="19" t="n"/>
      <c r="F306" s="16">
        <f>IF(OR(B306="",D306=""),"",IFERROR(INDEX('Tabla XP'!$B$2:$B$12,MATCH(D306,'Tabla XP'!$A$2:$A$12,0))*IF(E306="",1,E306),0))</f>
        <v/>
      </c>
      <c r="G306" s="19" t="n"/>
      <c r="H306" s="19" t="n"/>
    </row>
    <row r="307">
      <c r="A307" s="22" t="n"/>
      <c r="B307" s="19" t="n"/>
      <c r="C307" s="18">
        <f>IF(B307="","",IFERROR(INDEX(Jugadores!$C$2:$C$501,MATCH(B307,Jugadores!$A$2:$A$501,0)),"⚠ ID no existe"))</f>
        <v/>
      </c>
      <c r="D307" s="19" t="n"/>
      <c r="E307" s="19" t="n"/>
      <c r="F307" s="16">
        <f>IF(OR(B307="",D307=""),"",IFERROR(INDEX('Tabla XP'!$B$2:$B$12,MATCH(D307,'Tabla XP'!$A$2:$A$12,0))*IF(E307="",1,E307),0))</f>
        <v/>
      </c>
      <c r="G307" s="19" t="n"/>
      <c r="H307" s="19" t="n"/>
    </row>
    <row r="308">
      <c r="A308" s="22" t="n"/>
      <c r="B308" s="19" t="n"/>
      <c r="C308" s="18">
        <f>IF(B308="","",IFERROR(INDEX(Jugadores!$C$2:$C$501,MATCH(B308,Jugadores!$A$2:$A$501,0)),"⚠ ID no existe"))</f>
        <v/>
      </c>
      <c r="D308" s="19" t="n"/>
      <c r="E308" s="19" t="n"/>
      <c r="F308" s="16">
        <f>IF(OR(B308="",D308=""),"",IFERROR(INDEX('Tabla XP'!$B$2:$B$12,MATCH(D308,'Tabla XP'!$A$2:$A$12,0))*IF(E308="",1,E308),0))</f>
        <v/>
      </c>
      <c r="G308" s="19" t="n"/>
      <c r="H308" s="19" t="n"/>
    </row>
    <row r="309">
      <c r="A309" s="22" t="n"/>
      <c r="B309" s="19" t="n"/>
      <c r="C309" s="18">
        <f>IF(B309="","",IFERROR(INDEX(Jugadores!$C$2:$C$501,MATCH(B309,Jugadores!$A$2:$A$501,0)),"⚠ ID no existe"))</f>
        <v/>
      </c>
      <c r="D309" s="19" t="n"/>
      <c r="E309" s="19" t="n"/>
      <c r="F309" s="16">
        <f>IF(OR(B309="",D309=""),"",IFERROR(INDEX('Tabla XP'!$B$2:$B$12,MATCH(D309,'Tabla XP'!$A$2:$A$12,0))*IF(E309="",1,E309),0))</f>
        <v/>
      </c>
      <c r="G309" s="19" t="n"/>
      <c r="H309" s="19" t="n"/>
    </row>
    <row r="310">
      <c r="A310" s="22" t="n"/>
      <c r="B310" s="19" t="n"/>
      <c r="C310" s="18">
        <f>IF(B310="","",IFERROR(INDEX(Jugadores!$C$2:$C$501,MATCH(B310,Jugadores!$A$2:$A$501,0)),"⚠ ID no existe"))</f>
        <v/>
      </c>
      <c r="D310" s="19" t="n"/>
      <c r="E310" s="19" t="n"/>
      <c r="F310" s="16">
        <f>IF(OR(B310="",D310=""),"",IFERROR(INDEX('Tabla XP'!$B$2:$B$12,MATCH(D310,'Tabla XP'!$A$2:$A$12,0))*IF(E310="",1,E310),0))</f>
        <v/>
      </c>
      <c r="G310" s="19" t="n"/>
      <c r="H310" s="19" t="n"/>
    </row>
    <row r="311">
      <c r="A311" s="22" t="n"/>
      <c r="B311" s="19" t="n"/>
      <c r="C311" s="18">
        <f>IF(B311="","",IFERROR(INDEX(Jugadores!$C$2:$C$501,MATCH(B311,Jugadores!$A$2:$A$501,0)),"⚠ ID no existe"))</f>
        <v/>
      </c>
      <c r="D311" s="19" t="n"/>
      <c r="E311" s="19" t="n"/>
      <c r="F311" s="16">
        <f>IF(OR(B311="",D311=""),"",IFERROR(INDEX('Tabla XP'!$B$2:$B$12,MATCH(D311,'Tabla XP'!$A$2:$A$12,0))*IF(E311="",1,E311),0))</f>
        <v/>
      </c>
      <c r="G311" s="19" t="n"/>
      <c r="H311" s="19" t="n"/>
    </row>
    <row r="312">
      <c r="A312" s="22" t="n"/>
      <c r="B312" s="19" t="n"/>
      <c r="C312" s="18">
        <f>IF(B312="","",IFERROR(INDEX(Jugadores!$C$2:$C$501,MATCH(B312,Jugadores!$A$2:$A$501,0)),"⚠ ID no existe"))</f>
        <v/>
      </c>
      <c r="D312" s="19" t="n"/>
      <c r="E312" s="19" t="n"/>
      <c r="F312" s="16">
        <f>IF(OR(B312="",D312=""),"",IFERROR(INDEX('Tabla XP'!$B$2:$B$12,MATCH(D312,'Tabla XP'!$A$2:$A$12,0))*IF(E312="",1,E312),0))</f>
        <v/>
      </c>
      <c r="G312" s="19" t="n"/>
      <c r="H312" s="19" t="n"/>
    </row>
    <row r="313">
      <c r="A313" s="22" t="n"/>
      <c r="B313" s="19" t="n"/>
      <c r="C313" s="18">
        <f>IF(B313="","",IFERROR(INDEX(Jugadores!$C$2:$C$501,MATCH(B313,Jugadores!$A$2:$A$501,0)),"⚠ ID no existe"))</f>
        <v/>
      </c>
      <c r="D313" s="19" t="n"/>
      <c r="E313" s="19" t="n"/>
      <c r="F313" s="16">
        <f>IF(OR(B313="",D313=""),"",IFERROR(INDEX('Tabla XP'!$B$2:$B$12,MATCH(D313,'Tabla XP'!$A$2:$A$12,0))*IF(E313="",1,E313),0))</f>
        <v/>
      </c>
      <c r="G313" s="19" t="n"/>
      <c r="H313" s="19" t="n"/>
    </row>
    <row r="314">
      <c r="A314" s="22" t="n"/>
      <c r="B314" s="19" t="n"/>
      <c r="C314" s="18">
        <f>IF(B314="","",IFERROR(INDEX(Jugadores!$C$2:$C$501,MATCH(B314,Jugadores!$A$2:$A$501,0)),"⚠ ID no existe"))</f>
        <v/>
      </c>
      <c r="D314" s="19" t="n"/>
      <c r="E314" s="19" t="n"/>
      <c r="F314" s="16">
        <f>IF(OR(B314="",D314=""),"",IFERROR(INDEX('Tabla XP'!$B$2:$B$12,MATCH(D314,'Tabla XP'!$A$2:$A$12,0))*IF(E314="",1,E314),0))</f>
        <v/>
      </c>
      <c r="G314" s="19" t="n"/>
      <c r="H314" s="19" t="n"/>
    </row>
    <row r="315">
      <c r="A315" s="22" t="n"/>
      <c r="B315" s="19" t="n"/>
      <c r="C315" s="18">
        <f>IF(B315="","",IFERROR(INDEX(Jugadores!$C$2:$C$501,MATCH(B315,Jugadores!$A$2:$A$501,0)),"⚠ ID no existe"))</f>
        <v/>
      </c>
      <c r="D315" s="19" t="n"/>
      <c r="E315" s="19" t="n"/>
      <c r="F315" s="16">
        <f>IF(OR(B315="",D315=""),"",IFERROR(INDEX('Tabla XP'!$B$2:$B$12,MATCH(D315,'Tabla XP'!$A$2:$A$12,0))*IF(E315="",1,E315),0))</f>
        <v/>
      </c>
      <c r="G315" s="19" t="n"/>
      <c r="H315" s="19" t="n"/>
    </row>
    <row r="316">
      <c r="A316" s="22" t="n"/>
      <c r="B316" s="19" t="n"/>
      <c r="C316" s="18">
        <f>IF(B316="","",IFERROR(INDEX(Jugadores!$C$2:$C$501,MATCH(B316,Jugadores!$A$2:$A$501,0)),"⚠ ID no existe"))</f>
        <v/>
      </c>
      <c r="D316" s="19" t="n"/>
      <c r="E316" s="19" t="n"/>
      <c r="F316" s="16">
        <f>IF(OR(B316="",D316=""),"",IFERROR(INDEX('Tabla XP'!$B$2:$B$12,MATCH(D316,'Tabla XP'!$A$2:$A$12,0))*IF(E316="",1,E316),0))</f>
        <v/>
      </c>
      <c r="G316" s="19" t="n"/>
      <c r="H316" s="19" t="n"/>
    </row>
    <row r="317">
      <c r="A317" s="22" t="n"/>
      <c r="B317" s="19" t="n"/>
      <c r="C317" s="18">
        <f>IF(B317="","",IFERROR(INDEX(Jugadores!$C$2:$C$501,MATCH(B317,Jugadores!$A$2:$A$501,0)),"⚠ ID no existe"))</f>
        <v/>
      </c>
      <c r="D317" s="19" t="n"/>
      <c r="E317" s="19" t="n"/>
      <c r="F317" s="16">
        <f>IF(OR(B317="",D317=""),"",IFERROR(INDEX('Tabla XP'!$B$2:$B$12,MATCH(D317,'Tabla XP'!$A$2:$A$12,0))*IF(E317="",1,E317),0))</f>
        <v/>
      </c>
      <c r="G317" s="19" t="n"/>
      <c r="H317" s="19" t="n"/>
    </row>
    <row r="318">
      <c r="A318" s="22" t="n"/>
      <c r="B318" s="19" t="n"/>
      <c r="C318" s="18">
        <f>IF(B318="","",IFERROR(INDEX(Jugadores!$C$2:$C$501,MATCH(B318,Jugadores!$A$2:$A$501,0)),"⚠ ID no existe"))</f>
        <v/>
      </c>
      <c r="D318" s="19" t="n"/>
      <c r="E318" s="19" t="n"/>
      <c r="F318" s="16">
        <f>IF(OR(B318="",D318=""),"",IFERROR(INDEX('Tabla XP'!$B$2:$B$12,MATCH(D318,'Tabla XP'!$A$2:$A$12,0))*IF(E318="",1,E318),0))</f>
        <v/>
      </c>
      <c r="G318" s="19" t="n"/>
      <c r="H318" s="19" t="n"/>
    </row>
    <row r="319">
      <c r="A319" s="22" t="n"/>
      <c r="B319" s="19" t="n"/>
      <c r="C319" s="18">
        <f>IF(B319="","",IFERROR(INDEX(Jugadores!$C$2:$C$501,MATCH(B319,Jugadores!$A$2:$A$501,0)),"⚠ ID no existe"))</f>
        <v/>
      </c>
      <c r="D319" s="19" t="n"/>
      <c r="E319" s="19" t="n"/>
      <c r="F319" s="16">
        <f>IF(OR(B319="",D319=""),"",IFERROR(INDEX('Tabla XP'!$B$2:$B$12,MATCH(D319,'Tabla XP'!$A$2:$A$12,0))*IF(E319="",1,E319),0))</f>
        <v/>
      </c>
      <c r="G319" s="19" t="n"/>
      <c r="H319" s="19" t="n"/>
    </row>
    <row r="320">
      <c r="A320" s="22" t="n"/>
      <c r="B320" s="19" t="n"/>
      <c r="C320" s="18">
        <f>IF(B320="","",IFERROR(INDEX(Jugadores!$C$2:$C$501,MATCH(B320,Jugadores!$A$2:$A$501,0)),"⚠ ID no existe"))</f>
        <v/>
      </c>
      <c r="D320" s="19" t="n"/>
      <c r="E320" s="19" t="n"/>
      <c r="F320" s="16">
        <f>IF(OR(B320="",D320=""),"",IFERROR(INDEX('Tabla XP'!$B$2:$B$12,MATCH(D320,'Tabla XP'!$A$2:$A$12,0))*IF(E320="",1,E320),0))</f>
        <v/>
      </c>
      <c r="G320" s="19" t="n"/>
      <c r="H320" s="19" t="n"/>
    </row>
    <row r="321">
      <c r="A321" s="22" t="n"/>
      <c r="B321" s="19" t="n"/>
      <c r="C321" s="18">
        <f>IF(B321="","",IFERROR(INDEX(Jugadores!$C$2:$C$501,MATCH(B321,Jugadores!$A$2:$A$501,0)),"⚠ ID no existe"))</f>
        <v/>
      </c>
      <c r="D321" s="19" t="n"/>
      <c r="E321" s="19" t="n"/>
      <c r="F321" s="16">
        <f>IF(OR(B321="",D321=""),"",IFERROR(INDEX('Tabla XP'!$B$2:$B$12,MATCH(D321,'Tabla XP'!$A$2:$A$12,0))*IF(E321="",1,E321),0))</f>
        <v/>
      </c>
      <c r="G321" s="19" t="n"/>
      <c r="H321" s="19" t="n"/>
    </row>
    <row r="322">
      <c r="A322" s="22" t="n"/>
      <c r="B322" s="19" t="n"/>
      <c r="C322" s="18">
        <f>IF(B322="","",IFERROR(INDEX(Jugadores!$C$2:$C$501,MATCH(B322,Jugadores!$A$2:$A$501,0)),"⚠ ID no existe"))</f>
        <v/>
      </c>
      <c r="D322" s="19" t="n"/>
      <c r="E322" s="19" t="n"/>
      <c r="F322" s="16">
        <f>IF(OR(B322="",D322=""),"",IFERROR(INDEX('Tabla XP'!$B$2:$B$12,MATCH(D322,'Tabla XP'!$A$2:$A$12,0))*IF(E322="",1,E322),0))</f>
        <v/>
      </c>
      <c r="G322" s="19" t="n"/>
      <c r="H322" s="19" t="n"/>
    </row>
    <row r="323">
      <c r="A323" s="22" t="n"/>
      <c r="B323" s="19" t="n"/>
      <c r="C323" s="18">
        <f>IF(B323="","",IFERROR(INDEX(Jugadores!$C$2:$C$501,MATCH(B323,Jugadores!$A$2:$A$501,0)),"⚠ ID no existe"))</f>
        <v/>
      </c>
      <c r="D323" s="19" t="n"/>
      <c r="E323" s="19" t="n"/>
      <c r="F323" s="16">
        <f>IF(OR(B323="",D323=""),"",IFERROR(INDEX('Tabla XP'!$B$2:$B$12,MATCH(D323,'Tabla XP'!$A$2:$A$12,0))*IF(E323="",1,E323),0))</f>
        <v/>
      </c>
      <c r="G323" s="19" t="n"/>
      <c r="H323" s="19" t="n"/>
    </row>
    <row r="324">
      <c r="A324" s="22" t="n"/>
      <c r="B324" s="19" t="n"/>
      <c r="C324" s="18">
        <f>IF(B324="","",IFERROR(INDEX(Jugadores!$C$2:$C$501,MATCH(B324,Jugadores!$A$2:$A$501,0)),"⚠ ID no existe"))</f>
        <v/>
      </c>
      <c r="D324" s="19" t="n"/>
      <c r="E324" s="19" t="n"/>
      <c r="F324" s="16">
        <f>IF(OR(B324="",D324=""),"",IFERROR(INDEX('Tabla XP'!$B$2:$B$12,MATCH(D324,'Tabla XP'!$A$2:$A$12,0))*IF(E324="",1,E324),0))</f>
        <v/>
      </c>
      <c r="G324" s="19" t="n"/>
      <c r="H324" s="19" t="n"/>
    </row>
    <row r="325">
      <c r="A325" s="22" t="n"/>
      <c r="B325" s="19" t="n"/>
      <c r="C325" s="18">
        <f>IF(B325="","",IFERROR(INDEX(Jugadores!$C$2:$C$501,MATCH(B325,Jugadores!$A$2:$A$501,0)),"⚠ ID no existe"))</f>
        <v/>
      </c>
      <c r="D325" s="19" t="n"/>
      <c r="E325" s="19" t="n"/>
      <c r="F325" s="16">
        <f>IF(OR(B325="",D325=""),"",IFERROR(INDEX('Tabla XP'!$B$2:$B$12,MATCH(D325,'Tabla XP'!$A$2:$A$12,0))*IF(E325="",1,E325),0))</f>
        <v/>
      </c>
      <c r="G325" s="19" t="n"/>
      <c r="H325" s="19" t="n"/>
    </row>
    <row r="326">
      <c r="A326" s="22" t="n"/>
      <c r="B326" s="19" t="n"/>
      <c r="C326" s="18">
        <f>IF(B326="","",IFERROR(INDEX(Jugadores!$C$2:$C$501,MATCH(B326,Jugadores!$A$2:$A$501,0)),"⚠ ID no existe"))</f>
        <v/>
      </c>
      <c r="D326" s="19" t="n"/>
      <c r="E326" s="19" t="n"/>
      <c r="F326" s="16">
        <f>IF(OR(B326="",D326=""),"",IFERROR(INDEX('Tabla XP'!$B$2:$B$12,MATCH(D326,'Tabla XP'!$A$2:$A$12,0))*IF(E326="",1,E326),0))</f>
        <v/>
      </c>
      <c r="G326" s="19" t="n"/>
      <c r="H326" s="19" t="n"/>
    </row>
    <row r="327">
      <c r="A327" s="22" t="n"/>
      <c r="B327" s="19" t="n"/>
      <c r="C327" s="18">
        <f>IF(B327="","",IFERROR(INDEX(Jugadores!$C$2:$C$501,MATCH(B327,Jugadores!$A$2:$A$501,0)),"⚠ ID no existe"))</f>
        <v/>
      </c>
      <c r="D327" s="19" t="n"/>
      <c r="E327" s="19" t="n"/>
      <c r="F327" s="16">
        <f>IF(OR(B327="",D327=""),"",IFERROR(INDEX('Tabla XP'!$B$2:$B$12,MATCH(D327,'Tabla XP'!$A$2:$A$12,0))*IF(E327="",1,E327),0))</f>
        <v/>
      </c>
      <c r="G327" s="19" t="n"/>
      <c r="H327" s="19" t="n"/>
    </row>
    <row r="328">
      <c r="A328" s="22" t="n"/>
      <c r="B328" s="19" t="n"/>
      <c r="C328" s="18">
        <f>IF(B328="","",IFERROR(INDEX(Jugadores!$C$2:$C$501,MATCH(B328,Jugadores!$A$2:$A$501,0)),"⚠ ID no existe"))</f>
        <v/>
      </c>
      <c r="D328" s="19" t="n"/>
      <c r="E328" s="19" t="n"/>
      <c r="F328" s="16">
        <f>IF(OR(B328="",D328=""),"",IFERROR(INDEX('Tabla XP'!$B$2:$B$12,MATCH(D328,'Tabla XP'!$A$2:$A$12,0))*IF(E328="",1,E328),0))</f>
        <v/>
      </c>
      <c r="G328" s="19" t="n"/>
      <c r="H328" s="19" t="n"/>
    </row>
    <row r="329">
      <c r="A329" s="22" t="n"/>
      <c r="B329" s="19" t="n"/>
      <c r="C329" s="18">
        <f>IF(B329="","",IFERROR(INDEX(Jugadores!$C$2:$C$501,MATCH(B329,Jugadores!$A$2:$A$501,0)),"⚠ ID no existe"))</f>
        <v/>
      </c>
      <c r="D329" s="19" t="n"/>
      <c r="E329" s="19" t="n"/>
      <c r="F329" s="16">
        <f>IF(OR(B329="",D329=""),"",IFERROR(INDEX('Tabla XP'!$B$2:$B$12,MATCH(D329,'Tabla XP'!$A$2:$A$12,0))*IF(E329="",1,E329),0))</f>
        <v/>
      </c>
      <c r="G329" s="19" t="n"/>
      <c r="H329" s="19" t="n"/>
    </row>
    <row r="330">
      <c r="A330" s="22" t="n"/>
      <c r="B330" s="19" t="n"/>
      <c r="C330" s="18">
        <f>IF(B330="","",IFERROR(INDEX(Jugadores!$C$2:$C$501,MATCH(B330,Jugadores!$A$2:$A$501,0)),"⚠ ID no existe"))</f>
        <v/>
      </c>
      <c r="D330" s="19" t="n"/>
      <c r="E330" s="19" t="n"/>
      <c r="F330" s="16">
        <f>IF(OR(B330="",D330=""),"",IFERROR(INDEX('Tabla XP'!$B$2:$B$12,MATCH(D330,'Tabla XP'!$A$2:$A$12,0))*IF(E330="",1,E330),0))</f>
        <v/>
      </c>
      <c r="G330" s="19" t="n"/>
      <c r="H330" s="19" t="n"/>
    </row>
    <row r="331">
      <c r="A331" s="22" t="n"/>
      <c r="B331" s="19" t="n"/>
      <c r="C331" s="18">
        <f>IF(B331="","",IFERROR(INDEX(Jugadores!$C$2:$C$501,MATCH(B331,Jugadores!$A$2:$A$501,0)),"⚠ ID no existe"))</f>
        <v/>
      </c>
      <c r="D331" s="19" t="n"/>
      <c r="E331" s="19" t="n"/>
      <c r="F331" s="16">
        <f>IF(OR(B331="",D331=""),"",IFERROR(INDEX('Tabla XP'!$B$2:$B$12,MATCH(D331,'Tabla XP'!$A$2:$A$12,0))*IF(E331="",1,E331),0))</f>
        <v/>
      </c>
      <c r="G331" s="19" t="n"/>
      <c r="H331" s="19" t="n"/>
    </row>
    <row r="332">
      <c r="A332" s="22" t="n"/>
      <c r="B332" s="19" t="n"/>
      <c r="C332" s="18">
        <f>IF(B332="","",IFERROR(INDEX(Jugadores!$C$2:$C$501,MATCH(B332,Jugadores!$A$2:$A$501,0)),"⚠ ID no existe"))</f>
        <v/>
      </c>
      <c r="D332" s="19" t="n"/>
      <c r="E332" s="19" t="n"/>
      <c r="F332" s="16">
        <f>IF(OR(B332="",D332=""),"",IFERROR(INDEX('Tabla XP'!$B$2:$B$12,MATCH(D332,'Tabla XP'!$A$2:$A$12,0))*IF(E332="",1,E332),0))</f>
        <v/>
      </c>
      <c r="G332" s="19" t="n"/>
      <c r="H332" s="19" t="n"/>
    </row>
    <row r="333">
      <c r="A333" s="22" t="n"/>
      <c r="B333" s="19" t="n"/>
      <c r="C333" s="18">
        <f>IF(B333="","",IFERROR(INDEX(Jugadores!$C$2:$C$501,MATCH(B333,Jugadores!$A$2:$A$501,0)),"⚠ ID no existe"))</f>
        <v/>
      </c>
      <c r="D333" s="19" t="n"/>
      <c r="E333" s="19" t="n"/>
      <c r="F333" s="16">
        <f>IF(OR(B333="",D333=""),"",IFERROR(INDEX('Tabla XP'!$B$2:$B$12,MATCH(D333,'Tabla XP'!$A$2:$A$12,0))*IF(E333="",1,E333),0))</f>
        <v/>
      </c>
      <c r="G333" s="19" t="n"/>
      <c r="H333" s="19" t="n"/>
    </row>
    <row r="334">
      <c r="A334" s="22" t="n"/>
      <c r="B334" s="19" t="n"/>
      <c r="C334" s="18">
        <f>IF(B334="","",IFERROR(INDEX(Jugadores!$C$2:$C$501,MATCH(B334,Jugadores!$A$2:$A$501,0)),"⚠ ID no existe"))</f>
        <v/>
      </c>
      <c r="D334" s="19" t="n"/>
      <c r="E334" s="19" t="n"/>
      <c r="F334" s="16">
        <f>IF(OR(B334="",D334=""),"",IFERROR(INDEX('Tabla XP'!$B$2:$B$12,MATCH(D334,'Tabla XP'!$A$2:$A$12,0))*IF(E334="",1,E334),0))</f>
        <v/>
      </c>
      <c r="G334" s="19" t="n"/>
      <c r="H334" s="19" t="n"/>
    </row>
    <row r="335">
      <c r="A335" s="22" t="n"/>
      <c r="B335" s="19" t="n"/>
      <c r="C335" s="18">
        <f>IF(B335="","",IFERROR(INDEX(Jugadores!$C$2:$C$501,MATCH(B335,Jugadores!$A$2:$A$501,0)),"⚠ ID no existe"))</f>
        <v/>
      </c>
      <c r="D335" s="19" t="n"/>
      <c r="E335" s="19" t="n"/>
      <c r="F335" s="16">
        <f>IF(OR(B335="",D335=""),"",IFERROR(INDEX('Tabla XP'!$B$2:$B$12,MATCH(D335,'Tabla XP'!$A$2:$A$12,0))*IF(E335="",1,E335),0))</f>
        <v/>
      </c>
      <c r="G335" s="19" t="n"/>
      <c r="H335" s="19" t="n"/>
    </row>
    <row r="336">
      <c r="A336" s="22" t="n"/>
      <c r="B336" s="19" t="n"/>
      <c r="C336" s="18">
        <f>IF(B336="","",IFERROR(INDEX(Jugadores!$C$2:$C$501,MATCH(B336,Jugadores!$A$2:$A$501,0)),"⚠ ID no existe"))</f>
        <v/>
      </c>
      <c r="D336" s="19" t="n"/>
      <c r="E336" s="19" t="n"/>
      <c r="F336" s="16">
        <f>IF(OR(B336="",D336=""),"",IFERROR(INDEX('Tabla XP'!$B$2:$B$12,MATCH(D336,'Tabla XP'!$A$2:$A$12,0))*IF(E336="",1,E336),0))</f>
        <v/>
      </c>
      <c r="G336" s="19" t="n"/>
      <c r="H336" s="19" t="n"/>
    </row>
    <row r="337">
      <c r="A337" s="22" t="n"/>
      <c r="B337" s="19" t="n"/>
      <c r="C337" s="18">
        <f>IF(B337="","",IFERROR(INDEX(Jugadores!$C$2:$C$501,MATCH(B337,Jugadores!$A$2:$A$501,0)),"⚠ ID no existe"))</f>
        <v/>
      </c>
      <c r="D337" s="19" t="n"/>
      <c r="E337" s="19" t="n"/>
      <c r="F337" s="16">
        <f>IF(OR(B337="",D337=""),"",IFERROR(INDEX('Tabla XP'!$B$2:$B$12,MATCH(D337,'Tabla XP'!$A$2:$A$12,0))*IF(E337="",1,E337),0))</f>
        <v/>
      </c>
      <c r="G337" s="19" t="n"/>
      <c r="H337" s="19" t="n"/>
    </row>
    <row r="338">
      <c r="A338" s="22" t="n"/>
      <c r="B338" s="19" t="n"/>
      <c r="C338" s="18">
        <f>IF(B338="","",IFERROR(INDEX(Jugadores!$C$2:$C$501,MATCH(B338,Jugadores!$A$2:$A$501,0)),"⚠ ID no existe"))</f>
        <v/>
      </c>
      <c r="D338" s="19" t="n"/>
      <c r="E338" s="19" t="n"/>
      <c r="F338" s="16">
        <f>IF(OR(B338="",D338=""),"",IFERROR(INDEX('Tabla XP'!$B$2:$B$12,MATCH(D338,'Tabla XP'!$A$2:$A$12,0))*IF(E338="",1,E338),0))</f>
        <v/>
      </c>
      <c r="G338" s="19" t="n"/>
      <c r="H338" s="19" t="n"/>
    </row>
    <row r="339">
      <c r="A339" s="22" t="n"/>
      <c r="B339" s="19" t="n"/>
      <c r="C339" s="18">
        <f>IF(B339="","",IFERROR(INDEX(Jugadores!$C$2:$C$501,MATCH(B339,Jugadores!$A$2:$A$501,0)),"⚠ ID no existe"))</f>
        <v/>
      </c>
      <c r="D339" s="19" t="n"/>
      <c r="E339" s="19" t="n"/>
      <c r="F339" s="16">
        <f>IF(OR(B339="",D339=""),"",IFERROR(INDEX('Tabla XP'!$B$2:$B$12,MATCH(D339,'Tabla XP'!$A$2:$A$12,0))*IF(E339="",1,E339),0))</f>
        <v/>
      </c>
      <c r="G339" s="19" t="n"/>
      <c r="H339" s="19" t="n"/>
    </row>
    <row r="340">
      <c r="A340" s="22" t="n"/>
      <c r="B340" s="19" t="n"/>
      <c r="C340" s="18">
        <f>IF(B340="","",IFERROR(INDEX(Jugadores!$C$2:$C$501,MATCH(B340,Jugadores!$A$2:$A$501,0)),"⚠ ID no existe"))</f>
        <v/>
      </c>
      <c r="D340" s="19" t="n"/>
      <c r="E340" s="19" t="n"/>
      <c r="F340" s="16">
        <f>IF(OR(B340="",D340=""),"",IFERROR(INDEX('Tabla XP'!$B$2:$B$12,MATCH(D340,'Tabla XP'!$A$2:$A$12,0))*IF(E340="",1,E340),0))</f>
        <v/>
      </c>
      <c r="G340" s="19" t="n"/>
      <c r="H340" s="19" t="n"/>
    </row>
    <row r="341">
      <c r="A341" s="22" t="n"/>
      <c r="B341" s="19" t="n"/>
      <c r="C341" s="18">
        <f>IF(B341="","",IFERROR(INDEX(Jugadores!$C$2:$C$501,MATCH(B341,Jugadores!$A$2:$A$501,0)),"⚠ ID no existe"))</f>
        <v/>
      </c>
      <c r="D341" s="19" t="n"/>
      <c r="E341" s="19" t="n"/>
      <c r="F341" s="16">
        <f>IF(OR(B341="",D341=""),"",IFERROR(INDEX('Tabla XP'!$B$2:$B$12,MATCH(D341,'Tabla XP'!$A$2:$A$12,0))*IF(E341="",1,E341),0))</f>
        <v/>
      </c>
      <c r="G341" s="19" t="n"/>
      <c r="H341" s="19" t="n"/>
    </row>
    <row r="342">
      <c r="A342" s="22" t="n"/>
      <c r="B342" s="19" t="n"/>
      <c r="C342" s="18">
        <f>IF(B342="","",IFERROR(INDEX(Jugadores!$C$2:$C$501,MATCH(B342,Jugadores!$A$2:$A$501,0)),"⚠ ID no existe"))</f>
        <v/>
      </c>
      <c r="D342" s="19" t="n"/>
      <c r="E342" s="19" t="n"/>
      <c r="F342" s="16">
        <f>IF(OR(B342="",D342=""),"",IFERROR(INDEX('Tabla XP'!$B$2:$B$12,MATCH(D342,'Tabla XP'!$A$2:$A$12,0))*IF(E342="",1,E342),0))</f>
        <v/>
      </c>
      <c r="G342" s="19" t="n"/>
      <c r="H342" s="19" t="n"/>
    </row>
    <row r="343">
      <c r="A343" s="22" t="n"/>
      <c r="B343" s="19" t="n"/>
      <c r="C343" s="18">
        <f>IF(B343="","",IFERROR(INDEX(Jugadores!$C$2:$C$501,MATCH(B343,Jugadores!$A$2:$A$501,0)),"⚠ ID no existe"))</f>
        <v/>
      </c>
      <c r="D343" s="19" t="n"/>
      <c r="E343" s="19" t="n"/>
      <c r="F343" s="16">
        <f>IF(OR(B343="",D343=""),"",IFERROR(INDEX('Tabla XP'!$B$2:$B$12,MATCH(D343,'Tabla XP'!$A$2:$A$12,0))*IF(E343="",1,E343),0))</f>
        <v/>
      </c>
      <c r="G343" s="19" t="n"/>
      <c r="H343" s="19" t="n"/>
    </row>
    <row r="344">
      <c r="A344" s="22" t="n"/>
      <c r="B344" s="19" t="n"/>
      <c r="C344" s="18">
        <f>IF(B344="","",IFERROR(INDEX(Jugadores!$C$2:$C$501,MATCH(B344,Jugadores!$A$2:$A$501,0)),"⚠ ID no existe"))</f>
        <v/>
      </c>
      <c r="D344" s="19" t="n"/>
      <c r="E344" s="19" t="n"/>
      <c r="F344" s="16">
        <f>IF(OR(B344="",D344=""),"",IFERROR(INDEX('Tabla XP'!$B$2:$B$12,MATCH(D344,'Tabla XP'!$A$2:$A$12,0))*IF(E344="",1,E344),0))</f>
        <v/>
      </c>
      <c r="G344" s="19" t="n"/>
      <c r="H344" s="19" t="n"/>
    </row>
    <row r="345">
      <c r="A345" s="22" t="n"/>
      <c r="B345" s="19" t="n"/>
      <c r="C345" s="18">
        <f>IF(B345="","",IFERROR(INDEX(Jugadores!$C$2:$C$501,MATCH(B345,Jugadores!$A$2:$A$501,0)),"⚠ ID no existe"))</f>
        <v/>
      </c>
      <c r="D345" s="19" t="n"/>
      <c r="E345" s="19" t="n"/>
      <c r="F345" s="16">
        <f>IF(OR(B345="",D345=""),"",IFERROR(INDEX('Tabla XP'!$B$2:$B$12,MATCH(D345,'Tabla XP'!$A$2:$A$12,0))*IF(E345="",1,E345),0))</f>
        <v/>
      </c>
      <c r="G345" s="19" t="n"/>
      <c r="H345" s="19" t="n"/>
    </row>
    <row r="346">
      <c r="A346" s="22" t="n"/>
      <c r="B346" s="19" t="n"/>
      <c r="C346" s="18">
        <f>IF(B346="","",IFERROR(INDEX(Jugadores!$C$2:$C$501,MATCH(B346,Jugadores!$A$2:$A$501,0)),"⚠ ID no existe"))</f>
        <v/>
      </c>
      <c r="D346" s="19" t="n"/>
      <c r="E346" s="19" t="n"/>
      <c r="F346" s="16">
        <f>IF(OR(B346="",D346=""),"",IFERROR(INDEX('Tabla XP'!$B$2:$B$12,MATCH(D346,'Tabla XP'!$A$2:$A$12,0))*IF(E346="",1,E346),0))</f>
        <v/>
      </c>
      <c r="G346" s="19" t="n"/>
      <c r="H346" s="19" t="n"/>
    </row>
    <row r="347">
      <c r="A347" s="22" t="n"/>
      <c r="B347" s="19" t="n"/>
      <c r="C347" s="18">
        <f>IF(B347="","",IFERROR(INDEX(Jugadores!$C$2:$C$501,MATCH(B347,Jugadores!$A$2:$A$501,0)),"⚠ ID no existe"))</f>
        <v/>
      </c>
      <c r="D347" s="19" t="n"/>
      <c r="E347" s="19" t="n"/>
      <c r="F347" s="16">
        <f>IF(OR(B347="",D347=""),"",IFERROR(INDEX('Tabla XP'!$B$2:$B$12,MATCH(D347,'Tabla XP'!$A$2:$A$12,0))*IF(E347="",1,E347),0))</f>
        <v/>
      </c>
      <c r="G347" s="19" t="n"/>
      <c r="H347" s="19" t="n"/>
    </row>
    <row r="348">
      <c r="A348" s="22" t="n"/>
      <c r="B348" s="19" t="n"/>
      <c r="C348" s="18">
        <f>IF(B348="","",IFERROR(INDEX(Jugadores!$C$2:$C$501,MATCH(B348,Jugadores!$A$2:$A$501,0)),"⚠ ID no existe"))</f>
        <v/>
      </c>
      <c r="D348" s="19" t="n"/>
      <c r="E348" s="19" t="n"/>
      <c r="F348" s="16">
        <f>IF(OR(B348="",D348=""),"",IFERROR(INDEX('Tabla XP'!$B$2:$B$12,MATCH(D348,'Tabla XP'!$A$2:$A$12,0))*IF(E348="",1,E348),0))</f>
        <v/>
      </c>
      <c r="G348" s="19" t="n"/>
      <c r="H348" s="19" t="n"/>
    </row>
    <row r="349">
      <c r="A349" s="22" t="n"/>
      <c r="B349" s="19" t="n"/>
      <c r="C349" s="18">
        <f>IF(B349="","",IFERROR(INDEX(Jugadores!$C$2:$C$501,MATCH(B349,Jugadores!$A$2:$A$501,0)),"⚠ ID no existe"))</f>
        <v/>
      </c>
      <c r="D349" s="19" t="n"/>
      <c r="E349" s="19" t="n"/>
      <c r="F349" s="16">
        <f>IF(OR(B349="",D349=""),"",IFERROR(INDEX('Tabla XP'!$B$2:$B$12,MATCH(D349,'Tabla XP'!$A$2:$A$12,0))*IF(E349="",1,E349),0))</f>
        <v/>
      </c>
      <c r="G349" s="19" t="n"/>
      <c r="H349" s="19" t="n"/>
    </row>
    <row r="350">
      <c r="A350" s="22" t="n"/>
      <c r="B350" s="19" t="n"/>
      <c r="C350" s="18">
        <f>IF(B350="","",IFERROR(INDEX(Jugadores!$C$2:$C$501,MATCH(B350,Jugadores!$A$2:$A$501,0)),"⚠ ID no existe"))</f>
        <v/>
      </c>
      <c r="D350" s="19" t="n"/>
      <c r="E350" s="19" t="n"/>
      <c r="F350" s="16">
        <f>IF(OR(B350="",D350=""),"",IFERROR(INDEX('Tabla XP'!$B$2:$B$12,MATCH(D350,'Tabla XP'!$A$2:$A$12,0))*IF(E350="",1,E350),0))</f>
        <v/>
      </c>
      <c r="G350" s="19" t="n"/>
      <c r="H350" s="19" t="n"/>
    </row>
    <row r="351">
      <c r="A351" s="22" t="n"/>
      <c r="B351" s="19" t="n"/>
      <c r="C351" s="18">
        <f>IF(B351="","",IFERROR(INDEX(Jugadores!$C$2:$C$501,MATCH(B351,Jugadores!$A$2:$A$501,0)),"⚠ ID no existe"))</f>
        <v/>
      </c>
      <c r="D351" s="19" t="n"/>
      <c r="E351" s="19" t="n"/>
      <c r="F351" s="16">
        <f>IF(OR(B351="",D351=""),"",IFERROR(INDEX('Tabla XP'!$B$2:$B$12,MATCH(D351,'Tabla XP'!$A$2:$A$12,0))*IF(E351="",1,E351),0))</f>
        <v/>
      </c>
      <c r="G351" s="19" t="n"/>
      <c r="H351" s="19" t="n"/>
    </row>
    <row r="352">
      <c r="A352" s="22" t="n"/>
      <c r="B352" s="19" t="n"/>
      <c r="C352" s="18">
        <f>IF(B352="","",IFERROR(INDEX(Jugadores!$C$2:$C$501,MATCH(B352,Jugadores!$A$2:$A$501,0)),"⚠ ID no existe"))</f>
        <v/>
      </c>
      <c r="D352" s="19" t="n"/>
      <c r="E352" s="19" t="n"/>
      <c r="F352" s="16">
        <f>IF(OR(B352="",D352=""),"",IFERROR(INDEX('Tabla XP'!$B$2:$B$12,MATCH(D352,'Tabla XP'!$A$2:$A$12,0))*IF(E352="",1,E352),0))</f>
        <v/>
      </c>
      <c r="G352" s="19" t="n"/>
      <c r="H352" s="19" t="n"/>
    </row>
    <row r="353">
      <c r="A353" s="22" t="n"/>
      <c r="B353" s="19" t="n"/>
      <c r="C353" s="18">
        <f>IF(B353="","",IFERROR(INDEX(Jugadores!$C$2:$C$501,MATCH(B353,Jugadores!$A$2:$A$501,0)),"⚠ ID no existe"))</f>
        <v/>
      </c>
      <c r="D353" s="19" t="n"/>
      <c r="E353" s="19" t="n"/>
      <c r="F353" s="16">
        <f>IF(OR(B353="",D353=""),"",IFERROR(INDEX('Tabla XP'!$B$2:$B$12,MATCH(D353,'Tabla XP'!$A$2:$A$12,0))*IF(E353="",1,E353),0))</f>
        <v/>
      </c>
      <c r="G353" s="19" t="n"/>
      <c r="H353" s="19" t="n"/>
    </row>
    <row r="354">
      <c r="A354" s="22" t="n"/>
      <c r="B354" s="19" t="n"/>
      <c r="C354" s="18">
        <f>IF(B354="","",IFERROR(INDEX(Jugadores!$C$2:$C$501,MATCH(B354,Jugadores!$A$2:$A$501,0)),"⚠ ID no existe"))</f>
        <v/>
      </c>
      <c r="D354" s="19" t="n"/>
      <c r="E354" s="19" t="n"/>
      <c r="F354" s="16">
        <f>IF(OR(B354="",D354=""),"",IFERROR(INDEX('Tabla XP'!$B$2:$B$12,MATCH(D354,'Tabla XP'!$A$2:$A$12,0))*IF(E354="",1,E354),0))</f>
        <v/>
      </c>
      <c r="G354" s="19" t="n"/>
      <c r="H354" s="19" t="n"/>
    </row>
    <row r="355">
      <c r="A355" s="22" t="n"/>
      <c r="B355" s="19" t="n"/>
      <c r="C355" s="18">
        <f>IF(B355="","",IFERROR(INDEX(Jugadores!$C$2:$C$501,MATCH(B355,Jugadores!$A$2:$A$501,0)),"⚠ ID no existe"))</f>
        <v/>
      </c>
      <c r="D355" s="19" t="n"/>
      <c r="E355" s="19" t="n"/>
      <c r="F355" s="16">
        <f>IF(OR(B355="",D355=""),"",IFERROR(INDEX('Tabla XP'!$B$2:$B$12,MATCH(D355,'Tabla XP'!$A$2:$A$12,0))*IF(E355="",1,E355),0))</f>
        <v/>
      </c>
      <c r="G355" s="19" t="n"/>
      <c r="H355" s="19" t="n"/>
    </row>
    <row r="356">
      <c r="A356" s="22" t="n"/>
      <c r="B356" s="19" t="n"/>
      <c r="C356" s="18">
        <f>IF(B356="","",IFERROR(INDEX(Jugadores!$C$2:$C$501,MATCH(B356,Jugadores!$A$2:$A$501,0)),"⚠ ID no existe"))</f>
        <v/>
      </c>
      <c r="D356" s="19" t="n"/>
      <c r="E356" s="19" t="n"/>
      <c r="F356" s="16">
        <f>IF(OR(B356="",D356=""),"",IFERROR(INDEX('Tabla XP'!$B$2:$B$12,MATCH(D356,'Tabla XP'!$A$2:$A$12,0))*IF(E356="",1,E356),0))</f>
        <v/>
      </c>
      <c r="G356" s="19" t="n"/>
      <c r="H356" s="19" t="n"/>
    </row>
    <row r="357">
      <c r="A357" s="22" t="n"/>
      <c r="B357" s="19" t="n"/>
      <c r="C357" s="18">
        <f>IF(B357="","",IFERROR(INDEX(Jugadores!$C$2:$C$501,MATCH(B357,Jugadores!$A$2:$A$501,0)),"⚠ ID no existe"))</f>
        <v/>
      </c>
      <c r="D357" s="19" t="n"/>
      <c r="E357" s="19" t="n"/>
      <c r="F357" s="16">
        <f>IF(OR(B357="",D357=""),"",IFERROR(INDEX('Tabla XP'!$B$2:$B$12,MATCH(D357,'Tabla XP'!$A$2:$A$12,0))*IF(E357="",1,E357),0))</f>
        <v/>
      </c>
      <c r="G357" s="19" t="n"/>
      <c r="H357" s="19" t="n"/>
    </row>
    <row r="358">
      <c r="A358" s="22" t="n"/>
      <c r="B358" s="19" t="n"/>
      <c r="C358" s="18">
        <f>IF(B358="","",IFERROR(INDEX(Jugadores!$C$2:$C$501,MATCH(B358,Jugadores!$A$2:$A$501,0)),"⚠ ID no existe"))</f>
        <v/>
      </c>
      <c r="D358" s="19" t="n"/>
      <c r="E358" s="19" t="n"/>
      <c r="F358" s="16">
        <f>IF(OR(B358="",D358=""),"",IFERROR(INDEX('Tabla XP'!$B$2:$B$12,MATCH(D358,'Tabla XP'!$A$2:$A$12,0))*IF(E358="",1,E358),0))</f>
        <v/>
      </c>
      <c r="G358" s="19" t="n"/>
      <c r="H358" s="19" t="n"/>
    </row>
    <row r="359">
      <c r="A359" s="22" t="n"/>
      <c r="B359" s="19" t="n"/>
      <c r="C359" s="18">
        <f>IF(B359="","",IFERROR(INDEX(Jugadores!$C$2:$C$501,MATCH(B359,Jugadores!$A$2:$A$501,0)),"⚠ ID no existe"))</f>
        <v/>
      </c>
      <c r="D359" s="19" t="n"/>
      <c r="E359" s="19" t="n"/>
      <c r="F359" s="16">
        <f>IF(OR(B359="",D359=""),"",IFERROR(INDEX('Tabla XP'!$B$2:$B$12,MATCH(D359,'Tabla XP'!$A$2:$A$12,0))*IF(E359="",1,E359),0))</f>
        <v/>
      </c>
      <c r="G359" s="19" t="n"/>
      <c r="H359" s="19" t="n"/>
    </row>
    <row r="360">
      <c r="A360" s="22" t="n"/>
      <c r="B360" s="19" t="n"/>
      <c r="C360" s="18">
        <f>IF(B360="","",IFERROR(INDEX(Jugadores!$C$2:$C$501,MATCH(B360,Jugadores!$A$2:$A$501,0)),"⚠ ID no existe"))</f>
        <v/>
      </c>
      <c r="D360" s="19" t="n"/>
      <c r="E360" s="19" t="n"/>
      <c r="F360" s="16">
        <f>IF(OR(B360="",D360=""),"",IFERROR(INDEX('Tabla XP'!$B$2:$B$12,MATCH(D360,'Tabla XP'!$A$2:$A$12,0))*IF(E360="",1,E360),0))</f>
        <v/>
      </c>
      <c r="G360" s="19" t="n"/>
      <c r="H360" s="19" t="n"/>
    </row>
    <row r="361">
      <c r="A361" s="22" t="n"/>
      <c r="B361" s="19" t="n"/>
      <c r="C361" s="18">
        <f>IF(B361="","",IFERROR(INDEX(Jugadores!$C$2:$C$501,MATCH(B361,Jugadores!$A$2:$A$501,0)),"⚠ ID no existe"))</f>
        <v/>
      </c>
      <c r="D361" s="19" t="n"/>
      <c r="E361" s="19" t="n"/>
      <c r="F361" s="16">
        <f>IF(OR(B361="",D361=""),"",IFERROR(INDEX('Tabla XP'!$B$2:$B$12,MATCH(D361,'Tabla XP'!$A$2:$A$12,0))*IF(E361="",1,E361),0))</f>
        <v/>
      </c>
      <c r="G361" s="19" t="n"/>
      <c r="H361" s="19" t="n"/>
    </row>
    <row r="362">
      <c r="A362" s="22" t="n"/>
      <c r="B362" s="19" t="n"/>
      <c r="C362" s="18">
        <f>IF(B362="","",IFERROR(INDEX(Jugadores!$C$2:$C$501,MATCH(B362,Jugadores!$A$2:$A$501,0)),"⚠ ID no existe"))</f>
        <v/>
      </c>
      <c r="D362" s="19" t="n"/>
      <c r="E362" s="19" t="n"/>
      <c r="F362" s="16">
        <f>IF(OR(B362="",D362=""),"",IFERROR(INDEX('Tabla XP'!$B$2:$B$12,MATCH(D362,'Tabla XP'!$A$2:$A$12,0))*IF(E362="",1,E362),0))</f>
        <v/>
      </c>
      <c r="G362" s="19" t="n"/>
      <c r="H362" s="19" t="n"/>
    </row>
    <row r="363">
      <c r="A363" s="22" t="n"/>
      <c r="B363" s="19" t="n"/>
      <c r="C363" s="18">
        <f>IF(B363="","",IFERROR(INDEX(Jugadores!$C$2:$C$501,MATCH(B363,Jugadores!$A$2:$A$501,0)),"⚠ ID no existe"))</f>
        <v/>
      </c>
      <c r="D363" s="19" t="n"/>
      <c r="E363" s="19" t="n"/>
      <c r="F363" s="16">
        <f>IF(OR(B363="",D363=""),"",IFERROR(INDEX('Tabla XP'!$B$2:$B$12,MATCH(D363,'Tabla XP'!$A$2:$A$12,0))*IF(E363="",1,E363),0))</f>
        <v/>
      </c>
      <c r="G363" s="19" t="n"/>
      <c r="H363" s="19" t="n"/>
    </row>
    <row r="364">
      <c r="A364" s="22" t="n"/>
      <c r="B364" s="19" t="n"/>
      <c r="C364" s="18">
        <f>IF(B364="","",IFERROR(INDEX(Jugadores!$C$2:$C$501,MATCH(B364,Jugadores!$A$2:$A$501,0)),"⚠ ID no existe"))</f>
        <v/>
      </c>
      <c r="D364" s="19" t="n"/>
      <c r="E364" s="19" t="n"/>
      <c r="F364" s="16">
        <f>IF(OR(B364="",D364=""),"",IFERROR(INDEX('Tabla XP'!$B$2:$B$12,MATCH(D364,'Tabla XP'!$A$2:$A$12,0))*IF(E364="",1,E364),0))</f>
        <v/>
      </c>
      <c r="G364" s="19" t="n"/>
      <c r="H364" s="19" t="n"/>
    </row>
    <row r="365">
      <c r="A365" s="22" t="n"/>
      <c r="B365" s="19" t="n"/>
      <c r="C365" s="18">
        <f>IF(B365="","",IFERROR(INDEX(Jugadores!$C$2:$C$501,MATCH(B365,Jugadores!$A$2:$A$501,0)),"⚠ ID no existe"))</f>
        <v/>
      </c>
      <c r="D365" s="19" t="n"/>
      <c r="E365" s="19" t="n"/>
      <c r="F365" s="16">
        <f>IF(OR(B365="",D365=""),"",IFERROR(INDEX('Tabla XP'!$B$2:$B$12,MATCH(D365,'Tabla XP'!$A$2:$A$12,0))*IF(E365="",1,E365),0))</f>
        <v/>
      </c>
      <c r="G365" s="19" t="n"/>
      <c r="H365" s="19" t="n"/>
    </row>
    <row r="366">
      <c r="A366" s="22" t="n"/>
      <c r="B366" s="19" t="n"/>
      <c r="C366" s="18">
        <f>IF(B366="","",IFERROR(INDEX(Jugadores!$C$2:$C$501,MATCH(B366,Jugadores!$A$2:$A$501,0)),"⚠ ID no existe"))</f>
        <v/>
      </c>
      <c r="D366" s="19" t="n"/>
      <c r="E366" s="19" t="n"/>
      <c r="F366" s="16">
        <f>IF(OR(B366="",D366=""),"",IFERROR(INDEX('Tabla XP'!$B$2:$B$12,MATCH(D366,'Tabla XP'!$A$2:$A$12,0))*IF(E366="",1,E366),0))</f>
        <v/>
      </c>
      <c r="G366" s="19" t="n"/>
      <c r="H366" s="19" t="n"/>
    </row>
    <row r="367">
      <c r="A367" s="22" t="n"/>
      <c r="B367" s="19" t="n"/>
      <c r="C367" s="18">
        <f>IF(B367="","",IFERROR(INDEX(Jugadores!$C$2:$C$501,MATCH(B367,Jugadores!$A$2:$A$501,0)),"⚠ ID no existe"))</f>
        <v/>
      </c>
      <c r="D367" s="19" t="n"/>
      <c r="E367" s="19" t="n"/>
      <c r="F367" s="16">
        <f>IF(OR(B367="",D367=""),"",IFERROR(INDEX('Tabla XP'!$B$2:$B$12,MATCH(D367,'Tabla XP'!$A$2:$A$12,0))*IF(E367="",1,E367),0))</f>
        <v/>
      </c>
      <c r="G367" s="19" t="n"/>
      <c r="H367" s="19" t="n"/>
    </row>
    <row r="368">
      <c r="A368" s="22" t="n"/>
      <c r="B368" s="19" t="n"/>
      <c r="C368" s="18">
        <f>IF(B368="","",IFERROR(INDEX(Jugadores!$C$2:$C$501,MATCH(B368,Jugadores!$A$2:$A$501,0)),"⚠ ID no existe"))</f>
        <v/>
      </c>
      <c r="D368" s="19" t="n"/>
      <c r="E368" s="19" t="n"/>
      <c r="F368" s="16">
        <f>IF(OR(B368="",D368=""),"",IFERROR(INDEX('Tabla XP'!$B$2:$B$12,MATCH(D368,'Tabla XP'!$A$2:$A$12,0))*IF(E368="",1,E368),0))</f>
        <v/>
      </c>
      <c r="G368" s="19" t="n"/>
      <c r="H368" s="19" t="n"/>
    </row>
    <row r="369">
      <c r="A369" s="22" t="n"/>
      <c r="B369" s="19" t="n"/>
      <c r="C369" s="18">
        <f>IF(B369="","",IFERROR(INDEX(Jugadores!$C$2:$C$501,MATCH(B369,Jugadores!$A$2:$A$501,0)),"⚠ ID no existe"))</f>
        <v/>
      </c>
      <c r="D369" s="19" t="n"/>
      <c r="E369" s="19" t="n"/>
      <c r="F369" s="16">
        <f>IF(OR(B369="",D369=""),"",IFERROR(INDEX('Tabla XP'!$B$2:$B$12,MATCH(D369,'Tabla XP'!$A$2:$A$12,0))*IF(E369="",1,E369),0))</f>
        <v/>
      </c>
      <c r="G369" s="19" t="n"/>
      <c r="H369" s="19" t="n"/>
    </row>
    <row r="370">
      <c r="A370" s="22" t="n"/>
      <c r="B370" s="19" t="n"/>
      <c r="C370" s="18">
        <f>IF(B370="","",IFERROR(INDEX(Jugadores!$C$2:$C$501,MATCH(B370,Jugadores!$A$2:$A$501,0)),"⚠ ID no existe"))</f>
        <v/>
      </c>
      <c r="D370" s="19" t="n"/>
      <c r="E370" s="19" t="n"/>
      <c r="F370" s="16">
        <f>IF(OR(B370="",D370=""),"",IFERROR(INDEX('Tabla XP'!$B$2:$B$12,MATCH(D370,'Tabla XP'!$A$2:$A$12,0))*IF(E370="",1,E370),0))</f>
        <v/>
      </c>
      <c r="G370" s="19" t="n"/>
      <c r="H370" s="19" t="n"/>
    </row>
    <row r="371">
      <c r="A371" s="22" t="n"/>
      <c r="B371" s="19" t="n"/>
      <c r="C371" s="18">
        <f>IF(B371="","",IFERROR(INDEX(Jugadores!$C$2:$C$501,MATCH(B371,Jugadores!$A$2:$A$501,0)),"⚠ ID no existe"))</f>
        <v/>
      </c>
      <c r="D371" s="19" t="n"/>
      <c r="E371" s="19" t="n"/>
      <c r="F371" s="16">
        <f>IF(OR(B371="",D371=""),"",IFERROR(INDEX('Tabla XP'!$B$2:$B$12,MATCH(D371,'Tabla XP'!$A$2:$A$12,0))*IF(E371="",1,E371),0))</f>
        <v/>
      </c>
      <c r="G371" s="19" t="n"/>
      <c r="H371" s="19" t="n"/>
    </row>
    <row r="372">
      <c r="A372" s="22" t="n"/>
      <c r="B372" s="19" t="n"/>
      <c r="C372" s="18">
        <f>IF(B372="","",IFERROR(INDEX(Jugadores!$C$2:$C$501,MATCH(B372,Jugadores!$A$2:$A$501,0)),"⚠ ID no existe"))</f>
        <v/>
      </c>
      <c r="D372" s="19" t="n"/>
      <c r="E372" s="19" t="n"/>
      <c r="F372" s="16">
        <f>IF(OR(B372="",D372=""),"",IFERROR(INDEX('Tabla XP'!$B$2:$B$12,MATCH(D372,'Tabla XP'!$A$2:$A$12,0))*IF(E372="",1,E372),0))</f>
        <v/>
      </c>
      <c r="G372" s="19" t="n"/>
      <c r="H372" s="19" t="n"/>
    </row>
    <row r="373">
      <c r="A373" s="22" t="n"/>
      <c r="B373" s="19" t="n"/>
      <c r="C373" s="18">
        <f>IF(B373="","",IFERROR(INDEX(Jugadores!$C$2:$C$501,MATCH(B373,Jugadores!$A$2:$A$501,0)),"⚠ ID no existe"))</f>
        <v/>
      </c>
      <c r="D373" s="19" t="n"/>
      <c r="E373" s="19" t="n"/>
      <c r="F373" s="16">
        <f>IF(OR(B373="",D373=""),"",IFERROR(INDEX('Tabla XP'!$B$2:$B$12,MATCH(D373,'Tabla XP'!$A$2:$A$12,0))*IF(E373="",1,E373),0))</f>
        <v/>
      </c>
      <c r="G373" s="19" t="n"/>
      <c r="H373" s="19" t="n"/>
    </row>
    <row r="374">
      <c r="A374" s="22" t="n"/>
      <c r="B374" s="19" t="n"/>
      <c r="C374" s="18">
        <f>IF(B374="","",IFERROR(INDEX(Jugadores!$C$2:$C$501,MATCH(B374,Jugadores!$A$2:$A$501,0)),"⚠ ID no existe"))</f>
        <v/>
      </c>
      <c r="D374" s="19" t="n"/>
      <c r="E374" s="19" t="n"/>
      <c r="F374" s="16">
        <f>IF(OR(B374="",D374=""),"",IFERROR(INDEX('Tabla XP'!$B$2:$B$12,MATCH(D374,'Tabla XP'!$A$2:$A$12,0))*IF(E374="",1,E374),0))</f>
        <v/>
      </c>
      <c r="G374" s="19" t="n"/>
      <c r="H374" s="19" t="n"/>
    </row>
    <row r="375">
      <c r="A375" s="22" t="n"/>
      <c r="B375" s="19" t="n"/>
      <c r="C375" s="18">
        <f>IF(B375="","",IFERROR(INDEX(Jugadores!$C$2:$C$501,MATCH(B375,Jugadores!$A$2:$A$501,0)),"⚠ ID no existe"))</f>
        <v/>
      </c>
      <c r="D375" s="19" t="n"/>
      <c r="E375" s="19" t="n"/>
      <c r="F375" s="16">
        <f>IF(OR(B375="",D375=""),"",IFERROR(INDEX('Tabla XP'!$B$2:$B$12,MATCH(D375,'Tabla XP'!$A$2:$A$12,0))*IF(E375="",1,E375),0))</f>
        <v/>
      </c>
      <c r="G375" s="19" t="n"/>
      <c r="H375" s="19" t="n"/>
    </row>
    <row r="376">
      <c r="A376" s="22" t="n"/>
      <c r="B376" s="19" t="n"/>
      <c r="C376" s="18">
        <f>IF(B376="","",IFERROR(INDEX(Jugadores!$C$2:$C$501,MATCH(B376,Jugadores!$A$2:$A$501,0)),"⚠ ID no existe"))</f>
        <v/>
      </c>
      <c r="D376" s="19" t="n"/>
      <c r="E376" s="19" t="n"/>
      <c r="F376" s="16">
        <f>IF(OR(B376="",D376=""),"",IFERROR(INDEX('Tabla XP'!$B$2:$B$12,MATCH(D376,'Tabla XP'!$A$2:$A$12,0))*IF(E376="",1,E376),0))</f>
        <v/>
      </c>
      <c r="G376" s="19" t="n"/>
      <c r="H376" s="19" t="n"/>
    </row>
    <row r="377">
      <c r="A377" s="22" t="n"/>
      <c r="B377" s="19" t="n"/>
      <c r="C377" s="18">
        <f>IF(B377="","",IFERROR(INDEX(Jugadores!$C$2:$C$501,MATCH(B377,Jugadores!$A$2:$A$501,0)),"⚠ ID no existe"))</f>
        <v/>
      </c>
      <c r="D377" s="19" t="n"/>
      <c r="E377" s="19" t="n"/>
      <c r="F377" s="16">
        <f>IF(OR(B377="",D377=""),"",IFERROR(INDEX('Tabla XP'!$B$2:$B$12,MATCH(D377,'Tabla XP'!$A$2:$A$12,0))*IF(E377="",1,E377),0))</f>
        <v/>
      </c>
      <c r="G377" s="19" t="n"/>
      <c r="H377" s="19" t="n"/>
    </row>
    <row r="378">
      <c r="A378" s="22" t="n"/>
      <c r="B378" s="19" t="n"/>
      <c r="C378" s="18">
        <f>IF(B378="","",IFERROR(INDEX(Jugadores!$C$2:$C$501,MATCH(B378,Jugadores!$A$2:$A$501,0)),"⚠ ID no existe"))</f>
        <v/>
      </c>
      <c r="D378" s="19" t="n"/>
      <c r="E378" s="19" t="n"/>
      <c r="F378" s="16">
        <f>IF(OR(B378="",D378=""),"",IFERROR(INDEX('Tabla XP'!$B$2:$B$12,MATCH(D378,'Tabla XP'!$A$2:$A$12,0))*IF(E378="",1,E378),0))</f>
        <v/>
      </c>
      <c r="G378" s="19" t="n"/>
      <c r="H378" s="19" t="n"/>
    </row>
    <row r="379">
      <c r="A379" s="22" t="n"/>
      <c r="B379" s="19" t="n"/>
      <c r="C379" s="18">
        <f>IF(B379="","",IFERROR(INDEX(Jugadores!$C$2:$C$501,MATCH(B379,Jugadores!$A$2:$A$501,0)),"⚠ ID no existe"))</f>
        <v/>
      </c>
      <c r="D379" s="19" t="n"/>
      <c r="E379" s="19" t="n"/>
      <c r="F379" s="16">
        <f>IF(OR(B379="",D379=""),"",IFERROR(INDEX('Tabla XP'!$B$2:$B$12,MATCH(D379,'Tabla XP'!$A$2:$A$12,0))*IF(E379="",1,E379),0))</f>
        <v/>
      </c>
      <c r="G379" s="19" t="n"/>
      <c r="H379" s="19" t="n"/>
    </row>
    <row r="380">
      <c r="A380" s="22" t="n"/>
      <c r="B380" s="19" t="n"/>
      <c r="C380" s="18">
        <f>IF(B380="","",IFERROR(INDEX(Jugadores!$C$2:$C$501,MATCH(B380,Jugadores!$A$2:$A$501,0)),"⚠ ID no existe"))</f>
        <v/>
      </c>
      <c r="D380" s="19" t="n"/>
      <c r="E380" s="19" t="n"/>
      <c r="F380" s="16">
        <f>IF(OR(B380="",D380=""),"",IFERROR(INDEX('Tabla XP'!$B$2:$B$12,MATCH(D380,'Tabla XP'!$A$2:$A$12,0))*IF(E380="",1,E380),0))</f>
        <v/>
      </c>
      <c r="G380" s="19" t="n"/>
      <c r="H380" s="19" t="n"/>
    </row>
    <row r="381">
      <c r="A381" s="22" t="n"/>
      <c r="B381" s="19" t="n"/>
      <c r="C381" s="18">
        <f>IF(B381="","",IFERROR(INDEX(Jugadores!$C$2:$C$501,MATCH(B381,Jugadores!$A$2:$A$501,0)),"⚠ ID no existe"))</f>
        <v/>
      </c>
      <c r="D381" s="19" t="n"/>
      <c r="E381" s="19" t="n"/>
      <c r="F381" s="16">
        <f>IF(OR(B381="",D381=""),"",IFERROR(INDEX('Tabla XP'!$B$2:$B$12,MATCH(D381,'Tabla XP'!$A$2:$A$12,0))*IF(E381="",1,E381),0))</f>
        <v/>
      </c>
      <c r="G381" s="19" t="n"/>
      <c r="H381" s="19" t="n"/>
    </row>
    <row r="382">
      <c r="A382" s="22" t="n"/>
      <c r="B382" s="19" t="n"/>
      <c r="C382" s="18">
        <f>IF(B382="","",IFERROR(INDEX(Jugadores!$C$2:$C$501,MATCH(B382,Jugadores!$A$2:$A$501,0)),"⚠ ID no existe"))</f>
        <v/>
      </c>
      <c r="D382" s="19" t="n"/>
      <c r="E382" s="19" t="n"/>
      <c r="F382" s="16">
        <f>IF(OR(B382="",D382=""),"",IFERROR(INDEX('Tabla XP'!$B$2:$B$12,MATCH(D382,'Tabla XP'!$A$2:$A$12,0))*IF(E382="",1,E382),0))</f>
        <v/>
      </c>
      <c r="G382" s="19" t="n"/>
      <c r="H382" s="19" t="n"/>
    </row>
    <row r="383">
      <c r="A383" s="22" t="n"/>
      <c r="B383" s="19" t="n"/>
      <c r="C383" s="18">
        <f>IF(B383="","",IFERROR(INDEX(Jugadores!$C$2:$C$501,MATCH(B383,Jugadores!$A$2:$A$501,0)),"⚠ ID no existe"))</f>
        <v/>
      </c>
      <c r="D383" s="19" t="n"/>
      <c r="E383" s="19" t="n"/>
      <c r="F383" s="16">
        <f>IF(OR(B383="",D383=""),"",IFERROR(INDEX('Tabla XP'!$B$2:$B$12,MATCH(D383,'Tabla XP'!$A$2:$A$12,0))*IF(E383="",1,E383),0))</f>
        <v/>
      </c>
      <c r="G383" s="19" t="n"/>
      <c r="H383" s="19" t="n"/>
    </row>
    <row r="384">
      <c r="A384" s="22" t="n"/>
      <c r="B384" s="19" t="n"/>
      <c r="C384" s="18">
        <f>IF(B384="","",IFERROR(INDEX(Jugadores!$C$2:$C$501,MATCH(B384,Jugadores!$A$2:$A$501,0)),"⚠ ID no existe"))</f>
        <v/>
      </c>
      <c r="D384" s="19" t="n"/>
      <c r="E384" s="19" t="n"/>
      <c r="F384" s="16">
        <f>IF(OR(B384="",D384=""),"",IFERROR(INDEX('Tabla XP'!$B$2:$B$12,MATCH(D384,'Tabla XP'!$A$2:$A$12,0))*IF(E384="",1,E384),0))</f>
        <v/>
      </c>
      <c r="G384" s="19" t="n"/>
      <c r="H384" s="19" t="n"/>
    </row>
    <row r="385">
      <c r="A385" s="22" t="n"/>
      <c r="B385" s="19" t="n"/>
      <c r="C385" s="18">
        <f>IF(B385="","",IFERROR(INDEX(Jugadores!$C$2:$C$501,MATCH(B385,Jugadores!$A$2:$A$501,0)),"⚠ ID no existe"))</f>
        <v/>
      </c>
      <c r="D385" s="19" t="n"/>
      <c r="E385" s="19" t="n"/>
      <c r="F385" s="16">
        <f>IF(OR(B385="",D385=""),"",IFERROR(INDEX('Tabla XP'!$B$2:$B$12,MATCH(D385,'Tabla XP'!$A$2:$A$12,0))*IF(E385="",1,E385),0))</f>
        <v/>
      </c>
      <c r="G385" s="19" t="n"/>
      <c r="H385" s="19" t="n"/>
    </row>
    <row r="386">
      <c r="A386" s="22" t="n"/>
      <c r="B386" s="19" t="n"/>
      <c r="C386" s="18">
        <f>IF(B386="","",IFERROR(INDEX(Jugadores!$C$2:$C$501,MATCH(B386,Jugadores!$A$2:$A$501,0)),"⚠ ID no existe"))</f>
        <v/>
      </c>
      <c r="D386" s="19" t="n"/>
      <c r="E386" s="19" t="n"/>
      <c r="F386" s="16">
        <f>IF(OR(B386="",D386=""),"",IFERROR(INDEX('Tabla XP'!$B$2:$B$12,MATCH(D386,'Tabla XP'!$A$2:$A$12,0))*IF(E386="",1,E386),0))</f>
        <v/>
      </c>
      <c r="G386" s="19" t="n"/>
      <c r="H386" s="19" t="n"/>
    </row>
    <row r="387">
      <c r="A387" s="22" t="n"/>
      <c r="B387" s="19" t="n"/>
      <c r="C387" s="18">
        <f>IF(B387="","",IFERROR(INDEX(Jugadores!$C$2:$C$501,MATCH(B387,Jugadores!$A$2:$A$501,0)),"⚠ ID no existe"))</f>
        <v/>
      </c>
      <c r="D387" s="19" t="n"/>
      <c r="E387" s="19" t="n"/>
      <c r="F387" s="16">
        <f>IF(OR(B387="",D387=""),"",IFERROR(INDEX('Tabla XP'!$B$2:$B$12,MATCH(D387,'Tabla XP'!$A$2:$A$12,0))*IF(E387="",1,E387),0))</f>
        <v/>
      </c>
      <c r="G387" s="19" t="n"/>
      <c r="H387" s="19" t="n"/>
    </row>
    <row r="388">
      <c r="A388" s="22" t="n"/>
      <c r="B388" s="19" t="n"/>
      <c r="C388" s="18">
        <f>IF(B388="","",IFERROR(INDEX(Jugadores!$C$2:$C$501,MATCH(B388,Jugadores!$A$2:$A$501,0)),"⚠ ID no existe"))</f>
        <v/>
      </c>
      <c r="D388" s="19" t="n"/>
      <c r="E388" s="19" t="n"/>
      <c r="F388" s="16">
        <f>IF(OR(B388="",D388=""),"",IFERROR(INDEX('Tabla XP'!$B$2:$B$12,MATCH(D388,'Tabla XP'!$A$2:$A$12,0))*IF(E388="",1,E388),0))</f>
        <v/>
      </c>
      <c r="G388" s="19" t="n"/>
      <c r="H388" s="19" t="n"/>
    </row>
    <row r="389">
      <c r="A389" s="22" t="n"/>
      <c r="B389" s="19" t="n"/>
      <c r="C389" s="18">
        <f>IF(B389="","",IFERROR(INDEX(Jugadores!$C$2:$C$501,MATCH(B389,Jugadores!$A$2:$A$501,0)),"⚠ ID no existe"))</f>
        <v/>
      </c>
      <c r="D389" s="19" t="n"/>
      <c r="E389" s="19" t="n"/>
      <c r="F389" s="16">
        <f>IF(OR(B389="",D389=""),"",IFERROR(INDEX('Tabla XP'!$B$2:$B$12,MATCH(D389,'Tabla XP'!$A$2:$A$12,0))*IF(E389="",1,E389),0))</f>
        <v/>
      </c>
      <c r="G389" s="19" t="n"/>
      <c r="H389" s="19" t="n"/>
    </row>
    <row r="390">
      <c r="A390" s="22" t="n"/>
      <c r="B390" s="19" t="n"/>
      <c r="C390" s="18">
        <f>IF(B390="","",IFERROR(INDEX(Jugadores!$C$2:$C$501,MATCH(B390,Jugadores!$A$2:$A$501,0)),"⚠ ID no existe"))</f>
        <v/>
      </c>
      <c r="D390" s="19" t="n"/>
      <c r="E390" s="19" t="n"/>
      <c r="F390" s="16">
        <f>IF(OR(B390="",D390=""),"",IFERROR(INDEX('Tabla XP'!$B$2:$B$12,MATCH(D390,'Tabla XP'!$A$2:$A$12,0))*IF(E390="",1,E390),0))</f>
        <v/>
      </c>
      <c r="G390" s="19" t="n"/>
      <c r="H390" s="19" t="n"/>
    </row>
    <row r="391">
      <c r="A391" s="22" t="n"/>
      <c r="B391" s="19" t="n"/>
      <c r="C391" s="18">
        <f>IF(B391="","",IFERROR(INDEX(Jugadores!$C$2:$C$501,MATCH(B391,Jugadores!$A$2:$A$501,0)),"⚠ ID no existe"))</f>
        <v/>
      </c>
      <c r="D391" s="19" t="n"/>
      <c r="E391" s="19" t="n"/>
      <c r="F391" s="16">
        <f>IF(OR(B391="",D391=""),"",IFERROR(INDEX('Tabla XP'!$B$2:$B$12,MATCH(D391,'Tabla XP'!$A$2:$A$12,0))*IF(E391="",1,E391),0))</f>
        <v/>
      </c>
      <c r="G391" s="19" t="n"/>
      <c r="H391" s="19" t="n"/>
    </row>
    <row r="392">
      <c r="A392" s="22" t="n"/>
      <c r="B392" s="19" t="n"/>
      <c r="C392" s="18">
        <f>IF(B392="","",IFERROR(INDEX(Jugadores!$C$2:$C$501,MATCH(B392,Jugadores!$A$2:$A$501,0)),"⚠ ID no existe"))</f>
        <v/>
      </c>
      <c r="D392" s="19" t="n"/>
      <c r="E392" s="19" t="n"/>
      <c r="F392" s="16">
        <f>IF(OR(B392="",D392=""),"",IFERROR(INDEX('Tabla XP'!$B$2:$B$12,MATCH(D392,'Tabla XP'!$A$2:$A$12,0))*IF(E392="",1,E392),0))</f>
        <v/>
      </c>
      <c r="G392" s="19" t="n"/>
      <c r="H392" s="19" t="n"/>
    </row>
    <row r="393">
      <c r="A393" s="22" t="n"/>
      <c r="B393" s="19" t="n"/>
      <c r="C393" s="18">
        <f>IF(B393="","",IFERROR(INDEX(Jugadores!$C$2:$C$501,MATCH(B393,Jugadores!$A$2:$A$501,0)),"⚠ ID no existe"))</f>
        <v/>
      </c>
      <c r="D393" s="19" t="n"/>
      <c r="E393" s="19" t="n"/>
      <c r="F393" s="16">
        <f>IF(OR(B393="",D393=""),"",IFERROR(INDEX('Tabla XP'!$B$2:$B$12,MATCH(D393,'Tabla XP'!$A$2:$A$12,0))*IF(E393="",1,E393),0))</f>
        <v/>
      </c>
      <c r="G393" s="19" t="n"/>
      <c r="H393" s="19" t="n"/>
    </row>
    <row r="394">
      <c r="A394" s="22" t="n"/>
      <c r="B394" s="19" t="n"/>
      <c r="C394" s="18">
        <f>IF(B394="","",IFERROR(INDEX(Jugadores!$C$2:$C$501,MATCH(B394,Jugadores!$A$2:$A$501,0)),"⚠ ID no existe"))</f>
        <v/>
      </c>
      <c r="D394" s="19" t="n"/>
      <c r="E394" s="19" t="n"/>
      <c r="F394" s="16">
        <f>IF(OR(B394="",D394=""),"",IFERROR(INDEX('Tabla XP'!$B$2:$B$12,MATCH(D394,'Tabla XP'!$A$2:$A$12,0))*IF(E394="",1,E394),0))</f>
        <v/>
      </c>
      <c r="G394" s="19" t="n"/>
      <c r="H394" s="19" t="n"/>
    </row>
    <row r="395">
      <c r="A395" s="22" t="n"/>
      <c r="B395" s="19" t="n"/>
      <c r="C395" s="18">
        <f>IF(B395="","",IFERROR(INDEX(Jugadores!$C$2:$C$501,MATCH(B395,Jugadores!$A$2:$A$501,0)),"⚠ ID no existe"))</f>
        <v/>
      </c>
      <c r="D395" s="19" t="n"/>
      <c r="E395" s="19" t="n"/>
      <c r="F395" s="16">
        <f>IF(OR(B395="",D395=""),"",IFERROR(INDEX('Tabla XP'!$B$2:$B$12,MATCH(D395,'Tabla XP'!$A$2:$A$12,0))*IF(E395="",1,E395),0))</f>
        <v/>
      </c>
      <c r="G395" s="19" t="n"/>
      <c r="H395" s="19" t="n"/>
    </row>
    <row r="396">
      <c r="A396" s="22" t="n"/>
      <c r="B396" s="19" t="n"/>
      <c r="C396" s="18">
        <f>IF(B396="","",IFERROR(INDEX(Jugadores!$C$2:$C$501,MATCH(B396,Jugadores!$A$2:$A$501,0)),"⚠ ID no existe"))</f>
        <v/>
      </c>
      <c r="D396" s="19" t="n"/>
      <c r="E396" s="19" t="n"/>
      <c r="F396" s="16">
        <f>IF(OR(B396="",D396=""),"",IFERROR(INDEX('Tabla XP'!$B$2:$B$12,MATCH(D396,'Tabla XP'!$A$2:$A$12,0))*IF(E396="",1,E396),0))</f>
        <v/>
      </c>
      <c r="G396" s="19" t="n"/>
      <c r="H396" s="19" t="n"/>
    </row>
    <row r="397">
      <c r="A397" s="22" t="n"/>
      <c r="B397" s="19" t="n"/>
      <c r="C397" s="18">
        <f>IF(B397="","",IFERROR(INDEX(Jugadores!$C$2:$C$501,MATCH(B397,Jugadores!$A$2:$A$501,0)),"⚠ ID no existe"))</f>
        <v/>
      </c>
      <c r="D397" s="19" t="n"/>
      <c r="E397" s="19" t="n"/>
      <c r="F397" s="16">
        <f>IF(OR(B397="",D397=""),"",IFERROR(INDEX('Tabla XP'!$B$2:$B$12,MATCH(D397,'Tabla XP'!$A$2:$A$12,0))*IF(E397="",1,E397),0))</f>
        <v/>
      </c>
      <c r="G397" s="19" t="n"/>
      <c r="H397" s="19" t="n"/>
    </row>
    <row r="398">
      <c r="A398" s="22" t="n"/>
      <c r="B398" s="19" t="n"/>
      <c r="C398" s="18">
        <f>IF(B398="","",IFERROR(INDEX(Jugadores!$C$2:$C$501,MATCH(B398,Jugadores!$A$2:$A$501,0)),"⚠ ID no existe"))</f>
        <v/>
      </c>
      <c r="D398" s="19" t="n"/>
      <c r="E398" s="19" t="n"/>
      <c r="F398" s="16">
        <f>IF(OR(B398="",D398=""),"",IFERROR(INDEX('Tabla XP'!$B$2:$B$12,MATCH(D398,'Tabla XP'!$A$2:$A$12,0))*IF(E398="",1,E398),0))</f>
        <v/>
      </c>
      <c r="G398" s="19" t="n"/>
      <c r="H398" s="19" t="n"/>
    </row>
    <row r="399">
      <c r="A399" s="22" t="n"/>
      <c r="B399" s="19" t="n"/>
      <c r="C399" s="18">
        <f>IF(B399="","",IFERROR(INDEX(Jugadores!$C$2:$C$501,MATCH(B399,Jugadores!$A$2:$A$501,0)),"⚠ ID no existe"))</f>
        <v/>
      </c>
      <c r="D399" s="19" t="n"/>
      <c r="E399" s="19" t="n"/>
      <c r="F399" s="16">
        <f>IF(OR(B399="",D399=""),"",IFERROR(INDEX('Tabla XP'!$B$2:$B$12,MATCH(D399,'Tabla XP'!$A$2:$A$12,0))*IF(E399="",1,E399),0))</f>
        <v/>
      </c>
      <c r="G399" s="19" t="n"/>
      <c r="H399" s="19" t="n"/>
    </row>
    <row r="400">
      <c r="A400" s="22" t="n"/>
      <c r="B400" s="19" t="n"/>
      <c r="C400" s="18">
        <f>IF(B400="","",IFERROR(INDEX(Jugadores!$C$2:$C$501,MATCH(B400,Jugadores!$A$2:$A$501,0)),"⚠ ID no existe"))</f>
        <v/>
      </c>
      <c r="D400" s="19" t="n"/>
      <c r="E400" s="19" t="n"/>
      <c r="F400" s="16">
        <f>IF(OR(B400="",D400=""),"",IFERROR(INDEX('Tabla XP'!$B$2:$B$12,MATCH(D400,'Tabla XP'!$A$2:$A$12,0))*IF(E400="",1,E400),0))</f>
        <v/>
      </c>
      <c r="G400" s="19" t="n"/>
      <c r="H400" s="19" t="n"/>
    </row>
    <row r="401">
      <c r="A401" s="22" t="n"/>
      <c r="B401" s="19" t="n"/>
      <c r="C401" s="18">
        <f>IF(B401="","",IFERROR(INDEX(Jugadores!$C$2:$C$501,MATCH(B401,Jugadores!$A$2:$A$501,0)),"⚠ ID no existe"))</f>
        <v/>
      </c>
      <c r="D401" s="19" t="n"/>
      <c r="E401" s="19" t="n"/>
      <c r="F401" s="16">
        <f>IF(OR(B401="",D401=""),"",IFERROR(INDEX('Tabla XP'!$B$2:$B$12,MATCH(D401,'Tabla XP'!$A$2:$A$12,0))*IF(E401="",1,E401),0))</f>
        <v/>
      </c>
      <c r="G401" s="19" t="n"/>
      <c r="H401" s="19" t="n"/>
    </row>
    <row r="402">
      <c r="A402" s="22" t="n"/>
      <c r="B402" s="19" t="n"/>
      <c r="C402" s="18">
        <f>IF(B402="","",IFERROR(INDEX(Jugadores!$C$2:$C$501,MATCH(B402,Jugadores!$A$2:$A$501,0)),"⚠ ID no existe"))</f>
        <v/>
      </c>
      <c r="D402" s="19" t="n"/>
      <c r="E402" s="19" t="n"/>
      <c r="F402" s="16">
        <f>IF(OR(B402="",D402=""),"",IFERROR(INDEX('Tabla XP'!$B$2:$B$12,MATCH(D402,'Tabla XP'!$A$2:$A$12,0))*IF(E402="",1,E402),0))</f>
        <v/>
      </c>
      <c r="G402" s="19" t="n"/>
      <c r="H402" s="19" t="n"/>
    </row>
    <row r="403">
      <c r="A403" s="22" t="n"/>
      <c r="B403" s="19" t="n"/>
      <c r="C403" s="18">
        <f>IF(B403="","",IFERROR(INDEX(Jugadores!$C$2:$C$501,MATCH(B403,Jugadores!$A$2:$A$501,0)),"⚠ ID no existe"))</f>
        <v/>
      </c>
      <c r="D403" s="19" t="n"/>
      <c r="E403" s="19" t="n"/>
      <c r="F403" s="16">
        <f>IF(OR(B403="",D403=""),"",IFERROR(INDEX('Tabla XP'!$B$2:$B$12,MATCH(D403,'Tabla XP'!$A$2:$A$12,0))*IF(E403="",1,E403),0))</f>
        <v/>
      </c>
      <c r="G403" s="19" t="n"/>
      <c r="H403" s="19" t="n"/>
    </row>
    <row r="404">
      <c r="A404" s="22" t="n"/>
      <c r="B404" s="19" t="n"/>
      <c r="C404" s="18">
        <f>IF(B404="","",IFERROR(INDEX(Jugadores!$C$2:$C$501,MATCH(B404,Jugadores!$A$2:$A$501,0)),"⚠ ID no existe"))</f>
        <v/>
      </c>
      <c r="D404" s="19" t="n"/>
      <c r="E404" s="19" t="n"/>
      <c r="F404" s="16">
        <f>IF(OR(B404="",D404=""),"",IFERROR(INDEX('Tabla XP'!$B$2:$B$12,MATCH(D404,'Tabla XP'!$A$2:$A$12,0))*IF(E404="",1,E404),0))</f>
        <v/>
      </c>
      <c r="G404" s="19" t="n"/>
      <c r="H404" s="19" t="n"/>
    </row>
    <row r="405">
      <c r="A405" s="22" t="n"/>
      <c r="B405" s="19" t="n"/>
      <c r="C405" s="18">
        <f>IF(B405="","",IFERROR(INDEX(Jugadores!$C$2:$C$501,MATCH(B405,Jugadores!$A$2:$A$501,0)),"⚠ ID no existe"))</f>
        <v/>
      </c>
      <c r="D405" s="19" t="n"/>
      <c r="E405" s="19" t="n"/>
      <c r="F405" s="16">
        <f>IF(OR(B405="",D405=""),"",IFERROR(INDEX('Tabla XP'!$B$2:$B$12,MATCH(D405,'Tabla XP'!$A$2:$A$12,0))*IF(E405="",1,E405),0))</f>
        <v/>
      </c>
      <c r="G405" s="19" t="n"/>
      <c r="H405" s="19" t="n"/>
    </row>
    <row r="406">
      <c r="A406" s="22" t="n"/>
      <c r="B406" s="19" t="n"/>
      <c r="C406" s="18">
        <f>IF(B406="","",IFERROR(INDEX(Jugadores!$C$2:$C$501,MATCH(B406,Jugadores!$A$2:$A$501,0)),"⚠ ID no existe"))</f>
        <v/>
      </c>
      <c r="D406" s="19" t="n"/>
      <c r="E406" s="19" t="n"/>
      <c r="F406" s="16">
        <f>IF(OR(B406="",D406=""),"",IFERROR(INDEX('Tabla XP'!$B$2:$B$12,MATCH(D406,'Tabla XP'!$A$2:$A$12,0))*IF(E406="",1,E406),0))</f>
        <v/>
      </c>
      <c r="G406" s="19" t="n"/>
      <c r="H406" s="19" t="n"/>
    </row>
    <row r="407">
      <c r="A407" s="22" t="n"/>
      <c r="B407" s="19" t="n"/>
      <c r="C407" s="18">
        <f>IF(B407="","",IFERROR(INDEX(Jugadores!$C$2:$C$501,MATCH(B407,Jugadores!$A$2:$A$501,0)),"⚠ ID no existe"))</f>
        <v/>
      </c>
      <c r="D407" s="19" t="n"/>
      <c r="E407" s="19" t="n"/>
      <c r="F407" s="16">
        <f>IF(OR(B407="",D407=""),"",IFERROR(INDEX('Tabla XP'!$B$2:$B$12,MATCH(D407,'Tabla XP'!$A$2:$A$12,0))*IF(E407="",1,E407),0))</f>
        <v/>
      </c>
      <c r="G407" s="19" t="n"/>
      <c r="H407" s="19" t="n"/>
    </row>
    <row r="408">
      <c r="A408" s="22" t="n"/>
      <c r="B408" s="19" t="n"/>
      <c r="C408" s="18">
        <f>IF(B408="","",IFERROR(INDEX(Jugadores!$C$2:$C$501,MATCH(B408,Jugadores!$A$2:$A$501,0)),"⚠ ID no existe"))</f>
        <v/>
      </c>
      <c r="D408" s="19" t="n"/>
      <c r="E408" s="19" t="n"/>
      <c r="F408" s="16">
        <f>IF(OR(B408="",D408=""),"",IFERROR(INDEX('Tabla XP'!$B$2:$B$12,MATCH(D408,'Tabla XP'!$A$2:$A$12,0))*IF(E408="",1,E408),0))</f>
        <v/>
      </c>
      <c r="G408" s="19" t="n"/>
      <c r="H408" s="19" t="n"/>
    </row>
    <row r="409">
      <c r="A409" s="22" t="n"/>
      <c r="B409" s="19" t="n"/>
      <c r="C409" s="18">
        <f>IF(B409="","",IFERROR(INDEX(Jugadores!$C$2:$C$501,MATCH(B409,Jugadores!$A$2:$A$501,0)),"⚠ ID no existe"))</f>
        <v/>
      </c>
      <c r="D409" s="19" t="n"/>
      <c r="E409" s="19" t="n"/>
      <c r="F409" s="16">
        <f>IF(OR(B409="",D409=""),"",IFERROR(INDEX('Tabla XP'!$B$2:$B$12,MATCH(D409,'Tabla XP'!$A$2:$A$12,0))*IF(E409="",1,E409),0))</f>
        <v/>
      </c>
      <c r="G409" s="19" t="n"/>
      <c r="H409" s="19" t="n"/>
    </row>
    <row r="410">
      <c r="A410" s="22" t="n"/>
      <c r="B410" s="19" t="n"/>
      <c r="C410" s="18">
        <f>IF(B410="","",IFERROR(INDEX(Jugadores!$C$2:$C$501,MATCH(B410,Jugadores!$A$2:$A$501,0)),"⚠ ID no existe"))</f>
        <v/>
      </c>
      <c r="D410" s="19" t="n"/>
      <c r="E410" s="19" t="n"/>
      <c r="F410" s="16">
        <f>IF(OR(B410="",D410=""),"",IFERROR(INDEX('Tabla XP'!$B$2:$B$12,MATCH(D410,'Tabla XP'!$A$2:$A$12,0))*IF(E410="",1,E410),0))</f>
        <v/>
      </c>
      <c r="G410" s="19" t="n"/>
      <c r="H410" s="19" t="n"/>
    </row>
    <row r="411">
      <c r="A411" s="22" t="n"/>
      <c r="B411" s="19" t="n"/>
      <c r="C411" s="18">
        <f>IF(B411="","",IFERROR(INDEX(Jugadores!$C$2:$C$501,MATCH(B411,Jugadores!$A$2:$A$501,0)),"⚠ ID no existe"))</f>
        <v/>
      </c>
      <c r="D411" s="19" t="n"/>
      <c r="E411" s="19" t="n"/>
      <c r="F411" s="16">
        <f>IF(OR(B411="",D411=""),"",IFERROR(INDEX('Tabla XP'!$B$2:$B$12,MATCH(D411,'Tabla XP'!$A$2:$A$12,0))*IF(E411="",1,E411),0))</f>
        <v/>
      </c>
      <c r="G411" s="19" t="n"/>
      <c r="H411" s="19" t="n"/>
    </row>
    <row r="412">
      <c r="A412" s="22" t="n"/>
      <c r="B412" s="19" t="n"/>
      <c r="C412" s="18">
        <f>IF(B412="","",IFERROR(INDEX(Jugadores!$C$2:$C$501,MATCH(B412,Jugadores!$A$2:$A$501,0)),"⚠ ID no existe"))</f>
        <v/>
      </c>
      <c r="D412" s="19" t="n"/>
      <c r="E412" s="19" t="n"/>
      <c r="F412" s="16">
        <f>IF(OR(B412="",D412=""),"",IFERROR(INDEX('Tabla XP'!$B$2:$B$12,MATCH(D412,'Tabla XP'!$A$2:$A$12,0))*IF(E412="",1,E412),0))</f>
        <v/>
      </c>
      <c r="G412" s="19" t="n"/>
      <c r="H412" s="19" t="n"/>
    </row>
    <row r="413">
      <c r="A413" s="22" t="n"/>
      <c r="B413" s="19" t="n"/>
      <c r="C413" s="18">
        <f>IF(B413="","",IFERROR(INDEX(Jugadores!$C$2:$C$501,MATCH(B413,Jugadores!$A$2:$A$501,0)),"⚠ ID no existe"))</f>
        <v/>
      </c>
      <c r="D413" s="19" t="n"/>
      <c r="E413" s="19" t="n"/>
      <c r="F413" s="16">
        <f>IF(OR(B413="",D413=""),"",IFERROR(INDEX('Tabla XP'!$B$2:$B$12,MATCH(D413,'Tabla XP'!$A$2:$A$12,0))*IF(E413="",1,E413),0))</f>
        <v/>
      </c>
      <c r="G413" s="19" t="n"/>
      <c r="H413" s="19" t="n"/>
    </row>
    <row r="414">
      <c r="A414" s="22" t="n"/>
      <c r="B414" s="19" t="n"/>
      <c r="C414" s="18">
        <f>IF(B414="","",IFERROR(INDEX(Jugadores!$C$2:$C$501,MATCH(B414,Jugadores!$A$2:$A$501,0)),"⚠ ID no existe"))</f>
        <v/>
      </c>
      <c r="D414" s="19" t="n"/>
      <c r="E414" s="19" t="n"/>
      <c r="F414" s="16">
        <f>IF(OR(B414="",D414=""),"",IFERROR(INDEX('Tabla XP'!$B$2:$B$12,MATCH(D414,'Tabla XP'!$A$2:$A$12,0))*IF(E414="",1,E414),0))</f>
        <v/>
      </c>
      <c r="G414" s="19" t="n"/>
      <c r="H414" s="19" t="n"/>
    </row>
    <row r="415">
      <c r="A415" s="22" t="n"/>
      <c r="B415" s="19" t="n"/>
      <c r="C415" s="18">
        <f>IF(B415="","",IFERROR(INDEX(Jugadores!$C$2:$C$501,MATCH(B415,Jugadores!$A$2:$A$501,0)),"⚠ ID no existe"))</f>
        <v/>
      </c>
      <c r="D415" s="19" t="n"/>
      <c r="E415" s="19" t="n"/>
      <c r="F415" s="16">
        <f>IF(OR(B415="",D415=""),"",IFERROR(INDEX('Tabla XP'!$B$2:$B$12,MATCH(D415,'Tabla XP'!$A$2:$A$12,0))*IF(E415="",1,E415),0))</f>
        <v/>
      </c>
      <c r="G415" s="19" t="n"/>
      <c r="H415" s="19" t="n"/>
    </row>
    <row r="416">
      <c r="A416" s="22" t="n"/>
      <c r="B416" s="19" t="n"/>
      <c r="C416" s="18">
        <f>IF(B416="","",IFERROR(INDEX(Jugadores!$C$2:$C$501,MATCH(B416,Jugadores!$A$2:$A$501,0)),"⚠ ID no existe"))</f>
        <v/>
      </c>
      <c r="D416" s="19" t="n"/>
      <c r="E416" s="19" t="n"/>
      <c r="F416" s="16">
        <f>IF(OR(B416="",D416=""),"",IFERROR(INDEX('Tabla XP'!$B$2:$B$12,MATCH(D416,'Tabla XP'!$A$2:$A$12,0))*IF(E416="",1,E416),0))</f>
        <v/>
      </c>
      <c r="G416" s="19" t="n"/>
      <c r="H416" s="19" t="n"/>
    </row>
    <row r="417">
      <c r="A417" s="22" t="n"/>
      <c r="B417" s="19" t="n"/>
      <c r="C417" s="18">
        <f>IF(B417="","",IFERROR(INDEX(Jugadores!$C$2:$C$501,MATCH(B417,Jugadores!$A$2:$A$501,0)),"⚠ ID no existe"))</f>
        <v/>
      </c>
      <c r="D417" s="19" t="n"/>
      <c r="E417" s="19" t="n"/>
      <c r="F417" s="16">
        <f>IF(OR(B417="",D417=""),"",IFERROR(INDEX('Tabla XP'!$B$2:$B$12,MATCH(D417,'Tabla XP'!$A$2:$A$12,0))*IF(E417="",1,E417),0))</f>
        <v/>
      </c>
      <c r="G417" s="19" t="n"/>
      <c r="H417" s="19" t="n"/>
    </row>
    <row r="418">
      <c r="A418" s="22" t="n"/>
      <c r="B418" s="19" t="n"/>
      <c r="C418" s="18">
        <f>IF(B418="","",IFERROR(INDEX(Jugadores!$C$2:$C$501,MATCH(B418,Jugadores!$A$2:$A$501,0)),"⚠ ID no existe"))</f>
        <v/>
      </c>
      <c r="D418" s="19" t="n"/>
      <c r="E418" s="19" t="n"/>
      <c r="F418" s="16">
        <f>IF(OR(B418="",D418=""),"",IFERROR(INDEX('Tabla XP'!$B$2:$B$12,MATCH(D418,'Tabla XP'!$A$2:$A$12,0))*IF(E418="",1,E418),0))</f>
        <v/>
      </c>
      <c r="G418" s="19" t="n"/>
      <c r="H418" s="19" t="n"/>
    </row>
    <row r="419">
      <c r="A419" s="22" t="n"/>
      <c r="B419" s="19" t="n"/>
      <c r="C419" s="18">
        <f>IF(B419="","",IFERROR(INDEX(Jugadores!$C$2:$C$501,MATCH(B419,Jugadores!$A$2:$A$501,0)),"⚠ ID no existe"))</f>
        <v/>
      </c>
      <c r="D419" s="19" t="n"/>
      <c r="E419" s="19" t="n"/>
      <c r="F419" s="16">
        <f>IF(OR(B419="",D419=""),"",IFERROR(INDEX('Tabla XP'!$B$2:$B$12,MATCH(D419,'Tabla XP'!$A$2:$A$12,0))*IF(E419="",1,E419),0))</f>
        <v/>
      </c>
      <c r="G419" s="19" t="n"/>
      <c r="H419" s="19" t="n"/>
    </row>
    <row r="420">
      <c r="A420" s="22" t="n"/>
      <c r="B420" s="19" t="n"/>
      <c r="C420" s="18">
        <f>IF(B420="","",IFERROR(INDEX(Jugadores!$C$2:$C$501,MATCH(B420,Jugadores!$A$2:$A$501,0)),"⚠ ID no existe"))</f>
        <v/>
      </c>
      <c r="D420" s="19" t="n"/>
      <c r="E420" s="19" t="n"/>
      <c r="F420" s="16">
        <f>IF(OR(B420="",D420=""),"",IFERROR(INDEX('Tabla XP'!$B$2:$B$12,MATCH(D420,'Tabla XP'!$A$2:$A$12,0))*IF(E420="",1,E420),0))</f>
        <v/>
      </c>
      <c r="G420" s="19" t="n"/>
      <c r="H420" s="19" t="n"/>
    </row>
    <row r="421">
      <c r="A421" s="22" t="n"/>
      <c r="B421" s="19" t="n"/>
      <c r="C421" s="18">
        <f>IF(B421="","",IFERROR(INDEX(Jugadores!$C$2:$C$501,MATCH(B421,Jugadores!$A$2:$A$501,0)),"⚠ ID no existe"))</f>
        <v/>
      </c>
      <c r="D421" s="19" t="n"/>
      <c r="E421" s="19" t="n"/>
      <c r="F421" s="16">
        <f>IF(OR(B421="",D421=""),"",IFERROR(INDEX('Tabla XP'!$B$2:$B$12,MATCH(D421,'Tabla XP'!$A$2:$A$12,0))*IF(E421="",1,E421),0))</f>
        <v/>
      </c>
      <c r="G421" s="19" t="n"/>
      <c r="H421" s="19" t="n"/>
    </row>
    <row r="422">
      <c r="A422" s="22" t="n"/>
      <c r="B422" s="19" t="n"/>
      <c r="C422" s="18">
        <f>IF(B422="","",IFERROR(INDEX(Jugadores!$C$2:$C$501,MATCH(B422,Jugadores!$A$2:$A$501,0)),"⚠ ID no existe"))</f>
        <v/>
      </c>
      <c r="D422" s="19" t="n"/>
      <c r="E422" s="19" t="n"/>
      <c r="F422" s="16">
        <f>IF(OR(B422="",D422=""),"",IFERROR(INDEX('Tabla XP'!$B$2:$B$12,MATCH(D422,'Tabla XP'!$A$2:$A$12,0))*IF(E422="",1,E422),0))</f>
        <v/>
      </c>
      <c r="G422" s="19" t="n"/>
      <c r="H422" s="19" t="n"/>
    </row>
    <row r="423">
      <c r="A423" s="22" t="n"/>
      <c r="B423" s="19" t="n"/>
      <c r="C423" s="18">
        <f>IF(B423="","",IFERROR(INDEX(Jugadores!$C$2:$C$501,MATCH(B423,Jugadores!$A$2:$A$501,0)),"⚠ ID no existe"))</f>
        <v/>
      </c>
      <c r="D423" s="19" t="n"/>
      <c r="E423" s="19" t="n"/>
      <c r="F423" s="16">
        <f>IF(OR(B423="",D423=""),"",IFERROR(INDEX('Tabla XP'!$B$2:$B$12,MATCH(D423,'Tabla XP'!$A$2:$A$12,0))*IF(E423="",1,E423),0))</f>
        <v/>
      </c>
      <c r="G423" s="19" t="n"/>
      <c r="H423" s="19" t="n"/>
    </row>
    <row r="424">
      <c r="A424" s="22" t="n"/>
      <c r="B424" s="19" t="n"/>
      <c r="C424" s="18">
        <f>IF(B424="","",IFERROR(INDEX(Jugadores!$C$2:$C$501,MATCH(B424,Jugadores!$A$2:$A$501,0)),"⚠ ID no existe"))</f>
        <v/>
      </c>
      <c r="D424" s="19" t="n"/>
      <c r="E424" s="19" t="n"/>
      <c r="F424" s="16">
        <f>IF(OR(B424="",D424=""),"",IFERROR(INDEX('Tabla XP'!$B$2:$B$12,MATCH(D424,'Tabla XP'!$A$2:$A$12,0))*IF(E424="",1,E424),0))</f>
        <v/>
      </c>
      <c r="G424" s="19" t="n"/>
      <c r="H424" s="19" t="n"/>
    </row>
    <row r="425">
      <c r="A425" s="22" t="n"/>
      <c r="B425" s="19" t="n"/>
      <c r="C425" s="18">
        <f>IF(B425="","",IFERROR(INDEX(Jugadores!$C$2:$C$501,MATCH(B425,Jugadores!$A$2:$A$501,0)),"⚠ ID no existe"))</f>
        <v/>
      </c>
      <c r="D425" s="19" t="n"/>
      <c r="E425" s="19" t="n"/>
      <c r="F425" s="16">
        <f>IF(OR(B425="",D425=""),"",IFERROR(INDEX('Tabla XP'!$B$2:$B$12,MATCH(D425,'Tabla XP'!$A$2:$A$12,0))*IF(E425="",1,E425),0))</f>
        <v/>
      </c>
      <c r="G425" s="19" t="n"/>
      <c r="H425" s="19" t="n"/>
    </row>
    <row r="426">
      <c r="A426" s="22" t="n"/>
      <c r="B426" s="19" t="n"/>
      <c r="C426" s="18">
        <f>IF(B426="","",IFERROR(INDEX(Jugadores!$C$2:$C$501,MATCH(B426,Jugadores!$A$2:$A$501,0)),"⚠ ID no existe"))</f>
        <v/>
      </c>
      <c r="D426" s="19" t="n"/>
      <c r="E426" s="19" t="n"/>
      <c r="F426" s="16">
        <f>IF(OR(B426="",D426=""),"",IFERROR(INDEX('Tabla XP'!$B$2:$B$12,MATCH(D426,'Tabla XP'!$A$2:$A$12,0))*IF(E426="",1,E426),0))</f>
        <v/>
      </c>
      <c r="G426" s="19" t="n"/>
      <c r="H426" s="19" t="n"/>
    </row>
    <row r="427">
      <c r="A427" s="22" t="n"/>
      <c r="B427" s="19" t="n"/>
      <c r="C427" s="18">
        <f>IF(B427="","",IFERROR(INDEX(Jugadores!$C$2:$C$501,MATCH(B427,Jugadores!$A$2:$A$501,0)),"⚠ ID no existe"))</f>
        <v/>
      </c>
      <c r="D427" s="19" t="n"/>
      <c r="E427" s="19" t="n"/>
      <c r="F427" s="16">
        <f>IF(OR(B427="",D427=""),"",IFERROR(INDEX('Tabla XP'!$B$2:$B$12,MATCH(D427,'Tabla XP'!$A$2:$A$12,0))*IF(E427="",1,E427),0))</f>
        <v/>
      </c>
      <c r="G427" s="19" t="n"/>
      <c r="H427" s="19" t="n"/>
    </row>
    <row r="428">
      <c r="A428" s="22" t="n"/>
      <c r="B428" s="19" t="n"/>
      <c r="C428" s="18">
        <f>IF(B428="","",IFERROR(INDEX(Jugadores!$C$2:$C$501,MATCH(B428,Jugadores!$A$2:$A$501,0)),"⚠ ID no existe"))</f>
        <v/>
      </c>
      <c r="D428" s="19" t="n"/>
      <c r="E428" s="19" t="n"/>
      <c r="F428" s="16">
        <f>IF(OR(B428="",D428=""),"",IFERROR(INDEX('Tabla XP'!$B$2:$B$12,MATCH(D428,'Tabla XP'!$A$2:$A$12,0))*IF(E428="",1,E428),0))</f>
        <v/>
      </c>
      <c r="G428" s="19" t="n"/>
      <c r="H428" s="19" t="n"/>
    </row>
    <row r="429">
      <c r="A429" s="22" t="n"/>
      <c r="B429" s="19" t="n"/>
      <c r="C429" s="18">
        <f>IF(B429="","",IFERROR(INDEX(Jugadores!$C$2:$C$501,MATCH(B429,Jugadores!$A$2:$A$501,0)),"⚠ ID no existe"))</f>
        <v/>
      </c>
      <c r="D429" s="19" t="n"/>
      <c r="E429" s="19" t="n"/>
      <c r="F429" s="16">
        <f>IF(OR(B429="",D429=""),"",IFERROR(INDEX('Tabla XP'!$B$2:$B$12,MATCH(D429,'Tabla XP'!$A$2:$A$12,0))*IF(E429="",1,E429),0))</f>
        <v/>
      </c>
      <c r="G429" s="19" t="n"/>
      <c r="H429" s="19" t="n"/>
    </row>
    <row r="430">
      <c r="A430" s="22" t="n"/>
      <c r="B430" s="19" t="n"/>
      <c r="C430" s="18">
        <f>IF(B430="","",IFERROR(INDEX(Jugadores!$C$2:$C$501,MATCH(B430,Jugadores!$A$2:$A$501,0)),"⚠ ID no existe"))</f>
        <v/>
      </c>
      <c r="D430" s="19" t="n"/>
      <c r="E430" s="19" t="n"/>
      <c r="F430" s="16">
        <f>IF(OR(B430="",D430=""),"",IFERROR(INDEX('Tabla XP'!$B$2:$B$12,MATCH(D430,'Tabla XP'!$A$2:$A$12,0))*IF(E430="",1,E430),0))</f>
        <v/>
      </c>
      <c r="G430" s="19" t="n"/>
      <c r="H430" s="19" t="n"/>
    </row>
    <row r="431">
      <c r="A431" s="22" t="n"/>
      <c r="B431" s="19" t="n"/>
      <c r="C431" s="18">
        <f>IF(B431="","",IFERROR(INDEX(Jugadores!$C$2:$C$501,MATCH(B431,Jugadores!$A$2:$A$501,0)),"⚠ ID no existe"))</f>
        <v/>
      </c>
      <c r="D431" s="19" t="n"/>
      <c r="E431" s="19" t="n"/>
      <c r="F431" s="16">
        <f>IF(OR(B431="",D431=""),"",IFERROR(INDEX('Tabla XP'!$B$2:$B$12,MATCH(D431,'Tabla XP'!$A$2:$A$12,0))*IF(E431="",1,E431),0))</f>
        <v/>
      </c>
      <c r="G431" s="19" t="n"/>
      <c r="H431" s="19" t="n"/>
    </row>
    <row r="432">
      <c r="A432" s="22" t="n"/>
      <c r="B432" s="19" t="n"/>
      <c r="C432" s="18">
        <f>IF(B432="","",IFERROR(INDEX(Jugadores!$C$2:$C$501,MATCH(B432,Jugadores!$A$2:$A$501,0)),"⚠ ID no existe"))</f>
        <v/>
      </c>
      <c r="D432" s="19" t="n"/>
      <c r="E432" s="19" t="n"/>
      <c r="F432" s="16">
        <f>IF(OR(B432="",D432=""),"",IFERROR(INDEX('Tabla XP'!$B$2:$B$12,MATCH(D432,'Tabla XP'!$A$2:$A$12,0))*IF(E432="",1,E432),0))</f>
        <v/>
      </c>
      <c r="G432" s="19" t="n"/>
      <c r="H432" s="19" t="n"/>
    </row>
    <row r="433">
      <c r="A433" s="22" t="n"/>
      <c r="B433" s="19" t="n"/>
      <c r="C433" s="18">
        <f>IF(B433="","",IFERROR(INDEX(Jugadores!$C$2:$C$501,MATCH(B433,Jugadores!$A$2:$A$501,0)),"⚠ ID no existe"))</f>
        <v/>
      </c>
      <c r="D433" s="19" t="n"/>
      <c r="E433" s="19" t="n"/>
      <c r="F433" s="16">
        <f>IF(OR(B433="",D433=""),"",IFERROR(INDEX('Tabla XP'!$B$2:$B$12,MATCH(D433,'Tabla XP'!$A$2:$A$12,0))*IF(E433="",1,E433),0))</f>
        <v/>
      </c>
      <c r="G433" s="19" t="n"/>
      <c r="H433" s="19" t="n"/>
    </row>
    <row r="434">
      <c r="A434" s="22" t="n"/>
      <c r="B434" s="19" t="n"/>
      <c r="C434" s="18">
        <f>IF(B434="","",IFERROR(INDEX(Jugadores!$C$2:$C$501,MATCH(B434,Jugadores!$A$2:$A$501,0)),"⚠ ID no existe"))</f>
        <v/>
      </c>
      <c r="D434" s="19" t="n"/>
      <c r="E434" s="19" t="n"/>
      <c r="F434" s="16">
        <f>IF(OR(B434="",D434=""),"",IFERROR(INDEX('Tabla XP'!$B$2:$B$12,MATCH(D434,'Tabla XP'!$A$2:$A$12,0))*IF(E434="",1,E434),0))</f>
        <v/>
      </c>
      <c r="G434" s="19" t="n"/>
      <c r="H434" s="19" t="n"/>
    </row>
    <row r="435">
      <c r="A435" s="22" t="n"/>
      <c r="B435" s="19" t="n"/>
      <c r="C435" s="18">
        <f>IF(B435="","",IFERROR(INDEX(Jugadores!$C$2:$C$501,MATCH(B435,Jugadores!$A$2:$A$501,0)),"⚠ ID no existe"))</f>
        <v/>
      </c>
      <c r="D435" s="19" t="n"/>
      <c r="E435" s="19" t="n"/>
      <c r="F435" s="16">
        <f>IF(OR(B435="",D435=""),"",IFERROR(INDEX('Tabla XP'!$B$2:$B$12,MATCH(D435,'Tabla XP'!$A$2:$A$12,0))*IF(E435="",1,E435),0))</f>
        <v/>
      </c>
      <c r="G435" s="19" t="n"/>
      <c r="H435" s="19" t="n"/>
    </row>
    <row r="436">
      <c r="A436" s="22" t="n"/>
      <c r="B436" s="19" t="n"/>
      <c r="C436" s="18">
        <f>IF(B436="","",IFERROR(INDEX(Jugadores!$C$2:$C$501,MATCH(B436,Jugadores!$A$2:$A$501,0)),"⚠ ID no existe"))</f>
        <v/>
      </c>
      <c r="D436" s="19" t="n"/>
      <c r="E436" s="19" t="n"/>
      <c r="F436" s="16">
        <f>IF(OR(B436="",D436=""),"",IFERROR(INDEX('Tabla XP'!$B$2:$B$12,MATCH(D436,'Tabla XP'!$A$2:$A$12,0))*IF(E436="",1,E436),0))</f>
        <v/>
      </c>
      <c r="G436" s="19" t="n"/>
      <c r="H436" s="19" t="n"/>
    </row>
    <row r="437">
      <c r="A437" s="22" t="n"/>
      <c r="B437" s="19" t="n"/>
      <c r="C437" s="18">
        <f>IF(B437="","",IFERROR(INDEX(Jugadores!$C$2:$C$501,MATCH(B437,Jugadores!$A$2:$A$501,0)),"⚠ ID no existe"))</f>
        <v/>
      </c>
      <c r="D437" s="19" t="n"/>
      <c r="E437" s="19" t="n"/>
      <c r="F437" s="16">
        <f>IF(OR(B437="",D437=""),"",IFERROR(INDEX('Tabla XP'!$B$2:$B$12,MATCH(D437,'Tabla XP'!$A$2:$A$12,0))*IF(E437="",1,E437),0))</f>
        <v/>
      </c>
      <c r="G437" s="19" t="n"/>
      <c r="H437" s="19" t="n"/>
    </row>
    <row r="438">
      <c r="A438" s="22" t="n"/>
      <c r="B438" s="19" t="n"/>
      <c r="C438" s="18">
        <f>IF(B438="","",IFERROR(INDEX(Jugadores!$C$2:$C$501,MATCH(B438,Jugadores!$A$2:$A$501,0)),"⚠ ID no existe"))</f>
        <v/>
      </c>
      <c r="D438" s="19" t="n"/>
      <c r="E438" s="19" t="n"/>
      <c r="F438" s="16">
        <f>IF(OR(B438="",D438=""),"",IFERROR(INDEX('Tabla XP'!$B$2:$B$12,MATCH(D438,'Tabla XP'!$A$2:$A$12,0))*IF(E438="",1,E438),0))</f>
        <v/>
      </c>
      <c r="G438" s="19" t="n"/>
      <c r="H438" s="19" t="n"/>
    </row>
    <row r="439">
      <c r="A439" s="22" t="n"/>
      <c r="B439" s="19" t="n"/>
      <c r="C439" s="18">
        <f>IF(B439="","",IFERROR(INDEX(Jugadores!$C$2:$C$501,MATCH(B439,Jugadores!$A$2:$A$501,0)),"⚠ ID no existe"))</f>
        <v/>
      </c>
      <c r="D439" s="19" t="n"/>
      <c r="E439" s="19" t="n"/>
      <c r="F439" s="16">
        <f>IF(OR(B439="",D439=""),"",IFERROR(INDEX('Tabla XP'!$B$2:$B$12,MATCH(D439,'Tabla XP'!$A$2:$A$12,0))*IF(E439="",1,E439),0))</f>
        <v/>
      </c>
      <c r="G439" s="19" t="n"/>
      <c r="H439" s="19" t="n"/>
    </row>
    <row r="440">
      <c r="A440" s="22" t="n"/>
      <c r="B440" s="19" t="n"/>
      <c r="C440" s="18">
        <f>IF(B440="","",IFERROR(INDEX(Jugadores!$C$2:$C$501,MATCH(B440,Jugadores!$A$2:$A$501,0)),"⚠ ID no existe"))</f>
        <v/>
      </c>
      <c r="D440" s="19" t="n"/>
      <c r="E440" s="19" t="n"/>
      <c r="F440" s="16">
        <f>IF(OR(B440="",D440=""),"",IFERROR(INDEX('Tabla XP'!$B$2:$B$12,MATCH(D440,'Tabla XP'!$A$2:$A$12,0))*IF(E440="",1,E440),0))</f>
        <v/>
      </c>
      <c r="G440" s="19" t="n"/>
      <c r="H440" s="19" t="n"/>
    </row>
    <row r="441">
      <c r="A441" s="22" t="n"/>
      <c r="B441" s="19" t="n"/>
      <c r="C441" s="18">
        <f>IF(B441="","",IFERROR(INDEX(Jugadores!$C$2:$C$501,MATCH(B441,Jugadores!$A$2:$A$501,0)),"⚠ ID no existe"))</f>
        <v/>
      </c>
      <c r="D441" s="19" t="n"/>
      <c r="E441" s="19" t="n"/>
      <c r="F441" s="16">
        <f>IF(OR(B441="",D441=""),"",IFERROR(INDEX('Tabla XP'!$B$2:$B$12,MATCH(D441,'Tabla XP'!$A$2:$A$12,0))*IF(E441="",1,E441),0))</f>
        <v/>
      </c>
      <c r="G441" s="19" t="n"/>
      <c r="H441" s="19" t="n"/>
    </row>
    <row r="442">
      <c r="A442" s="22" t="n"/>
      <c r="B442" s="19" t="n"/>
      <c r="C442" s="18">
        <f>IF(B442="","",IFERROR(INDEX(Jugadores!$C$2:$C$501,MATCH(B442,Jugadores!$A$2:$A$501,0)),"⚠ ID no existe"))</f>
        <v/>
      </c>
      <c r="D442" s="19" t="n"/>
      <c r="E442" s="19" t="n"/>
      <c r="F442" s="16">
        <f>IF(OR(B442="",D442=""),"",IFERROR(INDEX('Tabla XP'!$B$2:$B$12,MATCH(D442,'Tabla XP'!$A$2:$A$12,0))*IF(E442="",1,E442),0))</f>
        <v/>
      </c>
      <c r="G442" s="19" t="n"/>
      <c r="H442" s="19" t="n"/>
    </row>
    <row r="443">
      <c r="A443" s="22" t="n"/>
      <c r="B443" s="19" t="n"/>
      <c r="C443" s="18">
        <f>IF(B443="","",IFERROR(INDEX(Jugadores!$C$2:$C$501,MATCH(B443,Jugadores!$A$2:$A$501,0)),"⚠ ID no existe"))</f>
        <v/>
      </c>
      <c r="D443" s="19" t="n"/>
      <c r="E443" s="19" t="n"/>
      <c r="F443" s="16">
        <f>IF(OR(B443="",D443=""),"",IFERROR(INDEX('Tabla XP'!$B$2:$B$12,MATCH(D443,'Tabla XP'!$A$2:$A$12,0))*IF(E443="",1,E443),0))</f>
        <v/>
      </c>
      <c r="G443" s="19" t="n"/>
      <c r="H443" s="19" t="n"/>
    </row>
    <row r="444">
      <c r="A444" s="22" t="n"/>
      <c r="B444" s="19" t="n"/>
      <c r="C444" s="18">
        <f>IF(B444="","",IFERROR(INDEX(Jugadores!$C$2:$C$501,MATCH(B444,Jugadores!$A$2:$A$501,0)),"⚠ ID no existe"))</f>
        <v/>
      </c>
      <c r="D444" s="19" t="n"/>
      <c r="E444" s="19" t="n"/>
      <c r="F444" s="16">
        <f>IF(OR(B444="",D444=""),"",IFERROR(INDEX('Tabla XP'!$B$2:$B$12,MATCH(D444,'Tabla XP'!$A$2:$A$12,0))*IF(E444="",1,E444),0))</f>
        <v/>
      </c>
      <c r="G444" s="19" t="n"/>
      <c r="H444" s="19" t="n"/>
    </row>
    <row r="445">
      <c r="A445" s="22" t="n"/>
      <c r="B445" s="19" t="n"/>
      <c r="C445" s="18">
        <f>IF(B445="","",IFERROR(INDEX(Jugadores!$C$2:$C$501,MATCH(B445,Jugadores!$A$2:$A$501,0)),"⚠ ID no existe"))</f>
        <v/>
      </c>
      <c r="D445" s="19" t="n"/>
      <c r="E445" s="19" t="n"/>
      <c r="F445" s="16">
        <f>IF(OR(B445="",D445=""),"",IFERROR(INDEX('Tabla XP'!$B$2:$B$12,MATCH(D445,'Tabla XP'!$A$2:$A$12,0))*IF(E445="",1,E445),0))</f>
        <v/>
      </c>
      <c r="G445" s="19" t="n"/>
      <c r="H445" s="19" t="n"/>
    </row>
    <row r="446">
      <c r="A446" s="22" t="n"/>
      <c r="B446" s="19" t="n"/>
      <c r="C446" s="18">
        <f>IF(B446="","",IFERROR(INDEX(Jugadores!$C$2:$C$501,MATCH(B446,Jugadores!$A$2:$A$501,0)),"⚠ ID no existe"))</f>
        <v/>
      </c>
      <c r="D446" s="19" t="n"/>
      <c r="E446" s="19" t="n"/>
      <c r="F446" s="16">
        <f>IF(OR(B446="",D446=""),"",IFERROR(INDEX('Tabla XP'!$B$2:$B$12,MATCH(D446,'Tabla XP'!$A$2:$A$12,0))*IF(E446="",1,E446),0))</f>
        <v/>
      </c>
      <c r="G446" s="19" t="n"/>
      <c r="H446" s="19" t="n"/>
    </row>
    <row r="447">
      <c r="A447" s="22" t="n"/>
      <c r="B447" s="19" t="n"/>
      <c r="C447" s="18">
        <f>IF(B447="","",IFERROR(INDEX(Jugadores!$C$2:$C$501,MATCH(B447,Jugadores!$A$2:$A$501,0)),"⚠ ID no existe"))</f>
        <v/>
      </c>
      <c r="D447" s="19" t="n"/>
      <c r="E447" s="19" t="n"/>
      <c r="F447" s="16">
        <f>IF(OR(B447="",D447=""),"",IFERROR(INDEX('Tabla XP'!$B$2:$B$12,MATCH(D447,'Tabla XP'!$A$2:$A$12,0))*IF(E447="",1,E447),0))</f>
        <v/>
      </c>
      <c r="G447" s="19" t="n"/>
      <c r="H447" s="19" t="n"/>
    </row>
    <row r="448">
      <c r="A448" s="22" t="n"/>
      <c r="B448" s="19" t="n"/>
      <c r="C448" s="18">
        <f>IF(B448="","",IFERROR(INDEX(Jugadores!$C$2:$C$501,MATCH(B448,Jugadores!$A$2:$A$501,0)),"⚠ ID no existe"))</f>
        <v/>
      </c>
      <c r="D448" s="19" t="n"/>
      <c r="E448" s="19" t="n"/>
      <c r="F448" s="16">
        <f>IF(OR(B448="",D448=""),"",IFERROR(INDEX('Tabla XP'!$B$2:$B$12,MATCH(D448,'Tabla XP'!$A$2:$A$12,0))*IF(E448="",1,E448),0))</f>
        <v/>
      </c>
      <c r="G448" s="19" t="n"/>
      <c r="H448" s="19" t="n"/>
    </row>
    <row r="449">
      <c r="A449" s="22" t="n"/>
      <c r="B449" s="19" t="n"/>
      <c r="C449" s="18">
        <f>IF(B449="","",IFERROR(INDEX(Jugadores!$C$2:$C$501,MATCH(B449,Jugadores!$A$2:$A$501,0)),"⚠ ID no existe"))</f>
        <v/>
      </c>
      <c r="D449" s="19" t="n"/>
      <c r="E449" s="19" t="n"/>
      <c r="F449" s="16">
        <f>IF(OR(B449="",D449=""),"",IFERROR(INDEX('Tabla XP'!$B$2:$B$12,MATCH(D449,'Tabla XP'!$A$2:$A$12,0))*IF(E449="",1,E449),0))</f>
        <v/>
      </c>
      <c r="G449" s="19" t="n"/>
      <c r="H449" s="19" t="n"/>
    </row>
    <row r="450">
      <c r="A450" s="22" t="n"/>
      <c r="B450" s="19" t="n"/>
      <c r="C450" s="18">
        <f>IF(B450="","",IFERROR(INDEX(Jugadores!$C$2:$C$501,MATCH(B450,Jugadores!$A$2:$A$501,0)),"⚠ ID no existe"))</f>
        <v/>
      </c>
      <c r="D450" s="19" t="n"/>
      <c r="E450" s="19" t="n"/>
      <c r="F450" s="16">
        <f>IF(OR(B450="",D450=""),"",IFERROR(INDEX('Tabla XP'!$B$2:$B$12,MATCH(D450,'Tabla XP'!$A$2:$A$12,0))*IF(E450="",1,E450),0))</f>
        <v/>
      </c>
      <c r="G450" s="19" t="n"/>
      <c r="H450" s="19" t="n"/>
    </row>
    <row r="451">
      <c r="A451" s="22" t="n"/>
      <c r="B451" s="19" t="n"/>
      <c r="C451" s="18">
        <f>IF(B451="","",IFERROR(INDEX(Jugadores!$C$2:$C$501,MATCH(B451,Jugadores!$A$2:$A$501,0)),"⚠ ID no existe"))</f>
        <v/>
      </c>
      <c r="D451" s="19" t="n"/>
      <c r="E451" s="19" t="n"/>
      <c r="F451" s="16">
        <f>IF(OR(B451="",D451=""),"",IFERROR(INDEX('Tabla XP'!$B$2:$B$12,MATCH(D451,'Tabla XP'!$A$2:$A$12,0))*IF(E451="",1,E451),0))</f>
        <v/>
      </c>
      <c r="G451" s="19" t="n"/>
      <c r="H451" s="19" t="n"/>
    </row>
    <row r="452">
      <c r="A452" s="22" t="n"/>
      <c r="B452" s="19" t="n"/>
      <c r="C452" s="18">
        <f>IF(B452="","",IFERROR(INDEX(Jugadores!$C$2:$C$501,MATCH(B452,Jugadores!$A$2:$A$501,0)),"⚠ ID no existe"))</f>
        <v/>
      </c>
      <c r="D452" s="19" t="n"/>
      <c r="E452" s="19" t="n"/>
      <c r="F452" s="16">
        <f>IF(OR(B452="",D452=""),"",IFERROR(INDEX('Tabla XP'!$B$2:$B$12,MATCH(D452,'Tabla XP'!$A$2:$A$12,0))*IF(E452="",1,E452),0))</f>
        <v/>
      </c>
      <c r="G452" s="19" t="n"/>
      <c r="H452" s="19" t="n"/>
    </row>
    <row r="453">
      <c r="A453" s="22" t="n"/>
      <c r="B453" s="19" t="n"/>
      <c r="C453" s="18">
        <f>IF(B453="","",IFERROR(INDEX(Jugadores!$C$2:$C$501,MATCH(B453,Jugadores!$A$2:$A$501,0)),"⚠ ID no existe"))</f>
        <v/>
      </c>
      <c r="D453" s="19" t="n"/>
      <c r="E453" s="19" t="n"/>
      <c r="F453" s="16">
        <f>IF(OR(B453="",D453=""),"",IFERROR(INDEX('Tabla XP'!$B$2:$B$12,MATCH(D453,'Tabla XP'!$A$2:$A$12,0))*IF(E453="",1,E453),0))</f>
        <v/>
      </c>
      <c r="G453" s="19" t="n"/>
      <c r="H453" s="19" t="n"/>
    </row>
    <row r="454">
      <c r="A454" s="22" t="n"/>
      <c r="B454" s="19" t="n"/>
      <c r="C454" s="18">
        <f>IF(B454="","",IFERROR(INDEX(Jugadores!$C$2:$C$501,MATCH(B454,Jugadores!$A$2:$A$501,0)),"⚠ ID no existe"))</f>
        <v/>
      </c>
      <c r="D454" s="19" t="n"/>
      <c r="E454" s="19" t="n"/>
      <c r="F454" s="16">
        <f>IF(OR(B454="",D454=""),"",IFERROR(INDEX('Tabla XP'!$B$2:$B$12,MATCH(D454,'Tabla XP'!$A$2:$A$12,0))*IF(E454="",1,E454),0))</f>
        <v/>
      </c>
      <c r="G454" s="19" t="n"/>
      <c r="H454" s="19" t="n"/>
    </row>
    <row r="455">
      <c r="A455" s="22" t="n"/>
      <c r="B455" s="19" t="n"/>
      <c r="C455" s="18">
        <f>IF(B455="","",IFERROR(INDEX(Jugadores!$C$2:$C$501,MATCH(B455,Jugadores!$A$2:$A$501,0)),"⚠ ID no existe"))</f>
        <v/>
      </c>
      <c r="D455" s="19" t="n"/>
      <c r="E455" s="19" t="n"/>
      <c r="F455" s="16">
        <f>IF(OR(B455="",D455=""),"",IFERROR(INDEX('Tabla XP'!$B$2:$B$12,MATCH(D455,'Tabla XP'!$A$2:$A$12,0))*IF(E455="",1,E455),0))</f>
        <v/>
      </c>
      <c r="G455" s="19" t="n"/>
      <c r="H455" s="19" t="n"/>
    </row>
    <row r="456">
      <c r="A456" s="22" t="n"/>
      <c r="B456" s="19" t="n"/>
      <c r="C456" s="18">
        <f>IF(B456="","",IFERROR(INDEX(Jugadores!$C$2:$C$501,MATCH(B456,Jugadores!$A$2:$A$501,0)),"⚠ ID no existe"))</f>
        <v/>
      </c>
      <c r="D456" s="19" t="n"/>
      <c r="E456" s="19" t="n"/>
      <c r="F456" s="16">
        <f>IF(OR(B456="",D456=""),"",IFERROR(INDEX('Tabla XP'!$B$2:$B$12,MATCH(D456,'Tabla XP'!$A$2:$A$12,0))*IF(E456="",1,E456),0))</f>
        <v/>
      </c>
      <c r="G456" s="19" t="n"/>
      <c r="H456" s="19" t="n"/>
    </row>
    <row r="457">
      <c r="A457" s="22" t="n"/>
      <c r="B457" s="19" t="n"/>
      <c r="C457" s="18">
        <f>IF(B457="","",IFERROR(INDEX(Jugadores!$C$2:$C$501,MATCH(B457,Jugadores!$A$2:$A$501,0)),"⚠ ID no existe"))</f>
        <v/>
      </c>
      <c r="D457" s="19" t="n"/>
      <c r="E457" s="19" t="n"/>
      <c r="F457" s="16">
        <f>IF(OR(B457="",D457=""),"",IFERROR(INDEX('Tabla XP'!$B$2:$B$12,MATCH(D457,'Tabla XP'!$A$2:$A$12,0))*IF(E457="",1,E457),0))</f>
        <v/>
      </c>
      <c r="G457" s="19" t="n"/>
      <c r="H457" s="19" t="n"/>
    </row>
    <row r="458">
      <c r="A458" s="22" t="n"/>
      <c r="B458" s="19" t="n"/>
      <c r="C458" s="18">
        <f>IF(B458="","",IFERROR(INDEX(Jugadores!$C$2:$C$501,MATCH(B458,Jugadores!$A$2:$A$501,0)),"⚠ ID no existe"))</f>
        <v/>
      </c>
      <c r="D458" s="19" t="n"/>
      <c r="E458" s="19" t="n"/>
      <c r="F458" s="16">
        <f>IF(OR(B458="",D458=""),"",IFERROR(INDEX('Tabla XP'!$B$2:$B$12,MATCH(D458,'Tabla XP'!$A$2:$A$12,0))*IF(E458="",1,E458),0))</f>
        <v/>
      </c>
      <c r="G458" s="19" t="n"/>
      <c r="H458" s="19" t="n"/>
    </row>
    <row r="459">
      <c r="A459" s="22" t="n"/>
      <c r="B459" s="19" t="n"/>
      <c r="C459" s="18">
        <f>IF(B459="","",IFERROR(INDEX(Jugadores!$C$2:$C$501,MATCH(B459,Jugadores!$A$2:$A$501,0)),"⚠ ID no existe"))</f>
        <v/>
      </c>
      <c r="D459" s="19" t="n"/>
      <c r="E459" s="19" t="n"/>
      <c r="F459" s="16">
        <f>IF(OR(B459="",D459=""),"",IFERROR(INDEX('Tabla XP'!$B$2:$B$12,MATCH(D459,'Tabla XP'!$A$2:$A$12,0))*IF(E459="",1,E459),0))</f>
        <v/>
      </c>
      <c r="G459" s="19" t="n"/>
      <c r="H459" s="19" t="n"/>
    </row>
    <row r="460">
      <c r="A460" s="22" t="n"/>
      <c r="B460" s="19" t="n"/>
      <c r="C460" s="18">
        <f>IF(B460="","",IFERROR(INDEX(Jugadores!$C$2:$C$501,MATCH(B460,Jugadores!$A$2:$A$501,0)),"⚠ ID no existe"))</f>
        <v/>
      </c>
      <c r="D460" s="19" t="n"/>
      <c r="E460" s="19" t="n"/>
      <c r="F460" s="16">
        <f>IF(OR(B460="",D460=""),"",IFERROR(INDEX('Tabla XP'!$B$2:$B$12,MATCH(D460,'Tabla XP'!$A$2:$A$12,0))*IF(E460="",1,E460),0))</f>
        <v/>
      </c>
      <c r="G460" s="19" t="n"/>
      <c r="H460" s="19" t="n"/>
    </row>
    <row r="461">
      <c r="A461" s="22" t="n"/>
      <c r="B461" s="19" t="n"/>
      <c r="C461" s="18">
        <f>IF(B461="","",IFERROR(INDEX(Jugadores!$C$2:$C$501,MATCH(B461,Jugadores!$A$2:$A$501,0)),"⚠ ID no existe"))</f>
        <v/>
      </c>
      <c r="D461" s="19" t="n"/>
      <c r="E461" s="19" t="n"/>
      <c r="F461" s="16">
        <f>IF(OR(B461="",D461=""),"",IFERROR(INDEX('Tabla XP'!$B$2:$B$12,MATCH(D461,'Tabla XP'!$A$2:$A$12,0))*IF(E461="",1,E461),0))</f>
        <v/>
      </c>
      <c r="G461" s="19" t="n"/>
      <c r="H461" s="19" t="n"/>
    </row>
    <row r="462">
      <c r="A462" s="22" t="n"/>
      <c r="B462" s="19" t="n"/>
      <c r="C462" s="18">
        <f>IF(B462="","",IFERROR(INDEX(Jugadores!$C$2:$C$501,MATCH(B462,Jugadores!$A$2:$A$501,0)),"⚠ ID no existe"))</f>
        <v/>
      </c>
      <c r="D462" s="19" t="n"/>
      <c r="E462" s="19" t="n"/>
      <c r="F462" s="16">
        <f>IF(OR(B462="",D462=""),"",IFERROR(INDEX('Tabla XP'!$B$2:$B$12,MATCH(D462,'Tabla XP'!$A$2:$A$12,0))*IF(E462="",1,E462),0))</f>
        <v/>
      </c>
      <c r="G462" s="19" t="n"/>
      <c r="H462" s="19" t="n"/>
    </row>
    <row r="463">
      <c r="A463" s="22" t="n"/>
      <c r="B463" s="19" t="n"/>
      <c r="C463" s="18">
        <f>IF(B463="","",IFERROR(INDEX(Jugadores!$C$2:$C$501,MATCH(B463,Jugadores!$A$2:$A$501,0)),"⚠ ID no existe"))</f>
        <v/>
      </c>
      <c r="D463" s="19" t="n"/>
      <c r="E463" s="19" t="n"/>
      <c r="F463" s="16">
        <f>IF(OR(B463="",D463=""),"",IFERROR(INDEX('Tabla XP'!$B$2:$B$12,MATCH(D463,'Tabla XP'!$A$2:$A$12,0))*IF(E463="",1,E463),0))</f>
        <v/>
      </c>
      <c r="G463" s="19" t="n"/>
      <c r="H463" s="19" t="n"/>
    </row>
    <row r="464">
      <c r="A464" s="22" t="n"/>
      <c r="B464" s="19" t="n"/>
      <c r="C464" s="18">
        <f>IF(B464="","",IFERROR(INDEX(Jugadores!$C$2:$C$501,MATCH(B464,Jugadores!$A$2:$A$501,0)),"⚠ ID no existe"))</f>
        <v/>
      </c>
      <c r="D464" s="19" t="n"/>
      <c r="E464" s="19" t="n"/>
      <c r="F464" s="16">
        <f>IF(OR(B464="",D464=""),"",IFERROR(INDEX('Tabla XP'!$B$2:$B$12,MATCH(D464,'Tabla XP'!$A$2:$A$12,0))*IF(E464="",1,E464),0))</f>
        <v/>
      </c>
      <c r="G464" s="19" t="n"/>
      <c r="H464" s="19" t="n"/>
    </row>
    <row r="465">
      <c r="A465" s="22" t="n"/>
      <c r="B465" s="19" t="n"/>
      <c r="C465" s="18">
        <f>IF(B465="","",IFERROR(INDEX(Jugadores!$C$2:$C$501,MATCH(B465,Jugadores!$A$2:$A$501,0)),"⚠ ID no existe"))</f>
        <v/>
      </c>
      <c r="D465" s="19" t="n"/>
      <c r="E465" s="19" t="n"/>
      <c r="F465" s="16">
        <f>IF(OR(B465="",D465=""),"",IFERROR(INDEX('Tabla XP'!$B$2:$B$12,MATCH(D465,'Tabla XP'!$A$2:$A$12,0))*IF(E465="",1,E465),0))</f>
        <v/>
      </c>
      <c r="G465" s="19" t="n"/>
      <c r="H465" s="19" t="n"/>
    </row>
    <row r="466">
      <c r="A466" s="22" t="n"/>
      <c r="B466" s="19" t="n"/>
      <c r="C466" s="18">
        <f>IF(B466="","",IFERROR(INDEX(Jugadores!$C$2:$C$501,MATCH(B466,Jugadores!$A$2:$A$501,0)),"⚠ ID no existe"))</f>
        <v/>
      </c>
      <c r="D466" s="19" t="n"/>
      <c r="E466" s="19" t="n"/>
      <c r="F466" s="16">
        <f>IF(OR(B466="",D466=""),"",IFERROR(INDEX('Tabla XP'!$B$2:$B$12,MATCH(D466,'Tabla XP'!$A$2:$A$12,0))*IF(E466="",1,E466),0))</f>
        <v/>
      </c>
      <c r="G466" s="19" t="n"/>
      <c r="H466" s="19" t="n"/>
    </row>
    <row r="467">
      <c r="A467" s="22" t="n"/>
      <c r="B467" s="19" t="n"/>
      <c r="C467" s="18">
        <f>IF(B467="","",IFERROR(INDEX(Jugadores!$C$2:$C$501,MATCH(B467,Jugadores!$A$2:$A$501,0)),"⚠ ID no existe"))</f>
        <v/>
      </c>
      <c r="D467" s="19" t="n"/>
      <c r="E467" s="19" t="n"/>
      <c r="F467" s="16">
        <f>IF(OR(B467="",D467=""),"",IFERROR(INDEX('Tabla XP'!$B$2:$B$12,MATCH(D467,'Tabla XP'!$A$2:$A$12,0))*IF(E467="",1,E467),0))</f>
        <v/>
      </c>
      <c r="G467" s="19" t="n"/>
      <c r="H467" s="19" t="n"/>
    </row>
    <row r="468">
      <c r="A468" s="22" t="n"/>
      <c r="B468" s="19" t="n"/>
      <c r="C468" s="18">
        <f>IF(B468="","",IFERROR(INDEX(Jugadores!$C$2:$C$501,MATCH(B468,Jugadores!$A$2:$A$501,0)),"⚠ ID no existe"))</f>
        <v/>
      </c>
      <c r="D468" s="19" t="n"/>
      <c r="E468" s="19" t="n"/>
      <c r="F468" s="16">
        <f>IF(OR(B468="",D468=""),"",IFERROR(INDEX('Tabla XP'!$B$2:$B$12,MATCH(D468,'Tabla XP'!$A$2:$A$12,0))*IF(E468="",1,E468),0))</f>
        <v/>
      </c>
      <c r="G468" s="19" t="n"/>
      <c r="H468" s="19" t="n"/>
    </row>
    <row r="469">
      <c r="A469" s="22" t="n"/>
      <c r="B469" s="19" t="n"/>
      <c r="C469" s="18">
        <f>IF(B469="","",IFERROR(INDEX(Jugadores!$C$2:$C$501,MATCH(B469,Jugadores!$A$2:$A$501,0)),"⚠ ID no existe"))</f>
        <v/>
      </c>
      <c r="D469" s="19" t="n"/>
      <c r="E469" s="19" t="n"/>
      <c r="F469" s="16">
        <f>IF(OR(B469="",D469=""),"",IFERROR(INDEX('Tabla XP'!$B$2:$B$12,MATCH(D469,'Tabla XP'!$A$2:$A$12,0))*IF(E469="",1,E469),0))</f>
        <v/>
      </c>
      <c r="G469" s="19" t="n"/>
      <c r="H469" s="19" t="n"/>
    </row>
    <row r="470">
      <c r="A470" s="22" t="n"/>
      <c r="B470" s="19" t="n"/>
      <c r="C470" s="18">
        <f>IF(B470="","",IFERROR(INDEX(Jugadores!$C$2:$C$501,MATCH(B470,Jugadores!$A$2:$A$501,0)),"⚠ ID no existe"))</f>
        <v/>
      </c>
      <c r="D470" s="19" t="n"/>
      <c r="E470" s="19" t="n"/>
      <c r="F470" s="16">
        <f>IF(OR(B470="",D470=""),"",IFERROR(INDEX('Tabla XP'!$B$2:$B$12,MATCH(D470,'Tabla XP'!$A$2:$A$12,0))*IF(E470="",1,E470),0))</f>
        <v/>
      </c>
      <c r="G470" s="19" t="n"/>
      <c r="H470" s="19" t="n"/>
    </row>
    <row r="471">
      <c r="A471" s="22" t="n"/>
      <c r="B471" s="19" t="n"/>
      <c r="C471" s="18">
        <f>IF(B471="","",IFERROR(INDEX(Jugadores!$C$2:$C$501,MATCH(B471,Jugadores!$A$2:$A$501,0)),"⚠ ID no existe"))</f>
        <v/>
      </c>
      <c r="D471" s="19" t="n"/>
      <c r="E471" s="19" t="n"/>
      <c r="F471" s="16">
        <f>IF(OR(B471="",D471=""),"",IFERROR(INDEX('Tabla XP'!$B$2:$B$12,MATCH(D471,'Tabla XP'!$A$2:$A$12,0))*IF(E471="",1,E471),0))</f>
        <v/>
      </c>
      <c r="G471" s="19" t="n"/>
      <c r="H471" s="19" t="n"/>
    </row>
    <row r="472">
      <c r="A472" s="22" t="n"/>
      <c r="B472" s="19" t="n"/>
      <c r="C472" s="18">
        <f>IF(B472="","",IFERROR(INDEX(Jugadores!$C$2:$C$501,MATCH(B472,Jugadores!$A$2:$A$501,0)),"⚠ ID no existe"))</f>
        <v/>
      </c>
      <c r="D472" s="19" t="n"/>
      <c r="E472" s="19" t="n"/>
      <c r="F472" s="16">
        <f>IF(OR(B472="",D472=""),"",IFERROR(INDEX('Tabla XP'!$B$2:$B$12,MATCH(D472,'Tabla XP'!$A$2:$A$12,0))*IF(E472="",1,E472),0))</f>
        <v/>
      </c>
      <c r="G472" s="19" t="n"/>
      <c r="H472" s="19" t="n"/>
    </row>
    <row r="473">
      <c r="A473" s="22" t="n"/>
      <c r="B473" s="19" t="n"/>
      <c r="C473" s="18">
        <f>IF(B473="","",IFERROR(INDEX(Jugadores!$C$2:$C$501,MATCH(B473,Jugadores!$A$2:$A$501,0)),"⚠ ID no existe"))</f>
        <v/>
      </c>
      <c r="D473" s="19" t="n"/>
      <c r="E473" s="19" t="n"/>
      <c r="F473" s="16">
        <f>IF(OR(B473="",D473=""),"",IFERROR(INDEX('Tabla XP'!$B$2:$B$12,MATCH(D473,'Tabla XP'!$A$2:$A$12,0))*IF(E473="",1,E473),0))</f>
        <v/>
      </c>
      <c r="G473" s="19" t="n"/>
      <c r="H473" s="19" t="n"/>
    </row>
    <row r="474">
      <c r="A474" s="22" t="n"/>
      <c r="B474" s="19" t="n"/>
      <c r="C474" s="18">
        <f>IF(B474="","",IFERROR(INDEX(Jugadores!$C$2:$C$501,MATCH(B474,Jugadores!$A$2:$A$501,0)),"⚠ ID no existe"))</f>
        <v/>
      </c>
      <c r="D474" s="19" t="n"/>
      <c r="E474" s="19" t="n"/>
      <c r="F474" s="16">
        <f>IF(OR(B474="",D474=""),"",IFERROR(INDEX('Tabla XP'!$B$2:$B$12,MATCH(D474,'Tabla XP'!$A$2:$A$12,0))*IF(E474="",1,E474),0))</f>
        <v/>
      </c>
      <c r="G474" s="19" t="n"/>
      <c r="H474" s="19" t="n"/>
    </row>
    <row r="475">
      <c r="A475" s="22" t="n"/>
      <c r="B475" s="19" t="n"/>
      <c r="C475" s="18">
        <f>IF(B475="","",IFERROR(INDEX(Jugadores!$C$2:$C$501,MATCH(B475,Jugadores!$A$2:$A$501,0)),"⚠ ID no existe"))</f>
        <v/>
      </c>
      <c r="D475" s="19" t="n"/>
      <c r="E475" s="19" t="n"/>
      <c r="F475" s="16">
        <f>IF(OR(B475="",D475=""),"",IFERROR(INDEX('Tabla XP'!$B$2:$B$12,MATCH(D475,'Tabla XP'!$A$2:$A$12,0))*IF(E475="",1,E475),0))</f>
        <v/>
      </c>
      <c r="G475" s="19" t="n"/>
      <c r="H475" s="19" t="n"/>
    </row>
    <row r="476">
      <c r="A476" s="22" t="n"/>
      <c r="B476" s="19" t="n"/>
      <c r="C476" s="18">
        <f>IF(B476="","",IFERROR(INDEX(Jugadores!$C$2:$C$501,MATCH(B476,Jugadores!$A$2:$A$501,0)),"⚠ ID no existe"))</f>
        <v/>
      </c>
      <c r="D476" s="19" t="n"/>
      <c r="E476" s="19" t="n"/>
      <c r="F476" s="16">
        <f>IF(OR(B476="",D476=""),"",IFERROR(INDEX('Tabla XP'!$B$2:$B$12,MATCH(D476,'Tabla XP'!$A$2:$A$12,0))*IF(E476="",1,E476),0))</f>
        <v/>
      </c>
      <c r="G476" s="19" t="n"/>
      <c r="H476" s="19" t="n"/>
    </row>
    <row r="477">
      <c r="A477" s="22" t="n"/>
      <c r="B477" s="19" t="n"/>
      <c r="C477" s="18">
        <f>IF(B477="","",IFERROR(INDEX(Jugadores!$C$2:$C$501,MATCH(B477,Jugadores!$A$2:$A$501,0)),"⚠ ID no existe"))</f>
        <v/>
      </c>
      <c r="D477" s="19" t="n"/>
      <c r="E477" s="19" t="n"/>
      <c r="F477" s="16">
        <f>IF(OR(B477="",D477=""),"",IFERROR(INDEX('Tabla XP'!$B$2:$B$12,MATCH(D477,'Tabla XP'!$A$2:$A$12,0))*IF(E477="",1,E477),0))</f>
        <v/>
      </c>
      <c r="G477" s="19" t="n"/>
      <c r="H477" s="19" t="n"/>
    </row>
    <row r="478">
      <c r="A478" s="22" t="n"/>
      <c r="B478" s="19" t="n"/>
      <c r="C478" s="18">
        <f>IF(B478="","",IFERROR(INDEX(Jugadores!$C$2:$C$501,MATCH(B478,Jugadores!$A$2:$A$501,0)),"⚠ ID no existe"))</f>
        <v/>
      </c>
      <c r="D478" s="19" t="n"/>
      <c r="E478" s="19" t="n"/>
      <c r="F478" s="16">
        <f>IF(OR(B478="",D478=""),"",IFERROR(INDEX('Tabla XP'!$B$2:$B$12,MATCH(D478,'Tabla XP'!$A$2:$A$12,0))*IF(E478="",1,E478),0))</f>
        <v/>
      </c>
      <c r="G478" s="19" t="n"/>
      <c r="H478" s="19" t="n"/>
    </row>
    <row r="479">
      <c r="A479" s="22" t="n"/>
      <c r="B479" s="19" t="n"/>
      <c r="C479" s="18">
        <f>IF(B479="","",IFERROR(INDEX(Jugadores!$C$2:$C$501,MATCH(B479,Jugadores!$A$2:$A$501,0)),"⚠ ID no existe"))</f>
        <v/>
      </c>
      <c r="D479" s="19" t="n"/>
      <c r="E479" s="19" t="n"/>
      <c r="F479" s="16">
        <f>IF(OR(B479="",D479=""),"",IFERROR(INDEX('Tabla XP'!$B$2:$B$12,MATCH(D479,'Tabla XP'!$A$2:$A$12,0))*IF(E479="",1,E479),0))</f>
        <v/>
      </c>
      <c r="G479" s="19" t="n"/>
      <c r="H479" s="19" t="n"/>
    </row>
    <row r="480">
      <c r="A480" s="22" t="n"/>
      <c r="B480" s="19" t="n"/>
      <c r="C480" s="18">
        <f>IF(B480="","",IFERROR(INDEX(Jugadores!$C$2:$C$501,MATCH(B480,Jugadores!$A$2:$A$501,0)),"⚠ ID no existe"))</f>
        <v/>
      </c>
      <c r="D480" s="19" t="n"/>
      <c r="E480" s="19" t="n"/>
      <c r="F480" s="16">
        <f>IF(OR(B480="",D480=""),"",IFERROR(INDEX('Tabla XP'!$B$2:$B$12,MATCH(D480,'Tabla XP'!$A$2:$A$12,0))*IF(E480="",1,E480),0))</f>
        <v/>
      </c>
      <c r="G480" s="19" t="n"/>
      <c r="H480" s="19" t="n"/>
    </row>
    <row r="481">
      <c r="A481" s="22" t="n"/>
      <c r="B481" s="19" t="n"/>
      <c r="C481" s="18">
        <f>IF(B481="","",IFERROR(INDEX(Jugadores!$C$2:$C$501,MATCH(B481,Jugadores!$A$2:$A$501,0)),"⚠ ID no existe"))</f>
        <v/>
      </c>
      <c r="D481" s="19" t="n"/>
      <c r="E481" s="19" t="n"/>
      <c r="F481" s="16">
        <f>IF(OR(B481="",D481=""),"",IFERROR(INDEX('Tabla XP'!$B$2:$B$12,MATCH(D481,'Tabla XP'!$A$2:$A$12,0))*IF(E481="",1,E481),0))</f>
        <v/>
      </c>
      <c r="G481" s="19" t="n"/>
      <c r="H481" s="19" t="n"/>
    </row>
    <row r="482">
      <c r="A482" s="22" t="n"/>
      <c r="B482" s="19" t="n"/>
      <c r="C482" s="18">
        <f>IF(B482="","",IFERROR(INDEX(Jugadores!$C$2:$C$501,MATCH(B482,Jugadores!$A$2:$A$501,0)),"⚠ ID no existe"))</f>
        <v/>
      </c>
      <c r="D482" s="19" t="n"/>
      <c r="E482" s="19" t="n"/>
      <c r="F482" s="16">
        <f>IF(OR(B482="",D482=""),"",IFERROR(INDEX('Tabla XP'!$B$2:$B$12,MATCH(D482,'Tabla XP'!$A$2:$A$12,0))*IF(E482="",1,E482),0))</f>
        <v/>
      </c>
      <c r="G482" s="19" t="n"/>
      <c r="H482" s="19" t="n"/>
    </row>
    <row r="483">
      <c r="A483" s="22" t="n"/>
      <c r="B483" s="19" t="n"/>
      <c r="C483" s="18">
        <f>IF(B483="","",IFERROR(INDEX(Jugadores!$C$2:$C$501,MATCH(B483,Jugadores!$A$2:$A$501,0)),"⚠ ID no existe"))</f>
        <v/>
      </c>
      <c r="D483" s="19" t="n"/>
      <c r="E483" s="19" t="n"/>
      <c r="F483" s="16">
        <f>IF(OR(B483="",D483=""),"",IFERROR(INDEX('Tabla XP'!$B$2:$B$12,MATCH(D483,'Tabla XP'!$A$2:$A$12,0))*IF(E483="",1,E483),0))</f>
        <v/>
      </c>
      <c r="G483" s="19" t="n"/>
      <c r="H483" s="19" t="n"/>
    </row>
    <row r="484">
      <c r="A484" s="22" t="n"/>
      <c r="B484" s="19" t="n"/>
      <c r="C484" s="18">
        <f>IF(B484="","",IFERROR(INDEX(Jugadores!$C$2:$C$501,MATCH(B484,Jugadores!$A$2:$A$501,0)),"⚠ ID no existe"))</f>
        <v/>
      </c>
      <c r="D484" s="19" t="n"/>
      <c r="E484" s="19" t="n"/>
      <c r="F484" s="16">
        <f>IF(OR(B484="",D484=""),"",IFERROR(INDEX('Tabla XP'!$B$2:$B$12,MATCH(D484,'Tabla XP'!$A$2:$A$12,0))*IF(E484="",1,E484),0))</f>
        <v/>
      </c>
      <c r="G484" s="19" t="n"/>
      <c r="H484" s="19" t="n"/>
    </row>
    <row r="485">
      <c r="A485" s="22" t="n"/>
      <c r="B485" s="19" t="n"/>
      <c r="C485" s="18">
        <f>IF(B485="","",IFERROR(INDEX(Jugadores!$C$2:$C$501,MATCH(B485,Jugadores!$A$2:$A$501,0)),"⚠ ID no existe"))</f>
        <v/>
      </c>
      <c r="D485" s="19" t="n"/>
      <c r="E485" s="19" t="n"/>
      <c r="F485" s="16">
        <f>IF(OR(B485="",D485=""),"",IFERROR(INDEX('Tabla XP'!$B$2:$B$12,MATCH(D485,'Tabla XP'!$A$2:$A$12,0))*IF(E485="",1,E485),0))</f>
        <v/>
      </c>
      <c r="G485" s="19" t="n"/>
      <c r="H485" s="19" t="n"/>
    </row>
    <row r="486">
      <c r="A486" s="22" t="n"/>
      <c r="B486" s="19" t="n"/>
      <c r="C486" s="18">
        <f>IF(B486="","",IFERROR(INDEX(Jugadores!$C$2:$C$501,MATCH(B486,Jugadores!$A$2:$A$501,0)),"⚠ ID no existe"))</f>
        <v/>
      </c>
      <c r="D486" s="19" t="n"/>
      <c r="E486" s="19" t="n"/>
      <c r="F486" s="16">
        <f>IF(OR(B486="",D486=""),"",IFERROR(INDEX('Tabla XP'!$B$2:$B$12,MATCH(D486,'Tabla XP'!$A$2:$A$12,0))*IF(E486="",1,E486),0))</f>
        <v/>
      </c>
      <c r="G486" s="19" t="n"/>
      <c r="H486" s="19" t="n"/>
    </row>
    <row r="487">
      <c r="A487" s="22" t="n"/>
      <c r="B487" s="19" t="n"/>
      <c r="C487" s="18">
        <f>IF(B487="","",IFERROR(INDEX(Jugadores!$C$2:$C$501,MATCH(B487,Jugadores!$A$2:$A$501,0)),"⚠ ID no existe"))</f>
        <v/>
      </c>
      <c r="D487" s="19" t="n"/>
      <c r="E487" s="19" t="n"/>
      <c r="F487" s="16">
        <f>IF(OR(B487="",D487=""),"",IFERROR(INDEX('Tabla XP'!$B$2:$B$12,MATCH(D487,'Tabla XP'!$A$2:$A$12,0))*IF(E487="",1,E487),0))</f>
        <v/>
      </c>
      <c r="G487" s="19" t="n"/>
      <c r="H487" s="19" t="n"/>
    </row>
    <row r="488">
      <c r="A488" s="22" t="n"/>
      <c r="B488" s="19" t="n"/>
      <c r="C488" s="18">
        <f>IF(B488="","",IFERROR(INDEX(Jugadores!$C$2:$C$501,MATCH(B488,Jugadores!$A$2:$A$501,0)),"⚠ ID no existe"))</f>
        <v/>
      </c>
      <c r="D488" s="19" t="n"/>
      <c r="E488" s="19" t="n"/>
      <c r="F488" s="16">
        <f>IF(OR(B488="",D488=""),"",IFERROR(INDEX('Tabla XP'!$B$2:$B$12,MATCH(D488,'Tabla XP'!$A$2:$A$12,0))*IF(E488="",1,E488),0))</f>
        <v/>
      </c>
      <c r="G488" s="19" t="n"/>
      <c r="H488" s="19" t="n"/>
    </row>
    <row r="489">
      <c r="A489" s="22" t="n"/>
      <c r="B489" s="19" t="n"/>
      <c r="C489" s="18">
        <f>IF(B489="","",IFERROR(INDEX(Jugadores!$C$2:$C$501,MATCH(B489,Jugadores!$A$2:$A$501,0)),"⚠ ID no existe"))</f>
        <v/>
      </c>
      <c r="D489" s="19" t="n"/>
      <c r="E489" s="19" t="n"/>
      <c r="F489" s="16">
        <f>IF(OR(B489="",D489=""),"",IFERROR(INDEX('Tabla XP'!$B$2:$B$12,MATCH(D489,'Tabla XP'!$A$2:$A$12,0))*IF(E489="",1,E489),0))</f>
        <v/>
      </c>
      <c r="G489" s="19" t="n"/>
      <c r="H489" s="19" t="n"/>
    </row>
    <row r="490">
      <c r="A490" s="22" t="n"/>
      <c r="B490" s="19" t="n"/>
      <c r="C490" s="18">
        <f>IF(B490="","",IFERROR(INDEX(Jugadores!$C$2:$C$501,MATCH(B490,Jugadores!$A$2:$A$501,0)),"⚠ ID no existe"))</f>
        <v/>
      </c>
      <c r="D490" s="19" t="n"/>
      <c r="E490" s="19" t="n"/>
      <c r="F490" s="16">
        <f>IF(OR(B490="",D490=""),"",IFERROR(INDEX('Tabla XP'!$B$2:$B$12,MATCH(D490,'Tabla XP'!$A$2:$A$12,0))*IF(E490="",1,E490),0))</f>
        <v/>
      </c>
      <c r="G490" s="19" t="n"/>
      <c r="H490" s="19" t="n"/>
    </row>
    <row r="491">
      <c r="A491" s="22" t="n"/>
      <c r="B491" s="19" t="n"/>
      <c r="C491" s="18">
        <f>IF(B491="","",IFERROR(INDEX(Jugadores!$C$2:$C$501,MATCH(B491,Jugadores!$A$2:$A$501,0)),"⚠ ID no existe"))</f>
        <v/>
      </c>
      <c r="D491" s="19" t="n"/>
      <c r="E491" s="19" t="n"/>
      <c r="F491" s="16">
        <f>IF(OR(B491="",D491=""),"",IFERROR(INDEX('Tabla XP'!$B$2:$B$12,MATCH(D491,'Tabla XP'!$A$2:$A$12,0))*IF(E491="",1,E491),0))</f>
        <v/>
      </c>
      <c r="G491" s="19" t="n"/>
      <c r="H491" s="19" t="n"/>
    </row>
    <row r="492">
      <c r="A492" s="22" t="n"/>
      <c r="B492" s="19" t="n"/>
      <c r="C492" s="18">
        <f>IF(B492="","",IFERROR(INDEX(Jugadores!$C$2:$C$501,MATCH(B492,Jugadores!$A$2:$A$501,0)),"⚠ ID no existe"))</f>
        <v/>
      </c>
      <c r="D492" s="19" t="n"/>
      <c r="E492" s="19" t="n"/>
      <c r="F492" s="16">
        <f>IF(OR(B492="",D492=""),"",IFERROR(INDEX('Tabla XP'!$B$2:$B$12,MATCH(D492,'Tabla XP'!$A$2:$A$12,0))*IF(E492="",1,E492),0))</f>
        <v/>
      </c>
      <c r="G492" s="19" t="n"/>
      <c r="H492" s="19" t="n"/>
    </row>
    <row r="493">
      <c r="A493" s="22" t="n"/>
      <c r="B493" s="19" t="n"/>
      <c r="C493" s="18">
        <f>IF(B493="","",IFERROR(INDEX(Jugadores!$C$2:$C$501,MATCH(B493,Jugadores!$A$2:$A$501,0)),"⚠ ID no existe"))</f>
        <v/>
      </c>
      <c r="D493" s="19" t="n"/>
      <c r="E493" s="19" t="n"/>
      <c r="F493" s="16">
        <f>IF(OR(B493="",D493=""),"",IFERROR(INDEX('Tabla XP'!$B$2:$B$12,MATCH(D493,'Tabla XP'!$A$2:$A$12,0))*IF(E493="",1,E493),0))</f>
        <v/>
      </c>
      <c r="G493" s="19" t="n"/>
      <c r="H493" s="19" t="n"/>
    </row>
    <row r="494">
      <c r="A494" s="22" t="n"/>
      <c r="B494" s="19" t="n"/>
      <c r="C494" s="18">
        <f>IF(B494="","",IFERROR(INDEX(Jugadores!$C$2:$C$501,MATCH(B494,Jugadores!$A$2:$A$501,0)),"⚠ ID no existe"))</f>
        <v/>
      </c>
      <c r="D494" s="19" t="n"/>
      <c r="E494" s="19" t="n"/>
      <c r="F494" s="16">
        <f>IF(OR(B494="",D494=""),"",IFERROR(INDEX('Tabla XP'!$B$2:$B$12,MATCH(D494,'Tabla XP'!$A$2:$A$12,0))*IF(E494="",1,E494),0))</f>
        <v/>
      </c>
      <c r="G494" s="19" t="n"/>
      <c r="H494" s="19" t="n"/>
    </row>
    <row r="495">
      <c r="A495" s="22" t="n"/>
      <c r="B495" s="19" t="n"/>
      <c r="C495" s="18">
        <f>IF(B495="","",IFERROR(INDEX(Jugadores!$C$2:$C$501,MATCH(B495,Jugadores!$A$2:$A$501,0)),"⚠ ID no existe"))</f>
        <v/>
      </c>
      <c r="D495" s="19" t="n"/>
      <c r="E495" s="19" t="n"/>
      <c r="F495" s="16">
        <f>IF(OR(B495="",D495=""),"",IFERROR(INDEX('Tabla XP'!$B$2:$B$12,MATCH(D495,'Tabla XP'!$A$2:$A$12,0))*IF(E495="",1,E495),0))</f>
        <v/>
      </c>
      <c r="G495" s="19" t="n"/>
      <c r="H495" s="19" t="n"/>
    </row>
    <row r="496">
      <c r="A496" s="22" t="n"/>
      <c r="B496" s="19" t="n"/>
      <c r="C496" s="18">
        <f>IF(B496="","",IFERROR(INDEX(Jugadores!$C$2:$C$501,MATCH(B496,Jugadores!$A$2:$A$501,0)),"⚠ ID no existe"))</f>
        <v/>
      </c>
      <c r="D496" s="19" t="n"/>
      <c r="E496" s="19" t="n"/>
      <c r="F496" s="16">
        <f>IF(OR(B496="",D496=""),"",IFERROR(INDEX('Tabla XP'!$B$2:$B$12,MATCH(D496,'Tabla XP'!$A$2:$A$12,0))*IF(E496="",1,E496),0))</f>
        <v/>
      </c>
      <c r="G496" s="19" t="n"/>
      <c r="H496" s="19" t="n"/>
    </row>
    <row r="497">
      <c r="A497" s="22" t="n"/>
      <c r="B497" s="19" t="n"/>
      <c r="C497" s="18">
        <f>IF(B497="","",IFERROR(INDEX(Jugadores!$C$2:$C$501,MATCH(B497,Jugadores!$A$2:$A$501,0)),"⚠ ID no existe"))</f>
        <v/>
      </c>
      <c r="D497" s="19" t="n"/>
      <c r="E497" s="19" t="n"/>
      <c r="F497" s="16">
        <f>IF(OR(B497="",D497=""),"",IFERROR(INDEX('Tabla XP'!$B$2:$B$12,MATCH(D497,'Tabla XP'!$A$2:$A$12,0))*IF(E497="",1,E497),0))</f>
        <v/>
      </c>
      <c r="G497" s="19" t="n"/>
      <c r="H497" s="19" t="n"/>
    </row>
    <row r="498">
      <c r="A498" s="22" t="n"/>
      <c r="B498" s="19" t="n"/>
      <c r="C498" s="18">
        <f>IF(B498="","",IFERROR(INDEX(Jugadores!$C$2:$C$501,MATCH(B498,Jugadores!$A$2:$A$501,0)),"⚠ ID no existe"))</f>
        <v/>
      </c>
      <c r="D498" s="19" t="n"/>
      <c r="E498" s="19" t="n"/>
      <c r="F498" s="16">
        <f>IF(OR(B498="",D498=""),"",IFERROR(INDEX('Tabla XP'!$B$2:$B$12,MATCH(D498,'Tabla XP'!$A$2:$A$12,0))*IF(E498="",1,E498),0))</f>
        <v/>
      </c>
      <c r="G498" s="19" t="n"/>
      <c r="H498" s="19" t="n"/>
    </row>
    <row r="499">
      <c r="A499" s="22" t="n"/>
      <c r="B499" s="19" t="n"/>
      <c r="C499" s="18">
        <f>IF(B499="","",IFERROR(INDEX(Jugadores!$C$2:$C$501,MATCH(B499,Jugadores!$A$2:$A$501,0)),"⚠ ID no existe"))</f>
        <v/>
      </c>
      <c r="D499" s="19" t="n"/>
      <c r="E499" s="19" t="n"/>
      <c r="F499" s="16">
        <f>IF(OR(B499="",D499=""),"",IFERROR(INDEX('Tabla XP'!$B$2:$B$12,MATCH(D499,'Tabla XP'!$A$2:$A$12,0))*IF(E499="",1,E499),0))</f>
        <v/>
      </c>
      <c r="G499" s="19" t="n"/>
      <c r="H499" s="19" t="n"/>
    </row>
    <row r="500">
      <c r="A500" s="22" t="n"/>
      <c r="B500" s="19" t="n"/>
      <c r="C500" s="18">
        <f>IF(B500="","",IFERROR(INDEX(Jugadores!$C$2:$C$501,MATCH(B500,Jugadores!$A$2:$A$501,0)),"⚠ ID no existe"))</f>
        <v/>
      </c>
      <c r="D500" s="19" t="n"/>
      <c r="E500" s="19" t="n"/>
      <c r="F500" s="16">
        <f>IF(OR(B500="",D500=""),"",IFERROR(INDEX('Tabla XP'!$B$2:$B$12,MATCH(D500,'Tabla XP'!$A$2:$A$12,0))*IF(E500="",1,E500),0))</f>
        <v/>
      </c>
      <c r="G500" s="19" t="n"/>
      <c r="H500" s="19" t="n"/>
    </row>
    <row r="501">
      <c r="A501" s="22" t="n"/>
      <c r="B501" s="19" t="n"/>
      <c r="C501" s="18">
        <f>IF(B501="","",IFERROR(INDEX(Jugadores!$C$2:$C$501,MATCH(B501,Jugadores!$A$2:$A$501,0)),"⚠ ID no existe"))</f>
        <v/>
      </c>
      <c r="D501" s="19" t="n"/>
      <c r="E501" s="19" t="n"/>
      <c r="F501" s="16">
        <f>IF(OR(B501="",D501=""),"",IFERROR(INDEX('Tabla XP'!$B$2:$B$12,MATCH(D501,'Tabla XP'!$A$2:$A$12,0))*IF(E501="",1,E501),0))</f>
        <v/>
      </c>
      <c r="G501" s="19" t="n"/>
      <c r="H501" s="19" t="n"/>
    </row>
    <row r="502">
      <c r="A502" s="22" t="n"/>
      <c r="B502" s="19" t="n"/>
      <c r="C502" s="18">
        <f>IF(B502="","",IFERROR(INDEX(Jugadores!$C$2:$C$501,MATCH(B502,Jugadores!$A$2:$A$501,0)),"⚠ ID no existe"))</f>
        <v/>
      </c>
      <c r="D502" s="19" t="n"/>
      <c r="E502" s="19" t="n"/>
      <c r="F502" s="16">
        <f>IF(OR(B502="",D502=""),"",IFERROR(INDEX('Tabla XP'!$B$2:$B$12,MATCH(D502,'Tabla XP'!$A$2:$A$12,0))*IF(E502="",1,E502),0))</f>
        <v/>
      </c>
      <c r="G502" s="19" t="n"/>
      <c r="H502" s="19" t="n"/>
    </row>
    <row r="503">
      <c r="A503" s="22" t="n"/>
      <c r="B503" s="19" t="n"/>
      <c r="C503" s="18">
        <f>IF(B503="","",IFERROR(INDEX(Jugadores!$C$2:$C$501,MATCH(B503,Jugadores!$A$2:$A$501,0)),"⚠ ID no existe"))</f>
        <v/>
      </c>
      <c r="D503" s="19" t="n"/>
      <c r="E503" s="19" t="n"/>
      <c r="F503" s="16">
        <f>IF(OR(B503="",D503=""),"",IFERROR(INDEX('Tabla XP'!$B$2:$B$12,MATCH(D503,'Tabla XP'!$A$2:$A$12,0))*IF(E503="",1,E503),0))</f>
        <v/>
      </c>
      <c r="G503" s="19" t="n"/>
      <c r="H503" s="19" t="n"/>
    </row>
    <row r="504">
      <c r="A504" s="22" t="n"/>
      <c r="B504" s="19" t="n"/>
      <c r="C504" s="18">
        <f>IF(B504="","",IFERROR(INDEX(Jugadores!$C$2:$C$501,MATCH(B504,Jugadores!$A$2:$A$501,0)),"⚠ ID no existe"))</f>
        <v/>
      </c>
      <c r="D504" s="19" t="n"/>
      <c r="E504" s="19" t="n"/>
      <c r="F504" s="16">
        <f>IF(OR(B504="",D504=""),"",IFERROR(INDEX('Tabla XP'!$B$2:$B$12,MATCH(D504,'Tabla XP'!$A$2:$A$12,0))*IF(E504="",1,E504),0))</f>
        <v/>
      </c>
      <c r="G504" s="19" t="n"/>
      <c r="H504" s="19" t="n"/>
    </row>
    <row r="505">
      <c r="A505" s="22" t="n"/>
      <c r="B505" s="19" t="n"/>
      <c r="C505" s="18">
        <f>IF(B505="","",IFERROR(INDEX(Jugadores!$C$2:$C$501,MATCH(B505,Jugadores!$A$2:$A$501,0)),"⚠ ID no existe"))</f>
        <v/>
      </c>
      <c r="D505" s="19" t="n"/>
      <c r="E505" s="19" t="n"/>
      <c r="F505" s="16">
        <f>IF(OR(B505="",D505=""),"",IFERROR(INDEX('Tabla XP'!$B$2:$B$12,MATCH(D505,'Tabla XP'!$A$2:$A$12,0))*IF(E505="",1,E505),0))</f>
        <v/>
      </c>
      <c r="G505" s="19" t="n"/>
      <c r="H505" s="19" t="n"/>
    </row>
    <row r="506">
      <c r="A506" s="22" t="n"/>
      <c r="B506" s="19" t="n"/>
      <c r="C506" s="18">
        <f>IF(B506="","",IFERROR(INDEX(Jugadores!$C$2:$C$501,MATCH(B506,Jugadores!$A$2:$A$501,0)),"⚠ ID no existe"))</f>
        <v/>
      </c>
      <c r="D506" s="19" t="n"/>
      <c r="E506" s="19" t="n"/>
      <c r="F506" s="16">
        <f>IF(OR(B506="",D506=""),"",IFERROR(INDEX('Tabla XP'!$B$2:$B$12,MATCH(D506,'Tabla XP'!$A$2:$A$12,0))*IF(E506="",1,E506),0))</f>
        <v/>
      </c>
      <c r="G506" s="19" t="n"/>
      <c r="H506" s="19" t="n"/>
    </row>
    <row r="507">
      <c r="A507" s="22" t="n"/>
      <c r="B507" s="19" t="n"/>
      <c r="C507" s="18">
        <f>IF(B507="","",IFERROR(INDEX(Jugadores!$C$2:$C$501,MATCH(B507,Jugadores!$A$2:$A$501,0)),"⚠ ID no existe"))</f>
        <v/>
      </c>
      <c r="D507" s="19" t="n"/>
      <c r="E507" s="19" t="n"/>
      <c r="F507" s="16">
        <f>IF(OR(B507="",D507=""),"",IFERROR(INDEX('Tabla XP'!$B$2:$B$12,MATCH(D507,'Tabla XP'!$A$2:$A$12,0))*IF(E507="",1,E507),0))</f>
        <v/>
      </c>
      <c r="G507" s="19" t="n"/>
      <c r="H507" s="19" t="n"/>
    </row>
    <row r="508">
      <c r="A508" s="22" t="n"/>
      <c r="B508" s="19" t="n"/>
      <c r="C508" s="18">
        <f>IF(B508="","",IFERROR(INDEX(Jugadores!$C$2:$C$501,MATCH(B508,Jugadores!$A$2:$A$501,0)),"⚠ ID no existe"))</f>
        <v/>
      </c>
      <c r="D508" s="19" t="n"/>
      <c r="E508" s="19" t="n"/>
      <c r="F508" s="16">
        <f>IF(OR(B508="",D508=""),"",IFERROR(INDEX('Tabla XP'!$B$2:$B$12,MATCH(D508,'Tabla XP'!$A$2:$A$12,0))*IF(E508="",1,E508),0))</f>
        <v/>
      </c>
      <c r="G508" s="19" t="n"/>
      <c r="H508" s="19" t="n"/>
    </row>
    <row r="509">
      <c r="A509" s="22" t="n"/>
      <c r="B509" s="19" t="n"/>
      <c r="C509" s="18">
        <f>IF(B509="","",IFERROR(INDEX(Jugadores!$C$2:$C$501,MATCH(B509,Jugadores!$A$2:$A$501,0)),"⚠ ID no existe"))</f>
        <v/>
      </c>
      <c r="D509" s="19" t="n"/>
      <c r="E509" s="19" t="n"/>
      <c r="F509" s="16">
        <f>IF(OR(B509="",D509=""),"",IFERROR(INDEX('Tabla XP'!$B$2:$B$12,MATCH(D509,'Tabla XP'!$A$2:$A$12,0))*IF(E509="",1,E509),0))</f>
        <v/>
      </c>
      <c r="G509" s="19" t="n"/>
      <c r="H509" s="19" t="n"/>
    </row>
    <row r="510">
      <c r="A510" s="22" t="n"/>
      <c r="B510" s="19" t="n"/>
      <c r="C510" s="18">
        <f>IF(B510="","",IFERROR(INDEX(Jugadores!$C$2:$C$501,MATCH(B510,Jugadores!$A$2:$A$501,0)),"⚠ ID no existe"))</f>
        <v/>
      </c>
      <c r="D510" s="19" t="n"/>
      <c r="E510" s="19" t="n"/>
      <c r="F510" s="16">
        <f>IF(OR(B510="",D510=""),"",IFERROR(INDEX('Tabla XP'!$B$2:$B$12,MATCH(D510,'Tabla XP'!$A$2:$A$12,0))*IF(E510="",1,E510),0))</f>
        <v/>
      </c>
      <c r="G510" s="19" t="n"/>
      <c r="H510" s="19" t="n"/>
    </row>
    <row r="511">
      <c r="A511" s="22" t="n"/>
      <c r="B511" s="19" t="n"/>
      <c r="C511" s="18">
        <f>IF(B511="","",IFERROR(INDEX(Jugadores!$C$2:$C$501,MATCH(B511,Jugadores!$A$2:$A$501,0)),"⚠ ID no existe"))</f>
        <v/>
      </c>
      <c r="D511" s="19" t="n"/>
      <c r="E511" s="19" t="n"/>
      <c r="F511" s="16">
        <f>IF(OR(B511="",D511=""),"",IFERROR(INDEX('Tabla XP'!$B$2:$B$12,MATCH(D511,'Tabla XP'!$A$2:$A$12,0))*IF(E511="",1,E511),0))</f>
        <v/>
      </c>
      <c r="G511" s="19" t="n"/>
      <c r="H511" s="19" t="n"/>
    </row>
    <row r="512">
      <c r="A512" s="22" t="n"/>
      <c r="B512" s="19" t="n"/>
      <c r="C512" s="18">
        <f>IF(B512="","",IFERROR(INDEX(Jugadores!$C$2:$C$501,MATCH(B512,Jugadores!$A$2:$A$501,0)),"⚠ ID no existe"))</f>
        <v/>
      </c>
      <c r="D512" s="19" t="n"/>
      <c r="E512" s="19" t="n"/>
      <c r="F512" s="16">
        <f>IF(OR(B512="",D512=""),"",IFERROR(INDEX('Tabla XP'!$B$2:$B$12,MATCH(D512,'Tabla XP'!$A$2:$A$12,0))*IF(E512="",1,E512),0))</f>
        <v/>
      </c>
      <c r="G512" s="19" t="n"/>
      <c r="H512" s="19" t="n"/>
    </row>
    <row r="513">
      <c r="A513" s="22" t="n"/>
      <c r="B513" s="19" t="n"/>
      <c r="C513" s="18">
        <f>IF(B513="","",IFERROR(INDEX(Jugadores!$C$2:$C$501,MATCH(B513,Jugadores!$A$2:$A$501,0)),"⚠ ID no existe"))</f>
        <v/>
      </c>
      <c r="D513" s="19" t="n"/>
      <c r="E513" s="19" t="n"/>
      <c r="F513" s="16">
        <f>IF(OR(B513="",D513=""),"",IFERROR(INDEX('Tabla XP'!$B$2:$B$12,MATCH(D513,'Tabla XP'!$A$2:$A$12,0))*IF(E513="",1,E513),0))</f>
        <v/>
      </c>
      <c r="G513" s="19" t="n"/>
      <c r="H513" s="19" t="n"/>
    </row>
    <row r="514">
      <c r="A514" s="22" t="n"/>
      <c r="B514" s="19" t="n"/>
      <c r="C514" s="18">
        <f>IF(B514="","",IFERROR(INDEX(Jugadores!$C$2:$C$501,MATCH(B514,Jugadores!$A$2:$A$501,0)),"⚠ ID no existe"))</f>
        <v/>
      </c>
      <c r="D514" s="19" t="n"/>
      <c r="E514" s="19" t="n"/>
      <c r="F514" s="16">
        <f>IF(OR(B514="",D514=""),"",IFERROR(INDEX('Tabla XP'!$B$2:$B$12,MATCH(D514,'Tabla XP'!$A$2:$A$12,0))*IF(E514="",1,E514),0))</f>
        <v/>
      </c>
      <c r="G514" s="19" t="n"/>
      <c r="H514" s="19" t="n"/>
    </row>
    <row r="515">
      <c r="A515" s="22" t="n"/>
      <c r="B515" s="19" t="n"/>
      <c r="C515" s="18">
        <f>IF(B515="","",IFERROR(INDEX(Jugadores!$C$2:$C$501,MATCH(B515,Jugadores!$A$2:$A$501,0)),"⚠ ID no existe"))</f>
        <v/>
      </c>
      <c r="D515" s="19" t="n"/>
      <c r="E515" s="19" t="n"/>
      <c r="F515" s="16">
        <f>IF(OR(B515="",D515=""),"",IFERROR(INDEX('Tabla XP'!$B$2:$B$12,MATCH(D515,'Tabla XP'!$A$2:$A$12,0))*IF(E515="",1,E515),0))</f>
        <v/>
      </c>
      <c r="G515" s="19" t="n"/>
      <c r="H515" s="19" t="n"/>
    </row>
    <row r="516">
      <c r="A516" s="22" t="n"/>
      <c r="B516" s="19" t="n"/>
      <c r="C516" s="18">
        <f>IF(B516="","",IFERROR(INDEX(Jugadores!$C$2:$C$501,MATCH(B516,Jugadores!$A$2:$A$501,0)),"⚠ ID no existe"))</f>
        <v/>
      </c>
      <c r="D516" s="19" t="n"/>
      <c r="E516" s="19" t="n"/>
      <c r="F516" s="16">
        <f>IF(OR(B516="",D516=""),"",IFERROR(INDEX('Tabla XP'!$B$2:$B$12,MATCH(D516,'Tabla XP'!$A$2:$A$12,0))*IF(E516="",1,E516),0))</f>
        <v/>
      </c>
      <c r="G516" s="19" t="n"/>
      <c r="H516" s="19" t="n"/>
    </row>
    <row r="517">
      <c r="A517" s="22" t="n"/>
      <c r="B517" s="19" t="n"/>
      <c r="C517" s="18">
        <f>IF(B517="","",IFERROR(INDEX(Jugadores!$C$2:$C$501,MATCH(B517,Jugadores!$A$2:$A$501,0)),"⚠ ID no existe"))</f>
        <v/>
      </c>
      <c r="D517" s="19" t="n"/>
      <c r="E517" s="19" t="n"/>
      <c r="F517" s="16">
        <f>IF(OR(B517="",D517=""),"",IFERROR(INDEX('Tabla XP'!$B$2:$B$12,MATCH(D517,'Tabla XP'!$A$2:$A$12,0))*IF(E517="",1,E517),0))</f>
        <v/>
      </c>
      <c r="G517" s="19" t="n"/>
      <c r="H517" s="19" t="n"/>
    </row>
    <row r="518">
      <c r="A518" s="22" t="n"/>
      <c r="B518" s="19" t="n"/>
      <c r="C518" s="18">
        <f>IF(B518="","",IFERROR(INDEX(Jugadores!$C$2:$C$501,MATCH(B518,Jugadores!$A$2:$A$501,0)),"⚠ ID no existe"))</f>
        <v/>
      </c>
      <c r="D518" s="19" t="n"/>
      <c r="E518" s="19" t="n"/>
      <c r="F518" s="16">
        <f>IF(OR(B518="",D518=""),"",IFERROR(INDEX('Tabla XP'!$B$2:$B$12,MATCH(D518,'Tabla XP'!$A$2:$A$12,0))*IF(E518="",1,E518),0))</f>
        <v/>
      </c>
      <c r="G518" s="19" t="n"/>
      <c r="H518" s="19" t="n"/>
    </row>
    <row r="519">
      <c r="A519" s="22" t="n"/>
      <c r="B519" s="19" t="n"/>
      <c r="C519" s="18">
        <f>IF(B519="","",IFERROR(INDEX(Jugadores!$C$2:$C$501,MATCH(B519,Jugadores!$A$2:$A$501,0)),"⚠ ID no existe"))</f>
        <v/>
      </c>
      <c r="D519" s="19" t="n"/>
      <c r="E519" s="19" t="n"/>
      <c r="F519" s="16">
        <f>IF(OR(B519="",D519=""),"",IFERROR(INDEX('Tabla XP'!$B$2:$B$12,MATCH(D519,'Tabla XP'!$A$2:$A$12,0))*IF(E519="",1,E519),0))</f>
        <v/>
      </c>
      <c r="G519" s="19" t="n"/>
      <c r="H519" s="19" t="n"/>
    </row>
    <row r="520">
      <c r="A520" s="22" t="n"/>
      <c r="B520" s="19" t="n"/>
      <c r="C520" s="18">
        <f>IF(B520="","",IFERROR(INDEX(Jugadores!$C$2:$C$501,MATCH(B520,Jugadores!$A$2:$A$501,0)),"⚠ ID no existe"))</f>
        <v/>
      </c>
      <c r="D520" s="19" t="n"/>
      <c r="E520" s="19" t="n"/>
      <c r="F520" s="16">
        <f>IF(OR(B520="",D520=""),"",IFERROR(INDEX('Tabla XP'!$B$2:$B$12,MATCH(D520,'Tabla XP'!$A$2:$A$12,0))*IF(E520="",1,E520),0))</f>
        <v/>
      </c>
      <c r="G520" s="19" t="n"/>
      <c r="H520" s="19" t="n"/>
    </row>
    <row r="521">
      <c r="A521" s="22" t="n"/>
      <c r="B521" s="19" t="n"/>
      <c r="C521" s="18">
        <f>IF(B521="","",IFERROR(INDEX(Jugadores!$C$2:$C$501,MATCH(B521,Jugadores!$A$2:$A$501,0)),"⚠ ID no existe"))</f>
        <v/>
      </c>
      <c r="D521" s="19" t="n"/>
      <c r="E521" s="19" t="n"/>
      <c r="F521" s="16">
        <f>IF(OR(B521="",D521=""),"",IFERROR(INDEX('Tabla XP'!$B$2:$B$12,MATCH(D521,'Tabla XP'!$A$2:$A$12,0))*IF(E521="",1,E521),0))</f>
        <v/>
      </c>
      <c r="G521" s="19" t="n"/>
      <c r="H521" s="19" t="n"/>
    </row>
    <row r="522">
      <c r="A522" s="22" t="n"/>
      <c r="B522" s="19" t="n"/>
      <c r="C522" s="18">
        <f>IF(B522="","",IFERROR(INDEX(Jugadores!$C$2:$C$501,MATCH(B522,Jugadores!$A$2:$A$501,0)),"⚠ ID no existe"))</f>
        <v/>
      </c>
      <c r="D522" s="19" t="n"/>
      <c r="E522" s="19" t="n"/>
      <c r="F522" s="16">
        <f>IF(OR(B522="",D522=""),"",IFERROR(INDEX('Tabla XP'!$B$2:$B$12,MATCH(D522,'Tabla XP'!$A$2:$A$12,0))*IF(E522="",1,E522),0))</f>
        <v/>
      </c>
      <c r="G522" s="19" t="n"/>
      <c r="H522" s="19" t="n"/>
    </row>
    <row r="523">
      <c r="A523" s="22" t="n"/>
      <c r="B523" s="19" t="n"/>
      <c r="C523" s="18">
        <f>IF(B523="","",IFERROR(INDEX(Jugadores!$C$2:$C$501,MATCH(B523,Jugadores!$A$2:$A$501,0)),"⚠ ID no existe"))</f>
        <v/>
      </c>
      <c r="D523" s="19" t="n"/>
      <c r="E523" s="19" t="n"/>
      <c r="F523" s="16">
        <f>IF(OR(B523="",D523=""),"",IFERROR(INDEX('Tabla XP'!$B$2:$B$12,MATCH(D523,'Tabla XP'!$A$2:$A$12,0))*IF(E523="",1,E523),0))</f>
        <v/>
      </c>
      <c r="G523" s="19" t="n"/>
      <c r="H523" s="19" t="n"/>
    </row>
    <row r="524">
      <c r="A524" s="22" t="n"/>
      <c r="B524" s="19" t="n"/>
      <c r="C524" s="18">
        <f>IF(B524="","",IFERROR(INDEX(Jugadores!$C$2:$C$501,MATCH(B524,Jugadores!$A$2:$A$501,0)),"⚠ ID no existe"))</f>
        <v/>
      </c>
      <c r="D524" s="19" t="n"/>
      <c r="E524" s="19" t="n"/>
      <c r="F524" s="16">
        <f>IF(OR(B524="",D524=""),"",IFERROR(INDEX('Tabla XP'!$B$2:$B$12,MATCH(D524,'Tabla XP'!$A$2:$A$12,0))*IF(E524="",1,E524),0))</f>
        <v/>
      </c>
      <c r="G524" s="19" t="n"/>
      <c r="H524" s="19" t="n"/>
    </row>
    <row r="525">
      <c r="A525" s="22" t="n"/>
      <c r="B525" s="19" t="n"/>
      <c r="C525" s="18">
        <f>IF(B525="","",IFERROR(INDEX(Jugadores!$C$2:$C$501,MATCH(B525,Jugadores!$A$2:$A$501,0)),"⚠ ID no existe"))</f>
        <v/>
      </c>
      <c r="D525" s="19" t="n"/>
      <c r="E525" s="19" t="n"/>
      <c r="F525" s="16">
        <f>IF(OR(B525="",D525=""),"",IFERROR(INDEX('Tabla XP'!$B$2:$B$12,MATCH(D525,'Tabla XP'!$A$2:$A$12,0))*IF(E525="",1,E525),0))</f>
        <v/>
      </c>
      <c r="G525" s="19" t="n"/>
      <c r="H525" s="19" t="n"/>
    </row>
    <row r="526">
      <c r="A526" s="22" t="n"/>
      <c r="B526" s="19" t="n"/>
      <c r="C526" s="18">
        <f>IF(B526="","",IFERROR(INDEX(Jugadores!$C$2:$C$501,MATCH(B526,Jugadores!$A$2:$A$501,0)),"⚠ ID no existe"))</f>
        <v/>
      </c>
      <c r="D526" s="19" t="n"/>
      <c r="E526" s="19" t="n"/>
      <c r="F526" s="16">
        <f>IF(OR(B526="",D526=""),"",IFERROR(INDEX('Tabla XP'!$B$2:$B$12,MATCH(D526,'Tabla XP'!$A$2:$A$12,0))*IF(E526="",1,E526),0))</f>
        <v/>
      </c>
      <c r="G526" s="19" t="n"/>
      <c r="H526" s="19" t="n"/>
    </row>
    <row r="527">
      <c r="A527" s="22" t="n"/>
      <c r="B527" s="19" t="n"/>
      <c r="C527" s="18">
        <f>IF(B527="","",IFERROR(INDEX(Jugadores!$C$2:$C$501,MATCH(B527,Jugadores!$A$2:$A$501,0)),"⚠ ID no existe"))</f>
        <v/>
      </c>
      <c r="D527" s="19" t="n"/>
      <c r="E527" s="19" t="n"/>
      <c r="F527" s="16">
        <f>IF(OR(B527="",D527=""),"",IFERROR(INDEX('Tabla XP'!$B$2:$B$12,MATCH(D527,'Tabla XP'!$A$2:$A$12,0))*IF(E527="",1,E527),0))</f>
        <v/>
      </c>
      <c r="G527" s="19" t="n"/>
      <c r="H527" s="19" t="n"/>
    </row>
    <row r="528">
      <c r="A528" s="22" t="n"/>
      <c r="B528" s="19" t="n"/>
      <c r="C528" s="18">
        <f>IF(B528="","",IFERROR(INDEX(Jugadores!$C$2:$C$501,MATCH(B528,Jugadores!$A$2:$A$501,0)),"⚠ ID no existe"))</f>
        <v/>
      </c>
      <c r="D528" s="19" t="n"/>
      <c r="E528" s="19" t="n"/>
      <c r="F528" s="16">
        <f>IF(OR(B528="",D528=""),"",IFERROR(INDEX('Tabla XP'!$B$2:$B$12,MATCH(D528,'Tabla XP'!$A$2:$A$12,0))*IF(E528="",1,E528),0))</f>
        <v/>
      </c>
      <c r="G528" s="19" t="n"/>
      <c r="H528" s="19" t="n"/>
    </row>
    <row r="529">
      <c r="A529" s="22" t="n"/>
      <c r="B529" s="19" t="n"/>
      <c r="C529" s="18">
        <f>IF(B529="","",IFERROR(INDEX(Jugadores!$C$2:$C$501,MATCH(B529,Jugadores!$A$2:$A$501,0)),"⚠ ID no existe"))</f>
        <v/>
      </c>
      <c r="D529" s="19" t="n"/>
      <c r="E529" s="19" t="n"/>
      <c r="F529" s="16">
        <f>IF(OR(B529="",D529=""),"",IFERROR(INDEX('Tabla XP'!$B$2:$B$12,MATCH(D529,'Tabla XP'!$A$2:$A$12,0))*IF(E529="",1,E529),0))</f>
        <v/>
      </c>
      <c r="G529" s="19" t="n"/>
      <c r="H529" s="19" t="n"/>
    </row>
    <row r="530">
      <c r="A530" s="22" t="n"/>
      <c r="B530" s="19" t="n"/>
      <c r="C530" s="18">
        <f>IF(B530="","",IFERROR(INDEX(Jugadores!$C$2:$C$501,MATCH(B530,Jugadores!$A$2:$A$501,0)),"⚠ ID no existe"))</f>
        <v/>
      </c>
      <c r="D530" s="19" t="n"/>
      <c r="E530" s="19" t="n"/>
      <c r="F530" s="16">
        <f>IF(OR(B530="",D530=""),"",IFERROR(INDEX('Tabla XP'!$B$2:$B$12,MATCH(D530,'Tabla XP'!$A$2:$A$12,0))*IF(E530="",1,E530),0))</f>
        <v/>
      </c>
      <c r="G530" s="19" t="n"/>
      <c r="H530" s="19" t="n"/>
    </row>
    <row r="531">
      <c r="A531" s="22" t="n"/>
      <c r="B531" s="19" t="n"/>
      <c r="C531" s="18">
        <f>IF(B531="","",IFERROR(INDEX(Jugadores!$C$2:$C$501,MATCH(B531,Jugadores!$A$2:$A$501,0)),"⚠ ID no existe"))</f>
        <v/>
      </c>
      <c r="D531" s="19" t="n"/>
      <c r="E531" s="19" t="n"/>
      <c r="F531" s="16">
        <f>IF(OR(B531="",D531=""),"",IFERROR(INDEX('Tabla XP'!$B$2:$B$12,MATCH(D531,'Tabla XP'!$A$2:$A$12,0))*IF(E531="",1,E531),0))</f>
        <v/>
      </c>
      <c r="G531" s="19" t="n"/>
      <c r="H531" s="19" t="n"/>
    </row>
    <row r="532">
      <c r="A532" s="22" t="n"/>
      <c r="B532" s="19" t="n"/>
      <c r="C532" s="18">
        <f>IF(B532="","",IFERROR(INDEX(Jugadores!$C$2:$C$501,MATCH(B532,Jugadores!$A$2:$A$501,0)),"⚠ ID no existe"))</f>
        <v/>
      </c>
      <c r="D532" s="19" t="n"/>
      <c r="E532" s="19" t="n"/>
      <c r="F532" s="16">
        <f>IF(OR(B532="",D532=""),"",IFERROR(INDEX('Tabla XP'!$B$2:$B$12,MATCH(D532,'Tabla XP'!$A$2:$A$12,0))*IF(E532="",1,E532),0))</f>
        <v/>
      </c>
      <c r="G532" s="19" t="n"/>
      <c r="H532" s="19" t="n"/>
    </row>
    <row r="533">
      <c r="A533" s="22" t="n"/>
      <c r="B533" s="19" t="n"/>
      <c r="C533" s="18">
        <f>IF(B533="","",IFERROR(INDEX(Jugadores!$C$2:$C$501,MATCH(B533,Jugadores!$A$2:$A$501,0)),"⚠ ID no existe"))</f>
        <v/>
      </c>
      <c r="D533" s="19" t="n"/>
      <c r="E533" s="19" t="n"/>
      <c r="F533" s="16">
        <f>IF(OR(B533="",D533=""),"",IFERROR(INDEX('Tabla XP'!$B$2:$B$12,MATCH(D533,'Tabla XP'!$A$2:$A$12,0))*IF(E533="",1,E533),0))</f>
        <v/>
      </c>
      <c r="G533" s="19" t="n"/>
      <c r="H533" s="19" t="n"/>
    </row>
    <row r="534">
      <c r="A534" s="22" t="n"/>
      <c r="B534" s="19" t="n"/>
      <c r="C534" s="18">
        <f>IF(B534="","",IFERROR(INDEX(Jugadores!$C$2:$C$501,MATCH(B534,Jugadores!$A$2:$A$501,0)),"⚠ ID no existe"))</f>
        <v/>
      </c>
      <c r="D534" s="19" t="n"/>
      <c r="E534" s="19" t="n"/>
      <c r="F534" s="16">
        <f>IF(OR(B534="",D534=""),"",IFERROR(INDEX('Tabla XP'!$B$2:$B$12,MATCH(D534,'Tabla XP'!$A$2:$A$12,0))*IF(E534="",1,E534),0))</f>
        <v/>
      </c>
      <c r="G534" s="19" t="n"/>
      <c r="H534" s="19" t="n"/>
    </row>
    <row r="535">
      <c r="A535" s="22" t="n"/>
      <c r="B535" s="19" t="n"/>
      <c r="C535" s="18">
        <f>IF(B535="","",IFERROR(INDEX(Jugadores!$C$2:$C$501,MATCH(B535,Jugadores!$A$2:$A$501,0)),"⚠ ID no existe"))</f>
        <v/>
      </c>
      <c r="D535" s="19" t="n"/>
      <c r="E535" s="19" t="n"/>
      <c r="F535" s="16">
        <f>IF(OR(B535="",D535=""),"",IFERROR(INDEX('Tabla XP'!$B$2:$B$12,MATCH(D535,'Tabla XP'!$A$2:$A$12,0))*IF(E535="",1,E535),0))</f>
        <v/>
      </c>
      <c r="G535" s="19" t="n"/>
      <c r="H535" s="19" t="n"/>
    </row>
    <row r="536">
      <c r="A536" s="22" t="n"/>
      <c r="B536" s="19" t="n"/>
      <c r="C536" s="18">
        <f>IF(B536="","",IFERROR(INDEX(Jugadores!$C$2:$C$501,MATCH(B536,Jugadores!$A$2:$A$501,0)),"⚠ ID no existe"))</f>
        <v/>
      </c>
      <c r="D536" s="19" t="n"/>
      <c r="E536" s="19" t="n"/>
      <c r="F536" s="16">
        <f>IF(OR(B536="",D536=""),"",IFERROR(INDEX('Tabla XP'!$B$2:$B$12,MATCH(D536,'Tabla XP'!$A$2:$A$12,0))*IF(E536="",1,E536),0))</f>
        <v/>
      </c>
      <c r="G536" s="19" t="n"/>
      <c r="H536" s="19" t="n"/>
    </row>
    <row r="537">
      <c r="A537" s="22" t="n"/>
      <c r="B537" s="19" t="n"/>
      <c r="C537" s="18">
        <f>IF(B537="","",IFERROR(INDEX(Jugadores!$C$2:$C$501,MATCH(B537,Jugadores!$A$2:$A$501,0)),"⚠ ID no existe"))</f>
        <v/>
      </c>
      <c r="D537" s="19" t="n"/>
      <c r="E537" s="19" t="n"/>
      <c r="F537" s="16">
        <f>IF(OR(B537="",D537=""),"",IFERROR(INDEX('Tabla XP'!$B$2:$B$12,MATCH(D537,'Tabla XP'!$A$2:$A$12,0))*IF(E537="",1,E537),0))</f>
        <v/>
      </c>
      <c r="G537" s="19" t="n"/>
      <c r="H537" s="19" t="n"/>
    </row>
    <row r="538">
      <c r="A538" s="22" t="n"/>
      <c r="B538" s="19" t="n"/>
      <c r="C538" s="18">
        <f>IF(B538="","",IFERROR(INDEX(Jugadores!$C$2:$C$501,MATCH(B538,Jugadores!$A$2:$A$501,0)),"⚠ ID no existe"))</f>
        <v/>
      </c>
      <c r="D538" s="19" t="n"/>
      <c r="E538" s="19" t="n"/>
      <c r="F538" s="16">
        <f>IF(OR(B538="",D538=""),"",IFERROR(INDEX('Tabla XP'!$B$2:$B$12,MATCH(D538,'Tabla XP'!$A$2:$A$12,0))*IF(E538="",1,E538),0))</f>
        <v/>
      </c>
      <c r="G538" s="19" t="n"/>
      <c r="H538" s="19" t="n"/>
    </row>
    <row r="539">
      <c r="A539" s="22" t="n"/>
      <c r="B539" s="19" t="n"/>
      <c r="C539" s="18">
        <f>IF(B539="","",IFERROR(INDEX(Jugadores!$C$2:$C$501,MATCH(B539,Jugadores!$A$2:$A$501,0)),"⚠ ID no existe"))</f>
        <v/>
      </c>
      <c r="D539" s="19" t="n"/>
      <c r="E539" s="19" t="n"/>
      <c r="F539" s="16">
        <f>IF(OR(B539="",D539=""),"",IFERROR(INDEX('Tabla XP'!$B$2:$B$12,MATCH(D539,'Tabla XP'!$A$2:$A$12,0))*IF(E539="",1,E539),0))</f>
        <v/>
      </c>
      <c r="G539" s="19" t="n"/>
      <c r="H539" s="19" t="n"/>
    </row>
    <row r="540">
      <c r="A540" s="22" t="n"/>
      <c r="B540" s="19" t="n"/>
      <c r="C540" s="18">
        <f>IF(B540="","",IFERROR(INDEX(Jugadores!$C$2:$C$501,MATCH(B540,Jugadores!$A$2:$A$501,0)),"⚠ ID no existe"))</f>
        <v/>
      </c>
      <c r="D540" s="19" t="n"/>
      <c r="E540" s="19" t="n"/>
      <c r="F540" s="16">
        <f>IF(OR(B540="",D540=""),"",IFERROR(INDEX('Tabla XP'!$B$2:$B$12,MATCH(D540,'Tabla XP'!$A$2:$A$12,0))*IF(E540="",1,E540),0))</f>
        <v/>
      </c>
      <c r="G540" s="19" t="n"/>
      <c r="H540" s="19" t="n"/>
    </row>
    <row r="541">
      <c r="A541" s="22" t="n"/>
      <c r="B541" s="19" t="n"/>
      <c r="C541" s="18">
        <f>IF(B541="","",IFERROR(INDEX(Jugadores!$C$2:$C$501,MATCH(B541,Jugadores!$A$2:$A$501,0)),"⚠ ID no existe"))</f>
        <v/>
      </c>
      <c r="D541" s="19" t="n"/>
      <c r="E541" s="19" t="n"/>
      <c r="F541" s="16">
        <f>IF(OR(B541="",D541=""),"",IFERROR(INDEX('Tabla XP'!$B$2:$B$12,MATCH(D541,'Tabla XP'!$A$2:$A$12,0))*IF(E541="",1,E541),0))</f>
        <v/>
      </c>
      <c r="G541" s="19" t="n"/>
      <c r="H541" s="19" t="n"/>
    </row>
    <row r="542">
      <c r="A542" s="22" t="n"/>
      <c r="B542" s="19" t="n"/>
      <c r="C542" s="18">
        <f>IF(B542="","",IFERROR(INDEX(Jugadores!$C$2:$C$501,MATCH(B542,Jugadores!$A$2:$A$501,0)),"⚠ ID no existe"))</f>
        <v/>
      </c>
      <c r="D542" s="19" t="n"/>
      <c r="E542" s="19" t="n"/>
      <c r="F542" s="16">
        <f>IF(OR(B542="",D542=""),"",IFERROR(INDEX('Tabla XP'!$B$2:$B$12,MATCH(D542,'Tabla XP'!$A$2:$A$12,0))*IF(E542="",1,E542),0))</f>
        <v/>
      </c>
      <c r="G542" s="19" t="n"/>
      <c r="H542" s="19" t="n"/>
    </row>
    <row r="543">
      <c r="A543" s="22" t="n"/>
      <c r="B543" s="19" t="n"/>
      <c r="C543" s="18">
        <f>IF(B543="","",IFERROR(INDEX(Jugadores!$C$2:$C$501,MATCH(B543,Jugadores!$A$2:$A$501,0)),"⚠ ID no existe"))</f>
        <v/>
      </c>
      <c r="D543" s="19" t="n"/>
      <c r="E543" s="19" t="n"/>
      <c r="F543" s="16">
        <f>IF(OR(B543="",D543=""),"",IFERROR(INDEX('Tabla XP'!$B$2:$B$12,MATCH(D543,'Tabla XP'!$A$2:$A$12,0))*IF(E543="",1,E543),0))</f>
        <v/>
      </c>
      <c r="G543" s="19" t="n"/>
      <c r="H543" s="19" t="n"/>
    </row>
    <row r="544">
      <c r="A544" s="22" t="n"/>
      <c r="B544" s="19" t="n"/>
      <c r="C544" s="18">
        <f>IF(B544="","",IFERROR(INDEX(Jugadores!$C$2:$C$501,MATCH(B544,Jugadores!$A$2:$A$501,0)),"⚠ ID no existe"))</f>
        <v/>
      </c>
      <c r="D544" s="19" t="n"/>
      <c r="E544" s="19" t="n"/>
      <c r="F544" s="16">
        <f>IF(OR(B544="",D544=""),"",IFERROR(INDEX('Tabla XP'!$B$2:$B$12,MATCH(D544,'Tabla XP'!$A$2:$A$12,0))*IF(E544="",1,E544),0))</f>
        <v/>
      </c>
      <c r="G544" s="19" t="n"/>
      <c r="H544" s="19" t="n"/>
    </row>
    <row r="545">
      <c r="A545" s="22" t="n"/>
      <c r="B545" s="19" t="n"/>
      <c r="C545" s="18">
        <f>IF(B545="","",IFERROR(INDEX(Jugadores!$C$2:$C$501,MATCH(B545,Jugadores!$A$2:$A$501,0)),"⚠ ID no existe"))</f>
        <v/>
      </c>
      <c r="D545" s="19" t="n"/>
      <c r="E545" s="19" t="n"/>
      <c r="F545" s="16">
        <f>IF(OR(B545="",D545=""),"",IFERROR(INDEX('Tabla XP'!$B$2:$B$12,MATCH(D545,'Tabla XP'!$A$2:$A$12,0))*IF(E545="",1,E545),0))</f>
        <v/>
      </c>
      <c r="G545" s="19" t="n"/>
      <c r="H545" s="19" t="n"/>
    </row>
    <row r="546">
      <c r="A546" s="22" t="n"/>
      <c r="B546" s="19" t="n"/>
      <c r="C546" s="18">
        <f>IF(B546="","",IFERROR(INDEX(Jugadores!$C$2:$C$501,MATCH(B546,Jugadores!$A$2:$A$501,0)),"⚠ ID no existe"))</f>
        <v/>
      </c>
      <c r="D546" s="19" t="n"/>
      <c r="E546" s="19" t="n"/>
      <c r="F546" s="16">
        <f>IF(OR(B546="",D546=""),"",IFERROR(INDEX('Tabla XP'!$B$2:$B$12,MATCH(D546,'Tabla XP'!$A$2:$A$12,0))*IF(E546="",1,E546),0))</f>
        <v/>
      </c>
      <c r="G546" s="19" t="n"/>
      <c r="H546" s="19" t="n"/>
    </row>
    <row r="547">
      <c r="A547" s="22" t="n"/>
      <c r="B547" s="19" t="n"/>
      <c r="C547" s="18">
        <f>IF(B547="","",IFERROR(INDEX(Jugadores!$C$2:$C$501,MATCH(B547,Jugadores!$A$2:$A$501,0)),"⚠ ID no existe"))</f>
        <v/>
      </c>
      <c r="D547" s="19" t="n"/>
      <c r="E547" s="19" t="n"/>
      <c r="F547" s="16">
        <f>IF(OR(B547="",D547=""),"",IFERROR(INDEX('Tabla XP'!$B$2:$B$12,MATCH(D547,'Tabla XP'!$A$2:$A$12,0))*IF(E547="",1,E547),0))</f>
        <v/>
      </c>
      <c r="G547" s="19" t="n"/>
      <c r="H547" s="19" t="n"/>
    </row>
    <row r="548">
      <c r="A548" s="22" t="n"/>
      <c r="B548" s="19" t="n"/>
      <c r="C548" s="18">
        <f>IF(B548="","",IFERROR(INDEX(Jugadores!$C$2:$C$501,MATCH(B548,Jugadores!$A$2:$A$501,0)),"⚠ ID no existe"))</f>
        <v/>
      </c>
      <c r="D548" s="19" t="n"/>
      <c r="E548" s="19" t="n"/>
      <c r="F548" s="16">
        <f>IF(OR(B548="",D548=""),"",IFERROR(INDEX('Tabla XP'!$B$2:$B$12,MATCH(D548,'Tabla XP'!$A$2:$A$12,0))*IF(E548="",1,E548),0))</f>
        <v/>
      </c>
      <c r="G548" s="19" t="n"/>
      <c r="H548" s="19" t="n"/>
    </row>
    <row r="549">
      <c r="A549" s="22" t="n"/>
      <c r="B549" s="19" t="n"/>
      <c r="C549" s="18">
        <f>IF(B549="","",IFERROR(INDEX(Jugadores!$C$2:$C$501,MATCH(B549,Jugadores!$A$2:$A$501,0)),"⚠ ID no existe"))</f>
        <v/>
      </c>
      <c r="D549" s="19" t="n"/>
      <c r="E549" s="19" t="n"/>
      <c r="F549" s="16">
        <f>IF(OR(B549="",D549=""),"",IFERROR(INDEX('Tabla XP'!$B$2:$B$12,MATCH(D549,'Tabla XP'!$A$2:$A$12,0))*IF(E549="",1,E549),0))</f>
        <v/>
      </c>
      <c r="G549" s="19" t="n"/>
      <c r="H549" s="19" t="n"/>
    </row>
    <row r="550">
      <c r="A550" s="22" t="n"/>
      <c r="B550" s="19" t="n"/>
      <c r="C550" s="18">
        <f>IF(B550="","",IFERROR(INDEX(Jugadores!$C$2:$C$501,MATCH(B550,Jugadores!$A$2:$A$501,0)),"⚠ ID no existe"))</f>
        <v/>
      </c>
      <c r="D550" s="19" t="n"/>
      <c r="E550" s="19" t="n"/>
      <c r="F550" s="16">
        <f>IF(OR(B550="",D550=""),"",IFERROR(INDEX('Tabla XP'!$B$2:$B$12,MATCH(D550,'Tabla XP'!$A$2:$A$12,0))*IF(E550="",1,E550),0))</f>
        <v/>
      </c>
      <c r="G550" s="19" t="n"/>
      <c r="H550" s="19" t="n"/>
    </row>
    <row r="551">
      <c r="A551" s="22" t="n"/>
      <c r="B551" s="19" t="n"/>
      <c r="C551" s="18">
        <f>IF(B551="","",IFERROR(INDEX(Jugadores!$C$2:$C$501,MATCH(B551,Jugadores!$A$2:$A$501,0)),"⚠ ID no existe"))</f>
        <v/>
      </c>
      <c r="D551" s="19" t="n"/>
      <c r="E551" s="19" t="n"/>
      <c r="F551" s="16">
        <f>IF(OR(B551="",D551=""),"",IFERROR(INDEX('Tabla XP'!$B$2:$B$12,MATCH(D551,'Tabla XP'!$A$2:$A$12,0))*IF(E551="",1,E551),0))</f>
        <v/>
      </c>
      <c r="G551" s="19" t="n"/>
      <c r="H551" s="19" t="n"/>
    </row>
    <row r="552">
      <c r="A552" s="22" t="n"/>
      <c r="B552" s="19" t="n"/>
      <c r="C552" s="18">
        <f>IF(B552="","",IFERROR(INDEX(Jugadores!$C$2:$C$501,MATCH(B552,Jugadores!$A$2:$A$501,0)),"⚠ ID no existe"))</f>
        <v/>
      </c>
      <c r="D552" s="19" t="n"/>
      <c r="E552" s="19" t="n"/>
      <c r="F552" s="16">
        <f>IF(OR(B552="",D552=""),"",IFERROR(INDEX('Tabla XP'!$B$2:$B$12,MATCH(D552,'Tabla XP'!$A$2:$A$12,0))*IF(E552="",1,E552),0))</f>
        <v/>
      </c>
      <c r="G552" s="19" t="n"/>
      <c r="H552" s="19" t="n"/>
    </row>
    <row r="553">
      <c r="A553" s="22" t="n"/>
      <c r="B553" s="19" t="n"/>
      <c r="C553" s="18">
        <f>IF(B553="","",IFERROR(INDEX(Jugadores!$C$2:$C$501,MATCH(B553,Jugadores!$A$2:$A$501,0)),"⚠ ID no existe"))</f>
        <v/>
      </c>
      <c r="D553" s="19" t="n"/>
      <c r="E553" s="19" t="n"/>
      <c r="F553" s="16">
        <f>IF(OR(B553="",D553=""),"",IFERROR(INDEX('Tabla XP'!$B$2:$B$12,MATCH(D553,'Tabla XP'!$A$2:$A$12,0))*IF(E553="",1,E553),0))</f>
        <v/>
      </c>
      <c r="G553" s="19" t="n"/>
      <c r="H553" s="19" t="n"/>
    </row>
    <row r="554">
      <c r="A554" s="22" t="n"/>
      <c r="B554" s="19" t="n"/>
      <c r="C554" s="18">
        <f>IF(B554="","",IFERROR(INDEX(Jugadores!$C$2:$C$501,MATCH(B554,Jugadores!$A$2:$A$501,0)),"⚠ ID no existe"))</f>
        <v/>
      </c>
      <c r="D554" s="19" t="n"/>
      <c r="E554" s="19" t="n"/>
      <c r="F554" s="16">
        <f>IF(OR(B554="",D554=""),"",IFERROR(INDEX('Tabla XP'!$B$2:$B$12,MATCH(D554,'Tabla XP'!$A$2:$A$12,0))*IF(E554="",1,E554),0))</f>
        <v/>
      </c>
      <c r="G554" s="19" t="n"/>
      <c r="H554" s="19" t="n"/>
    </row>
    <row r="555">
      <c r="A555" s="22" t="n"/>
      <c r="B555" s="19" t="n"/>
      <c r="C555" s="18">
        <f>IF(B555="","",IFERROR(INDEX(Jugadores!$C$2:$C$501,MATCH(B555,Jugadores!$A$2:$A$501,0)),"⚠ ID no existe"))</f>
        <v/>
      </c>
      <c r="D555" s="19" t="n"/>
      <c r="E555" s="19" t="n"/>
      <c r="F555" s="16">
        <f>IF(OR(B555="",D555=""),"",IFERROR(INDEX('Tabla XP'!$B$2:$B$12,MATCH(D555,'Tabla XP'!$A$2:$A$12,0))*IF(E555="",1,E555),0))</f>
        <v/>
      </c>
      <c r="G555" s="19" t="n"/>
      <c r="H555" s="19" t="n"/>
    </row>
    <row r="556">
      <c r="A556" s="22" t="n"/>
      <c r="B556" s="19" t="n"/>
      <c r="C556" s="18">
        <f>IF(B556="","",IFERROR(INDEX(Jugadores!$C$2:$C$501,MATCH(B556,Jugadores!$A$2:$A$501,0)),"⚠ ID no existe"))</f>
        <v/>
      </c>
      <c r="D556" s="19" t="n"/>
      <c r="E556" s="19" t="n"/>
      <c r="F556" s="16">
        <f>IF(OR(B556="",D556=""),"",IFERROR(INDEX('Tabla XP'!$B$2:$B$12,MATCH(D556,'Tabla XP'!$A$2:$A$12,0))*IF(E556="",1,E556),0))</f>
        <v/>
      </c>
      <c r="G556" s="19" t="n"/>
      <c r="H556" s="19" t="n"/>
    </row>
    <row r="557">
      <c r="A557" s="22" t="n"/>
      <c r="B557" s="19" t="n"/>
      <c r="C557" s="18">
        <f>IF(B557="","",IFERROR(INDEX(Jugadores!$C$2:$C$501,MATCH(B557,Jugadores!$A$2:$A$501,0)),"⚠ ID no existe"))</f>
        <v/>
      </c>
      <c r="D557" s="19" t="n"/>
      <c r="E557" s="19" t="n"/>
      <c r="F557" s="16">
        <f>IF(OR(B557="",D557=""),"",IFERROR(INDEX('Tabla XP'!$B$2:$B$12,MATCH(D557,'Tabla XP'!$A$2:$A$12,0))*IF(E557="",1,E557),0))</f>
        <v/>
      </c>
      <c r="G557" s="19" t="n"/>
      <c r="H557" s="19" t="n"/>
    </row>
    <row r="558">
      <c r="A558" s="22" t="n"/>
      <c r="B558" s="19" t="n"/>
      <c r="C558" s="18">
        <f>IF(B558="","",IFERROR(INDEX(Jugadores!$C$2:$C$501,MATCH(B558,Jugadores!$A$2:$A$501,0)),"⚠ ID no existe"))</f>
        <v/>
      </c>
      <c r="D558" s="19" t="n"/>
      <c r="E558" s="19" t="n"/>
      <c r="F558" s="16">
        <f>IF(OR(B558="",D558=""),"",IFERROR(INDEX('Tabla XP'!$B$2:$B$12,MATCH(D558,'Tabla XP'!$A$2:$A$12,0))*IF(E558="",1,E558),0))</f>
        <v/>
      </c>
      <c r="G558" s="19" t="n"/>
      <c r="H558" s="19" t="n"/>
    </row>
    <row r="559">
      <c r="A559" s="22" t="n"/>
      <c r="B559" s="19" t="n"/>
      <c r="C559" s="18">
        <f>IF(B559="","",IFERROR(INDEX(Jugadores!$C$2:$C$501,MATCH(B559,Jugadores!$A$2:$A$501,0)),"⚠ ID no existe"))</f>
        <v/>
      </c>
      <c r="D559" s="19" t="n"/>
      <c r="E559" s="19" t="n"/>
      <c r="F559" s="16">
        <f>IF(OR(B559="",D559=""),"",IFERROR(INDEX('Tabla XP'!$B$2:$B$12,MATCH(D559,'Tabla XP'!$A$2:$A$12,0))*IF(E559="",1,E559),0))</f>
        <v/>
      </c>
      <c r="G559" s="19" t="n"/>
      <c r="H559" s="19" t="n"/>
    </row>
    <row r="560">
      <c r="A560" s="22" t="n"/>
      <c r="B560" s="19" t="n"/>
      <c r="C560" s="18">
        <f>IF(B560="","",IFERROR(INDEX(Jugadores!$C$2:$C$501,MATCH(B560,Jugadores!$A$2:$A$501,0)),"⚠ ID no existe"))</f>
        <v/>
      </c>
      <c r="D560" s="19" t="n"/>
      <c r="E560" s="19" t="n"/>
      <c r="F560" s="16">
        <f>IF(OR(B560="",D560=""),"",IFERROR(INDEX('Tabla XP'!$B$2:$B$12,MATCH(D560,'Tabla XP'!$A$2:$A$12,0))*IF(E560="",1,E560),0))</f>
        <v/>
      </c>
      <c r="G560" s="19" t="n"/>
      <c r="H560" s="19" t="n"/>
    </row>
    <row r="561">
      <c r="A561" s="22" t="n"/>
      <c r="B561" s="19" t="n"/>
      <c r="C561" s="18">
        <f>IF(B561="","",IFERROR(INDEX(Jugadores!$C$2:$C$501,MATCH(B561,Jugadores!$A$2:$A$501,0)),"⚠ ID no existe"))</f>
        <v/>
      </c>
      <c r="D561" s="19" t="n"/>
      <c r="E561" s="19" t="n"/>
      <c r="F561" s="16">
        <f>IF(OR(B561="",D561=""),"",IFERROR(INDEX('Tabla XP'!$B$2:$B$12,MATCH(D561,'Tabla XP'!$A$2:$A$12,0))*IF(E561="",1,E561),0))</f>
        <v/>
      </c>
      <c r="G561" s="19" t="n"/>
      <c r="H561" s="19" t="n"/>
    </row>
    <row r="562">
      <c r="A562" s="22" t="n"/>
      <c r="B562" s="19" t="n"/>
      <c r="C562" s="18">
        <f>IF(B562="","",IFERROR(INDEX(Jugadores!$C$2:$C$501,MATCH(B562,Jugadores!$A$2:$A$501,0)),"⚠ ID no existe"))</f>
        <v/>
      </c>
      <c r="D562" s="19" t="n"/>
      <c r="E562" s="19" t="n"/>
      <c r="F562" s="16">
        <f>IF(OR(B562="",D562=""),"",IFERROR(INDEX('Tabla XP'!$B$2:$B$12,MATCH(D562,'Tabla XP'!$A$2:$A$12,0))*IF(E562="",1,E562),0))</f>
        <v/>
      </c>
      <c r="G562" s="19" t="n"/>
      <c r="H562" s="19" t="n"/>
    </row>
    <row r="563">
      <c r="A563" s="22" t="n"/>
      <c r="B563" s="19" t="n"/>
      <c r="C563" s="18">
        <f>IF(B563="","",IFERROR(INDEX(Jugadores!$C$2:$C$501,MATCH(B563,Jugadores!$A$2:$A$501,0)),"⚠ ID no existe"))</f>
        <v/>
      </c>
      <c r="D563" s="19" t="n"/>
      <c r="E563" s="19" t="n"/>
      <c r="F563" s="16">
        <f>IF(OR(B563="",D563=""),"",IFERROR(INDEX('Tabla XP'!$B$2:$B$12,MATCH(D563,'Tabla XP'!$A$2:$A$12,0))*IF(E563="",1,E563),0))</f>
        <v/>
      </c>
      <c r="G563" s="19" t="n"/>
      <c r="H563" s="19" t="n"/>
    </row>
    <row r="564">
      <c r="A564" s="22" t="n"/>
      <c r="B564" s="19" t="n"/>
      <c r="C564" s="18">
        <f>IF(B564="","",IFERROR(INDEX(Jugadores!$C$2:$C$501,MATCH(B564,Jugadores!$A$2:$A$501,0)),"⚠ ID no existe"))</f>
        <v/>
      </c>
      <c r="D564" s="19" t="n"/>
      <c r="E564" s="19" t="n"/>
      <c r="F564" s="16">
        <f>IF(OR(B564="",D564=""),"",IFERROR(INDEX('Tabla XP'!$B$2:$B$12,MATCH(D564,'Tabla XP'!$A$2:$A$12,0))*IF(E564="",1,E564),0))</f>
        <v/>
      </c>
      <c r="G564" s="19" t="n"/>
      <c r="H564" s="19" t="n"/>
    </row>
    <row r="565">
      <c r="A565" s="22" t="n"/>
      <c r="B565" s="19" t="n"/>
      <c r="C565" s="18">
        <f>IF(B565="","",IFERROR(INDEX(Jugadores!$C$2:$C$501,MATCH(B565,Jugadores!$A$2:$A$501,0)),"⚠ ID no existe"))</f>
        <v/>
      </c>
      <c r="D565" s="19" t="n"/>
      <c r="E565" s="19" t="n"/>
      <c r="F565" s="16">
        <f>IF(OR(B565="",D565=""),"",IFERROR(INDEX('Tabla XP'!$B$2:$B$12,MATCH(D565,'Tabla XP'!$A$2:$A$12,0))*IF(E565="",1,E565),0))</f>
        <v/>
      </c>
      <c r="G565" s="19" t="n"/>
      <c r="H565" s="19" t="n"/>
    </row>
    <row r="566">
      <c r="A566" s="22" t="n"/>
      <c r="B566" s="19" t="n"/>
      <c r="C566" s="18">
        <f>IF(B566="","",IFERROR(INDEX(Jugadores!$C$2:$C$501,MATCH(B566,Jugadores!$A$2:$A$501,0)),"⚠ ID no existe"))</f>
        <v/>
      </c>
      <c r="D566" s="19" t="n"/>
      <c r="E566" s="19" t="n"/>
      <c r="F566" s="16">
        <f>IF(OR(B566="",D566=""),"",IFERROR(INDEX('Tabla XP'!$B$2:$B$12,MATCH(D566,'Tabla XP'!$A$2:$A$12,0))*IF(E566="",1,E566),0))</f>
        <v/>
      </c>
      <c r="G566" s="19" t="n"/>
      <c r="H566" s="19" t="n"/>
    </row>
    <row r="567">
      <c r="A567" s="22" t="n"/>
      <c r="B567" s="19" t="n"/>
      <c r="C567" s="18">
        <f>IF(B567="","",IFERROR(INDEX(Jugadores!$C$2:$C$501,MATCH(B567,Jugadores!$A$2:$A$501,0)),"⚠ ID no existe"))</f>
        <v/>
      </c>
      <c r="D567" s="19" t="n"/>
      <c r="E567" s="19" t="n"/>
      <c r="F567" s="16">
        <f>IF(OR(B567="",D567=""),"",IFERROR(INDEX('Tabla XP'!$B$2:$B$12,MATCH(D567,'Tabla XP'!$A$2:$A$12,0))*IF(E567="",1,E567),0))</f>
        <v/>
      </c>
      <c r="G567" s="19" t="n"/>
      <c r="H567" s="19" t="n"/>
    </row>
    <row r="568">
      <c r="A568" s="22" t="n"/>
      <c r="B568" s="19" t="n"/>
      <c r="C568" s="18">
        <f>IF(B568="","",IFERROR(INDEX(Jugadores!$C$2:$C$501,MATCH(B568,Jugadores!$A$2:$A$501,0)),"⚠ ID no existe"))</f>
        <v/>
      </c>
      <c r="D568" s="19" t="n"/>
      <c r="E568" s="19" t="n"/>
      <c r="F568" s="16">
        <f>IF(OR(B568="",D568=""),"",IFERROR(INDEX('Tabla XP'!$B$2:$B$12,MATCH(D568,'Tabla XP'!$A$2:$A$12,0))*IF(E568="",1,E568),0))</f>
        <v/>
      </c>
      <c r="G568" s="19" t="n"/>
      <c r="H568" s="19" t="n"/>
    </row>
    <row r="569">
      <c r="A569" s="22" t="n"/>
      <c r="B569" s="19" t="n"/>
      <c r="C569" s="18">
        <f>IF(B569="","",IFERROR(INDEX(Jugadores!$C$2:$C$501,MATCH(B569,Jugadores!$A$2:$A$501,0)),"⚠ ID no existe"))</f>
        <v/>
      </c>
      <c r="D569" s="19" t="n"/>
      <c r="E569" s="19" t="n"/>
      <c r="F569" s="16">
        <f>IF(OR(B569="",D569=""),"",IFERROR(INDEX('Tabla XP'!$B$2:$B$12,MATCH(D569,'Tabla XP'!$A$2:$A$12,0))*IF(E569="",1,E569),0))</f>
        <v/>
      </c>
      <c r="G569" s="19" t="n"/>
      <c r="H569" s="19" t="n"/>
    </row>
    <row r="570">
      <c r="A570" s="22" t="n"/>
      <c r="B570" s="19" t="n"/>
      <c r="C570" s="18">
        <f>IF(B570="","",IFERROR(INDEX(Jugadores!$C$2:$C$501,MATCH(B570,Jugadores!$A$2:$A$501,0)),"⚠ ID no existe"))</f>
        <v/>
      </c>
      <c r="D570" s="19" t="n"/>
      <c r="E570" s="19" t="n"/>
      <c r="F570" s="16">
        <f>IF(OR(B570="",D570=""),"",IFERROR(INDEX('Tabla XP'!$B$2:$B$12,MATCH(D570,'Tabla XP'!$A$2:$A$12,0))*IF(E570="",1,E570),0))</f>
        <v/>
      </c>
      <c r="G570" s="19" t="n"/>
      <c r="H570" s="19" t="n"/>
    </row>
    <row r="571">
      <c r="A571" s="22" t="n"/>
      <c r="B571" s="19" t="n"/>
      <c r="C571" s="18">
        <f>IF(B571="","",IFERROR(INDEX(Jugadores!$C$2:$C$501,MATCH(B571,Jugadores!$A$2:$A$501,0)),"⚠ ID no existe"))</f>
        <v/>
      </c>
      <c r="D571" s="19" t="n"/>
      <c r="E571" s="19" t="n"/>
      <c r="F571" s="16">
        <f>IF(OR(B571="",D571=""),"",IFERROR(INDEX('Tabla XP'!$B$2:$B$12,MATCH(D571,'Tabla XP'!$A$2:$A$12,0))*IF(E571="",1,E571),0))</f>
        <v/>
      </c>
      <c r="G571" s="19" t="n"/>
      <c r="H571" s="19" t="n"/>
    </row>
    <row r="572">
      <c r="A572" s="22" t="n"/>
      <c r="B572" s="19" t="n"/>
      <c r="C572" s="18">
        <f>IF(B572="","",IFERROR(INDEX(Jugadores!$C$2:$C$501,MATCH(B572,Jugadores!$A$2:$A$501,0)),"⚠ ID no existe"))</f>
        <v/>
      </c>
      <c r="D572" s="19" t="n"/>
      <c r="E572" s="19" t="n"/>
      <c r="F572" s="16">
        <f>IF(OR(B572="",D572=""),"",IFERROR(INDEX('Tabla XP'!$B$2:$B$12,MATCH(D572,'Tabla XP'!$A$2:$A$12,0))*IF(E572="",1,E572),0))</f>
        <v/>
      </c>
      <c r="G572" s="19" t="n"/>
      <c r="H572" s="19" t="n"/>
    </row>
    <row r="573">
      <c r="A573" s="22" t="n"/>
      <c r="B573" s="19" t="n"/>
      <c r="C573" s="18">
        <f>IF(B573="","",IFERROR(INDEX(Jugadores!$C$2:$C$501,MATCH(B573,Jugadores!$A$2:$A$501,0)),"⚠ ID no existe"))</f>
        <v/>
      </c>
      <c r="D573" s="19" t="n"/>
      <c r="E573" s="19" t="n"/>
      <c r="F573" s="16">
        <f>IF(OR(B573="",D573=""),"",IFERROR(INDEX('Tabla XP'!$B$2:$B$12,MATCH(D573,'Tabla XP'!$A$2:$A$12,0))*IF(E573="",1,E573),0))</f>
        <v/>
      </c>
      <c r="G573" s="19" t="n"/>
      <c r="H573" s="19" t="n"/>
    </row>
    <row r="574">
      <c r="A574" s="22" t="n"/>
      <c r="B574" s="19" t="n"/>
      <c r="C574" s="18">
        <f>IF(B574="","",IFERROR(INDEX(Jugadores!$C$2:$C$501,MATCH(B574,Jugadores!$A$2:$A$501,0)),"⚠ ID no existe"))</f>
        <v/>
      </c>
      <c r="D574" s="19" t="n"/>
      <c r="E574" s="19" t="n"/>
      <c r="F574" s="16">
        <f>IF(OR(B574="",D574=""),"",IFERROR(INDEX('Tabla XP'!$B$2:$B$12,MATCH(D574,'Tabla XP'!$A$2:$A$12,0))*IF(E574="",1,E574),0))</f>
        <v/>
      </c>
      <c r="G574" s="19" t="n"/>
      <c r="H574" s="19" t="n"/>
    </row>
    <row r="575">
      <c r="A575" s="22" t="n"/>
      <c r="B575" s="19" t="n"/>
      <c r="C575" s="18">
        <f>IF(B575="","",IFERROR(INDEX(Jugadores!$C$2:$C$501,MATCH(B575,Jugadores!$A$2:$A$501,0)),"⚠ ID no existe"))</f>
        <v/>
      </c>
      <c r="D575" s="19" t="n"/>
      <c r="E575" s="19" t="n"/>
      <c r="F575" s="16">
        <f>IF(OR(B575="",D575=""),"",IFERROR(INDEX('Tabla XP'!$B$2:$B$12,MATCH(D575,'Tabla XP'!$A$2:$A$12,0))*IF(E575="",1,E575),0))</f>
        <v/>
      </c>
      <c r="G575" s="19" t="n"/>
      <c r="H575" s="19" t="n"/>
    </row>
    <row r="576">
      <c r="A576" s="22" t="n"/>
      <c r="B576" s="19" t="n"/>
      <c r="C576" s="18">
        <f>IF(B576="","",IFERROR(INDEX(Jugadores!$C$2:$C$501,MATCH(B576,Jugadores!$A$2:$A$501,0)),"⚠ ID no existe"))</f>
        <v/>
      </c>
      <c r="D576" s="19" t="n"/>
      <c r="E576" s="19" t="n"/>
      <c r="F576" s="16">
        <f>IF(OR(B576="",D576=""),"",IFERROR(INDEX('Tabla XP'!$B$2:$B$12,MATCH(D576,'Tabla XP'!$A$2:$A$12,0))*IF(E576="",1,E576),0))</f>
        <v/>
      </c>
      <c r="G576" s="19" t="n"/>
      <c r="H576" s="19" t="n"/>
    </row>
    <row r="577">
      <c r="A577" s="22" t="n"/>
      <c r="B577" s="19" t="n"/>
      <c r="C577" s="18">
        <f>IF(B577="","",IFERROR(INDEX(Jugadores!$C$2:$C$501,MATCH(B577,Jugadores!$A$2:$A$501,0)),"⚠ ID no existe"))</f>
        <v/>
      </c>
      <c r="D577" s="19" t="n"/>
      <c r="E577" s="19" t="n"/>
      <c r="F577" s="16">
        <f>IF(OR(B577="",D577=""),"",IFERROR(INDEX('Tabla XP'!$B$2:$B$12,MATCH(D577,'Tabla XP'!$A$2:$A$12,0))*IF(E577="",1,E577),0))</f>
        <v/>
      </c>
      <c r="G577" s="19" t="n"/>
      <c r="H577" s="19" t="n"/>
    </row>
    <row r="578">
      <c r="A578" s="22" t="n"/>
      <c r="B578" s="19" t="n"/>
      <c r="C578" s="18">
        <f>IF(B578="","",IFERROR(INDEX(Jugadores!$C$2:$C$501,MATCH(B578,Jugadores!$A$2:$A$501,0)),"⚠ ID no existe"))</f>
        <v/>
      </c>
      <c r="D578" s="19" t="n"/>
      <c r="E578" s="19" t="n"/>
      <c r="F578" s="16">
        <f>IF(OR(B578="",D578=""),"",IFERROR(INDEX('Tabla XP'!$B$2:$B$12,MATCH(D578,'Tabla XP'!$A$2:$A$12,0))*IF(E578="",1,E578),0))</f>
        <v/>
      </c>
      <c r="G578" s="19" t="n"/>
      <c r="H578" s="19" t="n"/>
    </row>
    <row r="579">
      <c r="A579" s="22" t="n"/>
      <c r="B579" s="19" t="n"/>
      <c r="C579" s="18">
        <f>IF(B579="","",IFERROR(INDEX(Jugadores!$C$2:$C$501,MATCH(B579,Jugadores!$A$2:$A$501,0)),"⚠ ID no existe"))</f>
        <v/>
      </c>
      <c r="D579" s="19" t="n"/>
      <c r="E579" s="19" t="n"/>
      <c r="F579" s="16">
        <f>IF(OR(B579="",D579=""),"",IFERROR(INDEX('Tabla XP'!$B$2:$B$12,MATCH(D579,'Tabla XP'!$A$2:$A$12,0))*IF(E579="",1,E579),0))</f>
        <v/>
      </c>
      <c r="G579" s="19" t="n"/>
      <c r="H579" s="19" t="n"/>
    </row>
    <row r="580">
      <c r="A580" s="22" t="n"/>
      <c r="B580" s="19" t="n"/>
      <c r="C580" s="18">
        <f>IF(B580="","",IFERROR(INDEX(Jugadores!$C$2:$C$501,MATCH(B580,Jugadores!$A$2:$A$501,0)),"⚠ ID no existe"))</f>
        <v/>
      </c>
      <c r="D580" s="19" t="n"/>
      <c r="E580" s="19" t="n"/>
      <c r="F580" s="16">
        <f>IF(OR(B580="",D580=""),"",IFERROR(INDEX('Tabla XP'!$B$2:$B$12,MATCH(D580,'Tabla XP'!$A$2:$A$12,0))*IF(E580="",1,E580),0))</f>
        <v/>
      </c>
      <c r="G580" s="19" t="n"/>
      <c r="H580" s="19" t="n"/>
    </row>
    <row r="581">
      <c r="A581" s="22" t="n"/>
      <c r="B581" s="19" t="n"/>
      <c r="C581" s="18">
        <f>IF(B581="","",IFERROR(INDEX(Jugadores!$C$2:$C$501,MATCH(B581,Jugadores!$A$2:$A$501,0)),"⚠ ID no existe"))</f>
        <v/>
      </c>
      <c r="D581" s="19" t="n"/>
      <c r="E581" s="19" t="n"/>
      <c r="F581" s="16">
        <f>IF(OR(B581="",D581=""),"",IFERROR(INDEX('Tabla XP'!$B$2:$B$12,MATCH(D581,'Tabla XP'!$A$2:$A$12,0))*IF(E581="",1,E581),0))</f>
        <v/>
      </c>
      <c r="G581" s="19" t="n"/>
      <c r="H581" s="19" t="n"/>
    </row>
    <row r="582">
      <c r="A582" s="22" t="n"/>
      <c r="B582" s="19" t="n"/>
      <c r="C582" s="18">
        <f>IF(B582="","",IFERROR(INDEX(Jugadores!$C$2:$C$501,MATCH(B582,Jugadores!$A$2:$A$501,0)),"⚠ ID no existe"))</f>
        <v/>
      </c>
      <c r="D582" s="19" t="n"/>
      <c r="E582" s="19" t="n"/>
      <c r="F582" s="16">
        <f>IF(OR(B582="",D582=""),"",IFERROR(INDEX('Tabla XP'!$B$2:$B$12,MATCH(D582,'Tabla XP'!$A$2:$A$12,0))*IF(E582="",1,E582),0))</f>
        <v/>
      </c>
      <c r="G582" s="19" t="n"/>
      <c r="H582" s="19" t="n"/>
    </row>
    <row r="583">
      <c r="A583" s="22" t="n"/>
      <c r="B583" s="19" t="n"/>
      <c r="C583" s="18">
        <f>IF(B583="","",IFERROR(INDEX(Jugadores!$C$2:$C$501,MATCH(B583,Jugadores!$A$2:$A$501,0)),"⚠ ID no existe"))</f>
        <v/>
      </c>
      <c r="D583" s="19" t="n"/>
      <c r="E583" s="19" t="n"/>
      <c r="F583" s="16">
        <f>IF(OR(B583="",D583=""),"",IFERROR(INDEX('Tabla XP'!$B$2:$B$12,MATCH(D583,'Tabla XP'!$A$2:$A$12,0))*IF(E583="",1,E583),0))</f>
        <v/>
      </c>
      <c r="G583" s="19" t="n"/>
      <c r="H583" s="19" t="n"/>
    </row>
    <row r="584">
      <c r="A584" s="22" t="n"/>
      <c r="B584" s="19" t="n"/>
      <c r="C584" s="18">
        <f>IF(B584="","",IFERROR(INDEX(Jugadores!$C$2:$C$501,MATCH(B584,Jugadores!$A$2:$A$501,0)),"⚠ ID no existe"))</f>
        <v/>
      </c>
      <c r="D584" s="19" t="n"/>
      <c r="E584" s="19" t="n"/>
      <c r="F584" s="16">
        <f>IF(OR(B584="",D584=""),"",IFERROR(INDEX('Tabla XP'!$B$2:$B$12,MATCH(D584,'Tabla XP'!$A$2:$A$12,0))*IF(E584="",1,E584),0))</f>
        <v/>
      </c>
      <c r="G584" s="19" t="n"/>
      <c r="H584" s="19" t="n"/>
    </row>
    <row r="585">
      <c r="A585" s="22" t="n"/>
      <c r="B585" s="19" t="n"/>
      <c r="C585" s="18">
        <f>IF(B585="","",IFERROR(INDEX(Jugadores!$C$2:$C$501,MATCH(B585,Jugadores!$A$2:$A$501,0)),"⚠ ID no existe"))</f>
        <v/>
      </c>
      <c r="D585" s="19" t="n"/>
      <c r="E585" s="19" t="n"/>
      <c r="F585" s="16">
        <f>IF(OR(B585="",D585=""),"",IFERROR(INDEX('Tabla XP'!$B$2:$B$12,MATCH(D585,'Tabla XP'!$A$2:$A$12,0))*IF(E585="",1,E585),0))</f>
        <v/>
      </c>
      <c r="G585" s="19" t="n"/>
      <c r="H585" s="19" t="n"/>
    </row>
    <row r="586">
      <c r="A586" s="22" t="n"/>
      <c r="B586" s="19" t="n"/>
      <c r="C586" s="18">
        <f>IF(B586="","",IFERROR(INDEX(Jugadores!$C$2:$C$501,MATCH(B586,Jugadores!$A$2:$A$501,0)),"⚠ ID no existe"))</f>
        <v/>
      </c>
      <c r="D586" s="19" t="n"/>
      <c r="E586" s="19" t="n"/>
      <c r="F586" s="16">
        <f>IF(OR(B586="",D586=""),"",IFERROR(INDEX('Tabla XP'!$B$2:$B$12,MATCH(D586,'Tabla XP'!$A$2:$A$12,0))*IF(E586="",1,E586),0))</f>
        <v/>
      </c>
      <c r="G586" s="19" t="n"/>
      <c r="H586" s="19" t="n"/>
    </row>
    <row r="587">
      <c r="A587" s="22" t="n"/>
      <c r="B587" s="19" t="n"/>
      <c r="C587" s="18">
        <f>IF(B587="","",IFERROR(INDEX(Jugadores!$C$2:$C$501,MATCH(B587,Jugadores!$A$2:$A$501,0)),"⚠ ID no existe"))</f>
        <v/>
      </c>
      <c r="D587" s="19" t="n"/>
      <c r="E587" s="19" t="n"/>
      <c r="F587" s="16">
        <f>IF(OR(B587="",D587=""),"",IFERROR(INDEX('Tabla XP'!$B$2:$B$12,MATCH(D587,'Tabla XP'!$A$2:$A$12,0))*IF(E587="",1,E587),0))</f>
        <v/>
      </c>
      <c r="G587" s="19" t="n"/>
      <c r="H587" s="19" t="n"/>
    </row>
    <row r="588">
      <c r="A588" s="22" t="n"/>
      <c r="B588" s="19" t="n"/>
      <c r="C588" s="18">
        <f>IF(B588="","",IFERROR(INDEX(Jugadores!$C$2:$C$501,MATCH(B588,Jugadores!$A$2:$A$501,0)),"⚠ ID no existe"))</f>
        <v/>
      </c>
      <c r="D588" s="19" t="n"/>
      <c r="E588" s="19" t="n"/>
      <c r="F588" s="16">
        <f>IF(OR(B588="",D588=""),"",IFERROR(INDEX('Tabla XP'!$B$2:$B$12,MATCH(D588,'Tabla XP'!$A$2:$A$12,0))*IF(E588="",1,E588),0))</f>
        <v/>
      </c>
      <c r="G588" s="19" t="n"/>
      <c r="H588" s="19" t="n"/>
    </row>
    <row r="589">
      <c r="A589" s="22" t="n"/>
      <c r="B589" s="19" t="n"/>
      <c r="C589" s="18">
        <f>IF(B589="","",IFERROR(INDEX(Jugadores!$C$2:$C$501,MATCH(B589,Jugadores!$A$2:$A$501,0)),"⚠ ID no existe"))</f>
        <v/>
      </c>
      <c r="D589" s="19" t="n"/>
      <c r="E589" s="19" t="n"/>
      <c r="F589" s="16">
        <f>IF(OR(B589="",D589=""),"",IFERROR(INDEX('Tabla XP'!$B$2:$B$12,MATCH(D589,'Tabla XP'!$A$2:$A$12,0))*IF(E589="",1,E589),0))</f>
        <v/>
      </c>
      <c r="G589" s="19" t="n"/>
      <c r="H589" s="19" t="n"/>
    </row>
    <row r="590">
      <c r="A590" s="22" t="n"/>
      <c r="B590" s="19" t="n"/>
      <c r="C590" s="18">
        <f>IF(B590="","",IFERROR(INDEX(Jugadores!$C$2:$C$501,MATCH(B590,Jugadores!$A$2:$A$501,0)),"⚠ ID no existe"))</f>
        <v/>
      </c>
      <c r="D590" s="19" t="n"/>
      <c r="E590" s="19" t="n"/>
      <c r="F590" s="16">
        <f>IF(OR(B590="",D590=""),"",IFERROR(INDEX('Tabla XP'!$B$2:$B$12,MATCH(D590,'Tabla XP'!$A$2:$A$12,0))*IF(E590="",1,E590),0))</f>
        <v/>
      </c>
      <c r="G590" s="19" t="n"/>
      <c r="H590" s="19" t="n"/>
    </row>
    <row r="591">
      <c r="A591" s="22" t="n"/>
      <c r="B591" s="19" t="n"/>
      <c r="C591" s="18">
        <f>IF(B591="","",IFERROR(INDEX(Jugadores!$C$2:$C$501,MATCH(B591,Jugadores!$A$2:$A$501,0)),"⚠ ID no existe"))</f>
        <v/>
      </c>
      <c r="D591" s="19" t="n"/>
      <c r="E591" s="19" t="n"/>
      <c r="F591" s="16">
        <f>IF(OR(B591="",D591=""),"",IFERROR(INDEX('Tabla XP'!$B$2:$B$12,MATCH(D591,'Tabla XP'!$A$2:$A$12,0))*IF(E591="",1,E591),0))</f>
        <v/>
      </c>
      <c r="G591" s="19" t="n"/>
      <c r="H591" s="19" t="n"/>
    </row>
    <row r="592">
      <c r="A592" s="22" t="n"/>
      <c r="B592" s="19" t="n"/>
      <c r="C592" s="18">
        <f>IF(B592="","",IFERROR(INDEX(Jugadores!$C$2:$C$501,MATCH(B592,Jugadores!$A$2:$A$501,0)),"⚠ ID no existe"))</f>
        <v/>
      </c>
      <c r="D592" s="19" t="n"/>
      <c r="E592" s="19" t="n"/>
      <c r="F592" s="16">
        <f>IF(OR(B592="",D592=""),"",IFERROR(INDEX('Tabla XP'!$B$2:$B$12,MATCH(D592,'Tabla XP'!$A$2:$A$12,0))*IF(E592="",1,E592),0))</f>
        <v/>
      </c>
      <c r="G592" s="19" t="n"/>
      <c r="H592" s="19" t="n"/>
    </row>
    <row r="593">
      <c r="A593" s="22" t="n"/>
      <c r="B593" s="19" t="n"/>
      <c r="C593" s="18">
        <f>IF(B593="","",IFERROR(INDEX(Jugadores!$C$2:$C$501,MATCH(B593,Jugadores!$A$2:$A$501,0)),"⚠ ID no existe"))</f>
        <v/>
      </c>
      <c r="D593" s="19" t="n"/>
      <c r="E593" s="19" t="n"/>
      <c r="F593" s="16">
        <f>IF(OR(B593="",D593=""),"",IFERROR(INDEX('Tabla XP'!$B$2:$B$12,MATCH(D593,'Tabla XP'!$A$2:$A$12,0))*IF(E593="",1,E593),0))</f>
        <v/>
      </c>
      <c r="G593" s="19" t="n"/>
      <c r="H593" s="19" t="n"/>
    </row>
    <row r="594">
      <c r="A594" s="22" t="n"/>
      <c r="B594" s="19" t="n"/>
      <c r="C594" s="18">
        <f>IF(B594="","",IFERROR(INDEX(Jugadores!$C$2:$C$501,MATCH(B594,Jugadores!$A$2:$A$501,0)),"⚠ ID no existe"))</f>
        <v/>
      </c>
      <c r="D594" s="19" t="n"/>
      <c r="E594" s="19" t="n"/>
      <c r="F594" s="16">
        <f>IF(OR(B594="",D594=""),"",IFERROR(INDEX('Tabla XP'!$B$2:$B$12,MATCH(D594,'Tabla XP'!$A$2:$A$12,0))*IF(E594="",1,E594),0))</f>
        <v/>
      </c>
      <c r="G594" s="19" t="n"/>
      <c r="H594" s="19" t="n"/>
    </row>
    <row r="595">
      <c r="A595" s="22" t="n"/>
      <c r="B595" s="19" t="n"/>
      <c r="C595" s="18">
        <f>IF(B595="","",IFERROR(INDEX(Jugadores!$C$2:$C$501,MATCH(B595,Jugadores!$A$2:$A$501,0)),"⚠ ID no existe"))</f>
        <v/>
      </c>
      <c r="D595" s="19" t="n"/>
      <c r="E595" s="19" t="n"/>
      <c r="F595" s="16">
        <f>IF(OR(B595="",D595=""),"",IFERROR(INDEX('Tabla XP'!$B$2:$B$12,MATCH(D595,'Tabla XP'!$A$2:$A$12,0))*IF(E595="",1,E595),0))</f>
        <v/>
      </c>
      <c r="G595" s="19" t="n"/>
      <c r="H595" s="19" t="n"/>
    </row>
    <row r="596">
      <c r="A596" s="22" t="n"/>
      <c r="B596" s="19" t="n"/>
      <c r="C596" s="18">
        <f>IF(B596="","",IFERROR(INDEX(Jugadores!$C$2:$C$501,MATCH(B596,Jugadores!$A$2:$A$501,0)),"⚠ ID no existe"))</f>
        <v/>
      </c>
      <c r="D596" s="19" t="n"/>
      <c r="E596" s="19" t="n"/>
      <c r="F596" s="16">
        <f>IF(OR(B596="",D596=""),"",IFERROR(INDEX('Tabla XP'!$B$2:$B$12,MATCH(D596,'Tabla XP'!$A$2:$A$12,0))*IF(E596="",1,E596),0))</f>
        <v/>
      </c>
      <c r="G596" s="19" t="n"/>
      <c r="H596" s="19" t="n"/>
    </row>
    <row r="597">
      <c r="A597" s="22" t="n"/>
      <c r="B597" s="19" t="n"/>
      <c r="C597" s="18">
        <f>IF(B597="","",IFERROR(INDEX(Jugadores!$C$2:$C$501,MATCH(B597,Jugadores!$A$2:$A$501,0)),"⚠ ID no existe"))</f>
        <v/>
      </c>
      <c r="D597" s="19" t="n"/>
      <c r="E597" s="19" t="n"/>
      <c r="F597" s="16">
        <f>IF(OR(B597="",D597=""),"",IFERROR(INDEX('Tabla XP'!$B$2:$B$12,MATCH(D597,'Tabla XP'!$A$2:$A$12,0))*IF(E597="",1,E597),0))</f>
        <v/>
      </c>
      <c r="G597" s="19" t="n"/>
      <c r="H597" s="19" t="n"/>
    </row>
    <row r="598">
      <c r="A598" s="22" t="n"/>
      <c r="B598" s="19" t="n"/>
      <c r="C598" s="18">
        <f>IF(B598="","",IFERROR(INDEX(Jugadores!$C$2:$C$501,MATCH(B598,Jugadores!$A$2:$A$501,0)),"⚠ ID no existe"))</f>
        <v/>
      </c>
      <c r="D598" s="19" t="n"/>
      <c r="E598" s="19" t="n"/>
      <c r="F598" s="16">
        <f>IF(OR(B598="",D598=""),"",IFERROR(INDEX('Tabla XP'!$B$2:$B$12,MATCH(D598,'Tabla XP'!$A$2:$A$12,0))*IF(E598="",1,E598),0))</f>
        <v/>
      </c>
      <c r="G598" s="19" t="n"/>
      <c r="H598" s="19" t="n"/>
    </row>
    <row r="599">
      <c r="A599" s="22" t="n"/>
      <c r="B599" s="19" t="n"/>
      <c r="C599" s="18">
        <f>IF(B599="","",IFERROR(INDEX(Jugadores!$C$2:$C$501,MATCH(B599,Jugadores!$A$2:$A$501,0)),"⚠ ID no existe"))</f>
        <v/>
      </c>
      <c r="D599" s="19" t="n"/>
      <c r="E599" s="19" t="n"/>
      <c r="F599" s="16">
        <f>IF(OR(B599="",D599=""),"",IFERROR(INDEX('Tabla XP'!$B$2:$B$12,MATCH(D599,'Tabla XP'!$A$2:$A$12,0))*IF(E599="",1,E599),0))</f>
        <v/>
      </c>
      <c r="G599" s="19" t="n"/>
      <c r="H599" s="19" t="n"/>
    </row>
    <row r="600">
      <c r="A600" s="22" t="n"/>
      <c r="B600" s="19" t="n"/>
      <c r="C600" s="18">
        <f>IF(B600="","",IFERROR(INDEX(Jugadores!$C$2:$C$501,MATCH(B600,Jugadores!$A$2:$A$501,0)),"⚠ ID no existe"))</f>
        <v/>
      </c>
      <c r="D600" s="19" t="n"/>
      <c r="E600" s="19" t="n"/>
      <c r="F600" s="16">
        <f>IF(OR(B600="",D600=""),"",IFERROR(INDEX('Tabla XP'!$B$2:$B$12,MATCH(D600,'Tabla XP'!$A$2:$A$12,0))*IF(E600="",1,E600),0))</f>
        <v/>
      </c>
      <c r="G600" s="19" t="n"/>
      <c r="H600" s="19" t="n"/>
    </row>
    <row r="601">
      <c r="A601" s="22" t="n"/>
      <c r="B601" s="19" t="n"/>
      <c r="C601" s="18">
        <f>IF(B601="","",IFERROR(INDEX(Jugadores!$C$2:$C$501,MATCH(B601,Jugadores!$A$2:$A$501,0)),"⚠ ID no existe"))</f>
        <v/>
      </c>
      <c r="D601" s="19" t="n"/>
      <c r="E601" s="19" t="n"/>
      <c r="F601" s="16">
        <f>IF(OR(B601="",D601=""),"",IFERROR(INDEX('Tabla XP'!$B$2:$B$12,MATCH(D601,'Tabla XP'!$A$2:$A$12,0))*IF(E601="",1,E601),0))</f>
        <v/>
      </c>
      <c r="G601" s="19" t="n"/>
      <c r="H601" s="19" t="n"/>
    </row>
    <row r="602">
      <c r="A602" s="22" t="n"/>
      <c r="B602" s="19" t="n"/>
      <c r="C602" s="18">
        <f>IF(B602="","",IFERROR(INDEX(Jugadores!$C$2:$C$501,MATCH(B602,Jugadores!$A$2:$A$501,0)),"⚠ ID no existe"))</f>
        <v/>
      </c>
      <c r="D602" s="19" t="n"/>
      <c r="E602" s="19" t="n"/>
      <c r="F602" s="16">
        <f>IF(OR(B602="",D602=""),"",IFERROR(INDEX('Tabla XP'!$B$2:$B$12,MATCH(D602,'Tabla XP'!$A$2:$A$12,0))*IF(E602="",1,E602),0))</f>
        <v/>
      </c>
      <c r="G602" s="19" t="n"/>
      <c r="H602" s="19" t="n"/>
    </row>
    <row r="603">
      <c r="A603" s="22" t="n"/>
      <c r="B603" s="19" t="n"/>
      <c r="C603" s="18">
        <f>IF(B603="","",IFERROR(INDEX(Jugadores!$C$2:$C$501,MATCH(B603,Jugadores!$A$2:$A$501,0)),"⚠ ID no existe"))</f>
        <v/>
      </c>
      <c r="D603" s="19" t="n"/>
      <c r="E603" s="19" t="n"/>
      <c r="F603" s="16">
        <f>IF(OR(B603="",D603=""),"",IFERROR(INDEX('Tabla XP'!$B$2:$B$12,MATCH(D603,'Tabla XP'!$A$2:$A$12,0))*IF(E603="",1,E603),0))</f>
        <v/>
      </c>
      <c r="G603" s="19" t="n"/>
      <c r="H603" s="19" t="n"/>
    </row>
    <row r="604">
      <c r="A604" s="22" t="n"/>
      <c r="B604" s="19" t="n"/>
      <c r="C604" s="18">
        <f>IF(B604="","",IFERROR(INDEX(Jugadores!$C$2:$C$501,MATCH(B604,Jugadores!$A$2:$A$501,0)),"⚠ ID no existe"))</f>
        <v/>
      </c>
      <c r="D604" s="19" t="n"/>
      <c r="E604" s="19" t="n"/>
      <c r="F604" s="16">
        <f>IF(OR(B604="",D604=""),"",IFERROR(INDEX('Tabla XP'!$B$2:$B$12,MATCH(D604,'Tabla XP'!$A$2:$A$12,0))*IF(E604="",1,E604),0))</f>
        <v/>
      </c>
      <c r="G604" s="19" t="n"/>
      <c r="H604" s="19" t="n"/>
    </row>
    <row r="605">
      <c r="A605" s="22" t="n"/>
      <c r="B605" s="19" t="n"/>
      <c r="C605" s="18">
        <f>IF(B605="","",IFERROR(INDEX(Jugadores!$C$2:$C$501,MATCH(B605,Jugadores!$A$2:$A$501,0)),"⚠ ID no existe"))</f>
        <v/>
      </c>
      <c r="D605" s="19" t="n"/>
      <c r="E605" s="19" t="n"/>
      <c r="F605" s="16">
        <f>IF(OR(B605="",D605=""),"",IFERROR(INDEX('Tabla XP'!$B$2:$B$12,MATCH(D605,'Tabla XP'!$A$2:$A$12,0))*IF(E605="",1,E605),0))</f>
        <v/>
      </c>
      <c r="G605" s="19" t="n"/>
      <c r="H605" s="19" t="n"/>
    </row>
    <row r="606">
      <c r="A606" s="22" t="n"/>
      <c r="B606" s="19" t="n"/>
      <c r="C606" s="18">
        <f>IF(B606="","",IFERROR(INDEX(Jugadores!$C$2:$C$501,MATCH(B606,Jugadores!$A$2:$A$501,0)),"⚠ ID no existe"))</f>
        <v/>
      </c>
      <c r="D606" s="19" t="n"/>
      <c r="E606" s="19" t="n"/>
      <c r="F606" s="16">
        <f>IF(OR(B606="",D606=""),"",IFERROR(INDEX('Tabla XP'!$B$2:$B$12,MATCH(D606,'Tabla XP'!$A$2:$A$12,0))*IF(E606="",1,E606),0))</f>
        <v/>
      </c>
      <c r="G606" s="19" t="n"/>
      <c r="H606" s="19" t="n"/>
    </row>
    <row r="607">
      <c r="A607" s="22" t="n"/>
      <c r="B607" s="19" t="n"/>
      <c r="C607" s="18">
        <f>IF(B607="","",IFERROR(INDEX(Jugadores!$C$2:$C$501,MATCH(B607,Jugadores!$A$2:$A$501,0)),"⚠ ID no existe"))</f>
        <v/>
      </c>
      <c r="D607" s="19" t="n"/>
      <c r="E607" s="19" t="n"/>
      <c r="F607" s="16">
        <f>IF(OR(B607="",D607=""),"",IFERROR(INDEX('Tabla XP'!$B$2:$B$12,MATCH(D607,'Tabla XP'!$A$2:$A$12,0))*IF(E607="",1,E607),0))</f>
        <v/>
      </c>
      <c r="G607" s="19" t="n"/>
      <c r="H607" s="19" t="n"/>
    </row>
    <row r="608">
      <c r="A608" s="22" t="n"/>
      <c r="B608" s="19" t="n"/>
      <c r="C608" s="18">
        <f>IF(B608="","",IFERROR(INDEX(Jugadores!$C$2:$C$501,MATCH(B608,Jugadores!$A$2:$A$501,0)),"⚠ ID no existe"))</f>
        <v/>
      </c>
      <c r="D608" s="19" t="n"/>
      <c r="E608" s="19" t="n"/>
      <c r="F608" s="16">
        <f>IF(OR(B608="",D608=""),"",IFERROR(INDEX('Tabla XP'!$B$2:$B$12,MATCH(D608,'Tabla XP'!$A$2:$A$12,0))*IF(E608="",1,E608),0))</f>
        <v/>
      </c>
      <c r="G608" s="19" t="n"/>
      <c r="H608" s="19" t="n"/>
    </row>
    <row r="609">
      <c r="A609" s="22" t="n"/>
      <c r="B609" s="19" t="n"/>
      <c r="C609" s="18">
        <f>IF(B609="","",IFERROR(INDEX(Jugadores!$C$2:$C$501,MATCH(B609,Jugadores!$A$2:$A$501,0)),"⚠ ID no existe"))</f>
        <v/>
      </c>
      <c r="D609" s="19" t="n"/>
      <c r="E609" s="19" t="n"/>
      <c r="F609" s="16">
        <f>IF(OR(B609="",D609=""),"",IFERROR(INDEX('Tabla XP'!$B$2:$B$12,MATCH(D609,'Tabla XP'!$A$2:$A$12,0))*IF(E609="",1,E609),0))</f>
        <v/>
      </c>
      <c r="G609" s="19" t="n"/>
      <c r="H609" s="19" t="n"/>
    </row>
    <row r="610">
      <c r="A610" s="22" t="n"/>
      <c r="B610" s="19" t="n"/>
      <c r="C610" s="18">
        <f>IF(B610="","",IFERROR(INDEX(Jugadores!$C$2:$C$501,MATCH(B610,Jugadores!$A$2:$A$501,0)),"⚠ ID no existe"))</f>
        <v/>
      </c>
      <c r="D610" s="19" t="n"/>
      <c r="E610" s="19" t="n"/>
      <c r="F610" s="16">
        <f>IF(OR(B610="",D610=""),"",IFERROR(INDEX('Tabla XP'!$B$2:$B$12,MATCH(D610,'Tabla XP'!$A$2:$A$12,0))*IF(E610="",1,E610),0))</f>
        <v/>
      </c>
      <c r="G610" s="19" t="n"/>
      <c r="H610" s="19" t="n"/>
    </row>
    <row r="611">
      <c r="A611" s="22" t="n"/>
      <c r="B611" s="19" t="n"/>
      <c r="C611" s="18">
        <f>IF(B611="","",IFERROR(INDEX(Jugadores!$C$2:$C$501,MATCH(B611,Jugadores!$A$2:$A$501,0)),"⚠ ID no existe"))</f>
        <v/>
      </c>
      <c r="D611" s="19" t="n"/>
      <c r="E611" s="19" t="n"/>
      <c r="F611" s="16">
        <f>IF(OR(B611="",D611=""),"",IFERROR(INDEX('Tabla XP'!$B$2:$B$12,MATCH(D611,'Tabla XP'!$A$2:$A$12,0))*IF(E611="",1,E611),0))</f>
        <v/>
      </c>
      <c r="G611" s="19" t="n"/>
      <c r="H611" s="19" t="n"/>
    </row>
    <row r="612">
      <c r="A612" s="22" t="n"/>
      <c r="B612" s="19" t="n"/>
      <c r="C612" s="18">
        <f>IF(B612="","",IFERROR(INDEX(Jugadores!$C$2:$C$501,MATCH(B612,Jugadores!$A$2:$A$501,0)),"⚠ ID no existe"))</f>
        <v/>
      </c>
      <c r="D612" s="19" t="n"/>
      <c r="E612" s="19" t="n"/>
      <c r="F612" s="16">
        <f>IF(OR(B612="",D612=""),"",IFERROR(INDEX('Tabla XP'!$B$2:$B$12,MATCH(D612,'Tabla XP'!$A$2:$A$12,0))*IF(E612="",1,E612),0))</f>
        <v/>
      </c>
      <c r="G612" s="19" t="n"/>
      <c r="H612" s="19" t="n"/>
    </row>
    <row r="613">
      <c r="A613" s="22" t="n"/>
      <c r="B613" s="19" t="n"/>
      <c r="C613" s="18">
        <f>IF(B613="","",IFERROR(INDEX(Jugadores!$C$2:$C$501,MATCH(B613,Jugadores!$A$2:$A$501,0)),"⚠ ID no existe"))</f>
        <v/>
      </c>
      <c r="D613" s="19" t="n"/>
      <c r="E613" s="19" t="n"/>
      <c r="F613" s="16">
        <f>IF(OR(B613="",D613=""),"",IFERROR(INDEX('Tabla XP'!$B$2:$B$12,MATCH(D613,'Tabla XP'!$A$2:$A$12,0))*IF(E613="",1,E613),0))</f>
        <v/>
      </c>
      <c r="G613" s="19" t="n"/>
      <c r="H613" s="19" t="n"/>
    </row>
    <row r="614">
      <c r="A614" s="22" t="n"/>
      <c r="B614" s="19" t="n"/>
      <c r="C614" s="18">
        <f>IF(B614="","",IFERROR(INDEX(Jugadores!$C$2:$C$501,MATCH(B614,Jugadores!$A$2:$A$501,0)),"⚠ ID no existe"))</f>
        <v/>
      </c>
      <c r="D614" s="19" t="n"/>
      <c r="E614" s="19" t="n"/>
      <c r="F614" s="16">
        <f>IF(OR(B614="",D614=""),"",IFERROR(INDEX('Tabla XP'!$B$2:$B$12,MATCH(D614,'Tabla XP'!$A$2:$A$12,0))*IF(E614="",1,E614),0))</f>
        <v/>
      </c>
      <c r="G614" s="19" t="n"/>
      <c r="H614" s="19" t="n"/>
    </row>
    <row r="615">
      <c r="A615" s="22" t="n"/>
      <c r="B615" s="19" t="n"/>
      <c r="C615" s="18">
        <f>IF(B615="","",IFERROR(INDEX(Jugadores!$C$2:$C$501,MATCH(B615,Jugadores!$A$2:$A$501,0)),"⚠ ID no existe"))</f>
        <v/>
      </c>
      <c r="D615" s="19" t="n"/>
      <c r="E615" s="19" t="n"/>
      <c r="F615" s="16">
        <f>IF(OR(B615="",D615=""),"",IFERROR(INDEX('Tabla XP'!$B$2:$B$12,MATCH(D615,'Tabla XP'!$A$2:$A$12,0))*IF(E615="",1,E615),0))</f>
        <v/>
      </c>
      <c r="G615" s="19" t="n"/>
      <c r="H615" s="19" t="n"/>
    </row>
    <row r="616">
      <c r="A616" s="22" t="n"/>
      <c r="B616" s="19" t="n"/>
      <c r="C616" s="18">
        <f>IF(B616="","",IFERROR(INDEX(Jugadores!$C$2:$C$501,MATCH(B616,Jugadores!$A$2:$A$501,0)),"⚠ ID no existe"))</f>
        <v/>
      </c>
      <c r="D616" s="19" t="n"/>
      <c r="E616" s="19" t="n"/>
      <c r="F616" s="16">
        <f>IF(OR(B616="",D616=""),"",IFERROR(INDEX('Tabla XP'!$B$2:$B$12,MATCH(D616,'Tabla XP'!$A$2:$A$12,0))*IF(E616="",1,E616),0))</f>
        <v/>
      </c>
      <c r="G616" s="19" t="n"/>
      <c r="H616" s="19" t="n"/>
    </row>
    <row r="617">
      <c r="A617" s="22" t="n"/>
      <c r="B617" s="19" t="n"/>
      <c r="C617" s="18">
        <f>IF(B617="","",IFERROR(INDEX(Jugadores!$C$2:$C$501,MATCH(B617,Jugadores!$A$2:$A$501,0)),"⚠ ID no existe"))</f>
        <v/>
      </c>
      <c r="D617" s="19" t="n"/>
      <c r="E617" s="19" t="n"/>
      <c r="F617" s="16">
        <f>IF(OR(B617="",D617=""),"",IFERROR(INDEX('Tabla XP'!$B$2:$B$12,MATCH(D617,'Tabla XP'!$A$2:$A$12,0))*IF(E617="",1,E617),0))</f>
        <v/>
      </c>
      <c r="G617" s="19" t="n"/>
      <c r="H617" s="19" t="n"/>
    </row>
    <row r="618">
      <c r="A618" s="22" t="n"/>
      <c r="B618" s="19" t="n"/>
      <c r="C618" s="18">
        <f>IF(B618="","",IFERROR(INDEX(Jugadores!$C$2:$C$501,MATCH(B618,Jugadores!$A$2:$A$501,0)),"⚠ ID no existe"))</f>
        <v/>
      </c>
      <c r="D618" s="19" t="n"/>
      <c r="E618" s="19" t="n"/>
      <c r="F618" s="16">
        <f>IF(OR(B618="",D618=""),"",IFERROR(INDEX('Tabla XP'!$B$2:$B$12,MATCH(D618,'Tabla XP'!$A$2:$A$12,0))*IF(E618="",1,E618),0))</f>
        <v/>
      </c>
      <c r="G618" s="19" t="n"/>
      <c r="H618" s="19" t="n"/>
    </row>
    <row r="619">
      <c r="A619" s="22" t="n"/>
      <c r="B619" s="19" t="n"/>
      <c r="C619" s="18">
        <f>IF(B619="","",IFERROR(INDEX(Jugadores!$C$2:$C$501,MATCH(B619,Jugadores!$A$2:$A$501,0)),"⚠ ID no existe"))</f>
        <v/>
      </c>
      <c r="D619" s="19" t="n"/>
      <c r="E619" s="19" t="n"/>
      <c r="F619" s="16">
        <f>IF(OR(B619="",D619=""),"",IFERROR(INDEX('Tabla XP'!$B$2:$B$12,MATCH(D619,'Tabla XP'!$A$2:$A$12,0))*IF(E619="",1,E619),0))</f>
        <v/>
      </c>
      <c r="G619" s="19" t="n"/>
      <c r="H619" s="19" t="n"/>
    </row>
    <row r="620">
      <c r="A620" s="22" t="n"/>
      <c r="B620" s="19" t="n"/>
      <c r="C620" s="18">
        <f>IF(B620="","",IFERROR(INDEX(Jugadores!$C$2:$C$501,MATCH(B620,Jugadores!$A$2:$A$501,0)),"⚠ ID no existe"))</f>
        <v/>
      </c>
      <c r="D620" s="19" t="n"/>
      <c r="E620" s="19" t="n"/>
      <c r="F620" s="16">
        <f>IF(OR(B620="",D620=""),"",IFERROR(INDEX('Tabla XP'!$B$2:$B$12,MATCH(D620,'Tabla XP'!$A$2:$A$12,0))*IF(E620="",1,E620),0))</f>
        <v/>
      </c>
      <c r="G620" s="19" t="n"/>
      <c r="H620" s="19" t="n"/>
    </row>
    <row r="621">
      <c r="A621" s="22" t="n"/>
      <c r="B621" s="19" t="n"/>
      <c r="C621" s="18">
        <f>IF(B621="","",IFERROR(INDEX(Jugadores!$C$2:$C$501,MATCH(B621,Jugadores!$A$2:$A$501,0)),"⚠ ID no existe"))</f>
        <v/>
      </c>
      <c r="D621" s="19" t="n"/>
      <c r="E621" s="19" t="n"/>
      <c r="F621" s="16">
        <f>IF(OR(B621="",D621=""),"",IFERROR(INDEX('Tabla XP'!$B$2:$B$12,MATCH(D621,'Tabla XP'!$A$2:$A$12,0))*IF(E621="",1,E621),0))</f>
        <v/>
      </c>
      <c r="G621" s="19" t="n"/>
      <c r="H621" s="19" t="n"/>
    </row>
    <row r="622">
      <c r="A622" s="22" t="n"/>
      <c r="B622" s="19" t="n"/>
      <c r="C622" s="18">
        <f>IF(B622="","",IFERROR(INDEX(Jugadores!$C$2:$C$501,MATCH(B622,Jugadores!$A$2:$A$501,0)),"⚠ ID no existe"))</f>
        <v/>
      </c>
      <c r="D622" s="19" t="n"/>
      <c r="E622" s="19" t="n"/>
      <c r="F622" s="16">
        <f>IF(OR(B622="",D622=""),"",IFERROR(INDEX('Tabla XP'!$B$2:$B$12,MATCH(D622,'Tabla XP'!$A$2:$A$12,0))*IF(E622="",1,E622),0))</f>
        <v/>
      </c>
      <c r="G622" s="19" t="n"/>
      <c r="H622" s="19" t="n"/>
    </row>
    <row r="623">
      <c r="A623" s="22" t="n"/>
      <c r="B623" s="19" t="n"/>
      <c r="C623" s="18">
        <f>IF(B623="","",IFERROR(INDEX(Jugadores!$C$2:$C$501,MATCH(B623,Jugadores!$A$2:$A$501,0)),"⚠ ID no existe"))</f>
        <v/>
      </c>
      <c r="D623" s="19" t="n"/>
      <c r="E623" s="19" t="n"/>
      <c r="F623" s="16">
        <f>IF(OR(B623="",D623=""),"",IFERROR(INDEX('Tabla XP'!$B$2:$B$12,MATCH(D623,'Tabla XP'!$A$2:$A$12,0))*IF(E623="",1,E623),0))</f>
        <v/>
      </c>
      <c r="G623" s="19" t="n"/>
      <c r="H623" s="19" t="n"/>
    </row>
    <row r="624">
      <c r="A624" s="22" t="n"/>
      <c r="B624" s="19" t="n"/>
      <c r="C624" s="18">
        <f>IF(B624="","",IFERROR(INDEX(Jugadores!$C$2:$C$501,MATCH(B624,Jugadores!$A$2:$A$501,0)),"⚠ ID no existe"))</f>
        <v/>
      </c>
      <c r="D624" s="19" t="n"/>
      <c r="E624" s="19" t="n"/>
      <c r="F624" s="16">
        <f>IF(OR(B624="",D624=""),"",IFERROR(INDEX('Tabla XP'!$B$2:$B$12,MATCH(D624,'Tabla XP'!$A$2:$A$12,0))*IF(E624="",1,E624),0))</f>
        <v/>
      </c>
      <c r="G624" s="19" t="n"/>
      <c r="H624" s="19" t="n"/>
    </row>
    <row r="625">
      <c r="A625" s="22" t="n"/>
      <c r="B625" s="19" t="n"/>
      <c r="C625" s="18">
        <f>IF(B625="","",IFERROR(INDEX(Jugadores!$C$2:$C$501,MATCH(B625,Jugadores!$A$2:$A$501,0)),"⚠ ID no existe"))</f>
        <v/>
      </c>
      <c r="D625" s="19" t="n"/>
      <c r="E625" s="19" t="n"/>
      <c r="F625" s="16">
        <f>IF(OR(B625="",D625=""),"",IFERROR(INDEX('Tabla XP'!$B$2:$B$12,MATCH(D625,'Tabla XP'!$A$2:$A$12,0))*IF(E625="",1,E625),0))</f>
        <v/>
      </c>
      <c r="G625" s="19" t="n"/>
      <c r="H625" s="19" t="n"/>
    </row>
    <row r="626">
      <c r="A626" s="22" t="n"/>
      <c r="B626" s="19" t="n"/>
      <c r="C626" s="18">
        <f>IF(B626="","",IFERROR(INDEX(Jugadores!$C$2:$C$501,MATCH(B626,Jugadores!$A$2:$A$501,0)),"⚠ ID no existe"))</f>
        <v/>
      </c>
      <c r="D626" s="19" t="n"/>
      <c r="E626" s="19" t="n"/>
      <c r="F626" s="16">
        <f>IF(OR(B626="",D626=""),"",IFERROR(INDEX('Tabla XP'!$B$2:$B$12,MATCH(D626,'Tabla XP'!$A$2:$A$12,0))*IF(E626="",1,E626),0))</f>
        <v/>
      </c>
      <c r="G626" s="19" t="n"/>
      <c r="H626" s="19" t="n"/>
    </row>
    <row r="627">
      <c r="A627" s="22" t="n"/>
      <c r="B627" s="19" t="n"/>
      <c r="C627" s="18">
        <f>IF(B627="","",IFERROR(INDEX(Jugadores!$C$2:$C$501,MATCH(B627,Jugadores!$A$2:$A$501,0)),"⚠ ID no existe"))</f>
        <v/>
      </c>
      <c r="D627" s="19" t="n"/>
      <c r="E627" s="19" t="n"/>
      <c r="F627" s="16">
        <f>IF(OR(B627="",D627=""),"",IFERROR(INDEX('Tabla XP'!$B$2:$B$12,MATCH(D627,'Tabla XP'!$A$2:$A$12,0))*IF(E627="",1,E627),0))</f>
        <v/>
      </c>
      <c r="G627" s="19" t="n"/>
      <c r="H627" s="19" t="n"/>
    </row>
    <row r="628">
      <c r="A628" s="22" t="n"/>
      <c r="B628" s="19" t="n"/>
      <c r="C628" s="18">
        <f>IF(B628="","",IFERROR(INDEX(Jugadores!$C$2:$C$501,MATCH(B628,Jugadores!$A$2:$A$501,0)),"⚠ ID no existe"))</f>
        <v/>
      </c>
      <c r="D628" s="19" t="n"/>
      <c r="E628" s="19" t="n"/>
      <c r="F628" s="16">
        <f>IF(OR(B628="",D628=""),"",IFERROR(INDEX('Tabla XP'!$B$2:$B$12,MATCH(D628,'Tabla XP'!$A$2:$A$12,0))*IF(E628="",1,E628),0))</f>
        <v/>
      </c>
      <c r="G628" s="19" t="n"/>
      <c r="H628" s="19" t="n"/>
    </row>
    <row r="629">
      <c r="A629" s="22" t="n"/>
      <c r="B629" s="19" t="n"/>
      <c r="C629" s="18">
        <f>IF(B629="","",IFERROR(INDEX(Jugadores!$C$2:$C$501,MATCH(B629,Jugadores!$A$2:$A$501,0)),"⚠ ID no existe"))</f>
        <v/>
      </c>
      <c r="D629" s="19" t="n"/>
      <c r="E629" s="19" t="n"/>
      <c r="F629" s="16">
        <f>IF(OR(B629="",D629=""),"",IFERROR(INDEX('Tabla XP'!$B$2:$B$12,MATCH(D629,'Tabla XP'!$A$2:$A$12,0))*IF(E629="",1,E629),0))</f>
        <v/>
      </c>
      <c r="G629" s="19" t="n"/>
      <c r="H629" s="19" t="n"/>
    </row>
    <row r="630">
      <c r="A630" s="22" t="n"/>
      <c r="B630" s="19" t="n"/>
      <c r="C630" s="18">
        <f>IF(B630="","",IFERROR(INDEX(Jugadores!$C$2:$C$501,MATCH(B630,Jugadores!$A$2:$A$501,0)),"⚠ ID no existe"))</f>
        <v/>
      </c>
      <c r="D630" s="19" t="n"/>
      <c r="E630" s="19" t="n"/>
      <c r="F630" s="16">
        <f>IF(OR(B630="",D630=""),"",IFERROR(INDEX('Tabla XP'!$B$2:$B$12,MATCH(D630,'Tabla XP'!$A$2:$A$12,0))*IF(E630="",1,E630),0))</f>
        <v/>
      </c>
      <c r="G630" s="19" t="n"/>
      <c r="H630" s="19" t="n"/>
    </row>
    <row r="631">
      <c r="A631" s="22" t="n"/>
      <c r="B631" s="19" t="n"/>
      <c r="C631" s="18">
        <f>IF(B631="","",IFERROR(INDEX(Jugadores!$C$2:$C$501,MATCH(B631,Jugadores!$A$2:$A$501,0)),"⚠ ID no existe"))</f>
        <v/>
      </c>
      <c r="D631" s="19" t="n"/>
      <c r="E631" s="19" t="n"/>
      <c r="F631" s="16">
        <f>IF(OR(B631="",D631=""),"",IFERROR(INDEX('Tabla XP'!$B$2:$B$12,MATCH(D631,'Tabla XP'!$A$2:$A$12,0))*IF(E631="",1,E631),0))</f>
        <v/>
      </c>
      <c r="G631" s="19" t="n"/>
      <c r="H631" s="19" t="n"/>
    </row>
    <row r="632">
      <c r="A632" s="22" t="n"/>
      <c r="B632" s="19" t="n"/>
      <c r="C632" s="18">
        <f>IF(B632="","",IFERROR(INDEX(Jugadores!$C$2:$C$501,MATCH(B632,Jugadores!$A$2:$A$501,0)),"⚠ ID no existe"))</f>
        <v/>
      </c>
      <c r="D632" s="19" t="n"/>
      <c r="E632" s="19" t="n"/>
      <c r="F632" s="16">
        <f>IF(OR(B632="",D632=""),"",IFERROR(INDEX('Tabla XP'!$B$2:$B$12,MATCH(D632,'Tabla XP'!$A$2:$A$12,0))*IF(E632="",1,E632),0))</f>
        <v/>
      </c>
      <c r="G632" s="19" t="n"/>
      <c r="H632" s="19" t="n"/>
    </row>
    <row r="633">
      <c r="A633" s="22" t="n"/>
      <c r="B633" s="19" t="n"/>
      <c r="C633" s="18">
        <f>IF(B633="","",IFERROR(INDEX(Jugadores!$C$2:$C$501,MATCH(B633,Jugadores!$A$2:$A$501,0)),"⚠ ID no existe"))</f>
        <v/>
      </c>
      <c r="D633" s="19" t="n"/>
      <c r="E633" s="19" t="n"/>
      <c r="F633" s="16">
        <f>IF(OR(B633="",D633=""),"",IFERROR(INDEX('Tabla XP'!$B$2:$B$12,MATCH(D633,'Tabla XP'!$A$2:$A$12,0))*IF(E633="",1,E633),0))</f>
        <v/>
      </c>
      <c r="G633" s="19" t="n"/>
      <c r="H633" s="19" t="n"/>
    </row>
    <row r="634">
      <c r="A634" s="22" t="n"/>
      <c r="B634" s="19" t="n"/>
      <c r="C634" s="18">
        <f>IF(B634="","",IFERROR(INDEX(Jugadores!$C$2:$C$501,MATCH(B634,Jugadores!$A$2:$A$501,0)),"⚠ ID no existe"))</f>
        <v/>
      </c>
      <c r="D634" s="19" t="n"/>
      <c r="E634" s="19" t="n"/>
      <c r="F634" s="16">
        <f>IF(OR(B634="",D634=""),"",IFERROR(INDEX('Tabla XP'!$B$2:$B$12,MATCH(D634,'Tabla XP'!$A$2:$A$12,0))*IF(E634="",1,E634),0))</f>
        <v/>
      </c>
      <c r="G634" s="19" t="n"/>
      <c r="H634" s="19" t="n"/>
    </row>
    <row r="635">
      <c r="A635" s="22" t="n"/>
      <c r="B635" s="19" t="n"/>
      <c r="C635" s="18">
        <f>IF(B635="","",IFERROR(INDEX(Jugadores!$C$2:$C$501,MATCH(B635,Jugadores!$A$2:$A$501,0)),"⚠ ID no existe"))</f>
        <v/>
      </c>
      <c r="D635" s="19" t="n"/>
      <c r="E635" s="19" t="n"/>
      <c r="F635" s="16">
        <f>IF(OR(B635="",D635=""),"",IFERROR(INDEX('Tabla XP'!$B$2:$B$12,MATCH(D635,'Tabla XP'!$A$2:$A$12,0))*IF(E635="",1,E635),0))</f>
        <v/>
      </c>
      <c r="G635" s="19" t="n"/>
      <c r="H635" s="19" t="n"/>
    </row>
    <row r="636">
      <c r="A636" s="22" t="n"/>
      <c r="B636" s="19" t="n"/>
      <c r="C636" s="18">
        <f>IF(B636="","",IFERROR(INDEX(Jugadores!$C$2:$C$501,MATCH(B636,Jugadores!$A$2:$A$501,0)),"⚠ ID no existe"))</f>
        <v/>
      </c>
      <c r="D636" s="19" t="n"/>
      <c r="E636" s="19" t="n"/>
      <c r="F636" s="16">
        <f>IF(OR(B636="",D636=""),"",IFERROR(INDEX('Tabla XP'!$B$2:$B$12,MATCH(D636,'Tabla XP'!$A$2:$A$12,0))*IF(E636="",1,E636),0))</f>
        <v/>
      </c>
      <c r="G636" s="19" t="n"/>
      <c r="H636" s="19" t="n"/>
    </row>
    <row r="637">
      <c r="A637" s="22" t="n"/>
      <c r="B637" s="19" t="n"/>
      <c r="C637" s="18">
        <f>IF(B637="","",IFERROR(INDEX(Jugadores!$C$2:$C$501,MATCH(B637,Jugadores!$A$2:$A$501,0)),"⚠ ID no existe"))</f>
        <v/>
      </c>
      <c r="D637" s="19" t="n"/>
      <c r="E637" s="19" t="n"/>
      <c r="F637" s="16">
        <f>IF(OR(B637="",D637=""),"",IFERROR(INDEX('Tabla XP'!$B$2:$B$12,MATCH(D637,'Tabla XP'!$A$2:$A$12,0))*IF(E637="",1,E637),0))</f>
        <v/>
      </c>
      <c r="G637" s="19" t="n"/>
      <c r="H637" s="19" t="n"/>
    </row>
    <row r="638">
      <c r="A638" s="22" t="n"/>
      <c r="B638" s="19" t="n"/>
      <c r="C638" s="18">
        <f>IF(B638="","",IFERROR(INDEX(Jugadores!$C$2:$C$501,MATCH(B638,Jugadores!$A$2:$A$501,0)),"⚠ ID no existe"))</f>
        <v/>
      </c>
      <c r="D638" s="19" t="n"/>
      <c r="E638" s="19" t="n"/>
      <c r="F638" s="16">
        <f>IF(OR(B638="",D638=""),"",IFERROR(INDEX('Tabla XP'!$B$2:$B$12,MATCH(D638,'Tabla XP'!$A$2:$A$12,0))*IF(E638="",1,E638),0))</f>
        <v/>
      </c>
      <c r="G638" s="19" t="n"/>
      <c r="H638" s="19" t="n"/>
    </row>
    <row r="639">
      <c r="A639" s="22" t="n"/>
      <c r="B639" s="19" t="n"/>
      <c r="C639" s="18">
        <f>IF(B639="","",IFERROR(INDEX(Jugadores!$C$2:$C$501,MATCH(B639,Jugadores!$A$2:$A$501,0)),"⚠ ID no existe"))</f>
        <v/>
      </c>
      <c r="D639" s="19" t="n"/>
      <c r="E639" s="19" t="n"/>
      <c r="F639" s="16">
        <f>IF(OR(B639="",D639=""),"",IFERROR(INDEX('Tabla XP'!$B$2:$B$12,MATCH(D639,'Tabla XP'!$A$2:$A$12,0))*IF(E639="",1,E639),0))</f>
        <v/>
      </c>
      <c r="G639" s="19" t="n"/>
      <c r="H639" s="19" t="n"/>
    </row>
    <row r="640">
      <c r="A640" s="22" t="n"/>
      <c r="B640" s="19" t="n"/>
      <c r="C640" s="18">
        <f>IF(B640="","",IFERROR(INDEX(Jugadores!$C$2:$C$501,MATCH(B640,Jugadores!$A$2:$A$501,0)),"⚠ ID no existe"))</f>
        <v/>
      </c>
      <c r="D640" s="19" t="n"/>
      <c r="E640" s="19" t="n"/>
      <c r="F640" s="16">
        <f>IF(OR(B640="",D640=""),"",IFERROR(INDEX('Tabla XP'!$B$2:$B$12,MATCH(D640,'Tabla XP'!$A$2:$A$12,0))*IF(E640="",1,E640),0))</f>
        <v/>
      </c>
      <c r="G640" s="19" t="n"/>
      <c r="H640" s="19" t="n"/>
    </row>
    <row r="641">
      <c r="A641" s="22" t="n"/>
      <c r="B641" s="19" t="n"/>
      <c r="C641" s="18">
        <f>IF(B641="","",IFERROR(INDEX(Jugadores!$C$2:$C$501,MATCH(B641,Jugadores!$A$2:$A$501,0)),"⚠ ID no existe"))</f>
        <v/>
      </c>
      <c r="D641" s="19" t="n"/>
      <c r="E641" s="19" t="n"/>
      <c r="F641" s="16">
        <f>IF(OR(B641="",D641=""),"",IFERROR(INDEX('Tabla XP'!$B$2:$B$12,MATCH(D641,'Tabla XP'!$A$2:$A$12,0))*IF(E641="",1,E641),0))</f>
        <v/>
      </c>
      <c r="G641" s="19" t="n"/>
      <c r="H641" s="19" t="n"/>
    </row>
    <row r="642">
      <c r="A642" s="22" t="n"/>
      <c r="B642" s="19" t="n"/>
      <c r="C642" s="18">
        <f>IF(B642="","",IFERROR(INDEX(Jugadores!$C$2:$C$501,MATCH(B642,Jugadores!$A$2:$A$501,0)),"⚠ ID no existe"))</f>
        <v/>
      </c>
      <c r="D642" s="19" t="n"/>
      <c r="E642" s="19" t="n"/>
      <c r="F642" s="16">
        <f>IF(OR(B642="",D642=""),"",IFERROR(INDEX('Tabla XP'!$B$2:$B$12,MATCH(D642,'Tabla XP'!$A$2:$A$12,0))*IF(E642="",1,E642),0))</f>
        <v/>
      </c>
      <c r="G642" s="19" t="n"/>
      <c r="H642" s="19" t="n"/>
    </row>
    <row r="643">
      <c r="A643" s="22" t="n"/>
      <c r="B643" s="19" t="n"/>
      <c r="C643" s="18">
        <f>IF(B643="","",IFERROR(INDEX(Jugadores!$C$2:$C$501,MATCH(B643,Jugadores!$A$2:$A$501,0)),"⚠ ID no existe"))</f>
        <v/>
      </c>
      <c r="D643" s="19" t="n"/>
      <c r="E643" s="19" t="n"/>
      <c r="F643" s="16">
        <f>IF(OR(B643="",D643=""),"",IFERROR(INDEX('Tabla XP'!$B$2:$B$12,MATCH(D643,'Tabla XP'!$A$2:$A$12,0))*IF(E643="",1,E643),0))</f>
        <v/>
      </c>
      <c r="G643" s="19" t="n"/>
      <c r="H643" s="19" t="n"/>
    </row>
    <row r="644">
      <c r="A644" s="22" t="n"/>
      <c r="B644" s="19" t="n"/>
      <c r="C644" s="18">
        <f>IF(B644="","",IFERROR(INDEX(Jugadores!$C$2:$C$501,MATCH(B644,Jugadores!$A$2:$A$501,0)),"⚠ ID no existe"))</f>
        <v/>
      </c>
      <c r="D644" s="19" t="n"/>
      <c r="E644" s="19" t="n"/>
      <c r="F644" s="16">
        <f>IF(OR(B644="",D644=""),"",IFERROR(INDEX('Tabla XP'!$B$2:$B$12,MATCH(D644,'Tabla XP'!$A$2:$A$12,0))*IF(E644="",1,E644),0))</f>
        <v/>
      </c>
      <c r="G644" s="19" t="n"/>
      <c r="H644" s="19" t="n"/>
    </row>
    <row r="645">
      <c r="A645" s="22" t="n"/>
      <c r="B645" s="19" t="n"/>
      <c r="C645" s="18">
        <f>IF(B645="","",IFERROR(INDEX(Jugadores!$C$2:$C$501,MATCH(B645,Jugadores!$A$2:$A$501,0)),"⚠ ID no existe"))</f>
        <v/>
      </c>
      <c r="D645" s="19" t="n"/>
      <c r="E645" s="19" t="n"/>
      <c r="F645" s="16">
        <f>IF(OR(B645="",D645=""),"",IFERROR(INDEX('Tabla XP'!$B$2:$B$12,MATCH(D645,'Tabla XP'!$A$2:$A$12,0))*IF(E645="",1,E645),0))</f>
        <v/>
      </c>
      <c r="G645" s="19" t="n"/>
      <c r="H645" s="19" t="n"/>
    </row>
    <row r="646">
      <c r="A646" s="22" t="n"/>
      <c r="B646" s="19" t="n"/>
      <c r="C646" s="18">
        <f>IF(B646="","",IFERROR(INDEX(Jugadores!$C$2:$C$501,MATCH(B646,Jugadores!$A$2:$A$501,0)),"⚠ ID no existe"))</f>
        <v/>
      </c>
      <c r="D646" s="19" t="n"/>
      <c r="E646" s="19" t="n"/>
      <c r="F646" s="16">
        <f>IF(OR(B646="",D646=""),"",IFERROR(INDEX('Tabla XP'!$B$2:$B$12,MATCH(D646,'Tabla XP'!$A$2:$A$12,0))*IF(E646="",1,E646),0))</f>
        <v/>
      </c>
      <c r="G646" s="19" t="n"/>
      <c r="H646" s="19" t="n"/>
    </row>
    <row r="647">
      <c r="A647" s="22" t="n"/>
      <c r="B647" s="19" t="n"/>
      <c r="C647" s="18">
        <f>IF(B647="","",IFERROR(INDEX(Jugadores!$C$2:$C$501,MATCH(B647,Jugadores!$A$2:$A$501,0)),"⚠ ID no existe"))</f>
        <v/>
      </c>
      <c r="D647" s="19" t="n"/>
      <c r="E647" s="19" t="n"/>
      <c r="F647" s="16">
        <f>IF(OR(B647="",D647=""),"",IFERROR(INDEX('Tabla XP'!$B$2:$B$12,MATCH(D647,'Tabla XP'!$A$2:$A$12,0))*IF(E647="",1,E647),0))</f>
        <v/>
      </c>
      <c r="G647" s="19" t="n"/>
      <c r="H647" s="19" t="n"/>
    </row>
    <row r="648">
      <c r="A648" s="22" t="n"/>
      <c r="B648" s="19" t="n"/>
      <c r="C648" s="18">
        <f>IF(B648="","",IFERROR(INDEX(Jugadores!$C$2:$C$501,MATCH(B648,Jugadores!$A$2:$A$501,0)),"⚠ ID no existe"))</f>
        <v/>
      </c>
      <c r="D648" s="19" t="n"/>
      <c r="E648" s="19" t="n"/>
      <c r="F648" s="16">
        <f>IF(OR(B648="",D648=""),"",IFERROR(INDEX('Tabla XP'!$B$2:$B$12,MATCH(D648,'Tabla XP'!$A$2:$A$12,0))*IF(E648="",1,E648),0))</f>
        <v/>
      </c>
      <c r="G648" s="19" t="n"/>
      <c r="H648" s="19" t="n"/>
    </row>
    <row r="649">
      <c r="A649" s="22" t="n"/>
      <c r="B649" s="19" t="n"/>
      <c r="C649" s="18">
        <f>IF(B649="","",IFERROR(INDEX(Jugadores!$C$2:$C$501,MATCH(B649,Jugadores!$A$2:$A$501,0)),"⚠ ID no existe"))</f>
        <v/>
      </c>
      <c r="D649" s="19" t="n"/>
      <c r="E649" s="19" t="n"/>
      <c r="F649" s="16">
        <f>IF(OR(B649="",D649=""),"",IFERROR(INDEX('Tabla XP'!$B$2:$B$12,MATCH(D649,'Tabla XP'!$A$2:$A$12,0))*IF(E649="",1,E649),0))</f>
        <v/>
      </c>
      <c r="G649" s="19" t="n"/>
      <c r="H649" s="19" t="n"/>
    </row>
    <row r="650">
      <c r="A650" s="22" t="n"/>
      <c r="B650" s="19" t="n"/>
      <c r="C650" s="18">
        <f>IF(B650="","",IFERROR(INDEX(Jugadores!$C$2:$C$501,MATCH(B650,Jugadores!$A$2:$A$501,0)),"⚠ ID no existe"))</f>
        <v/>
      </c>
      <c r="D650" s="19" t="n"/>
      <c r="E650" s="19" t="n"/>
      <c r="F650" s="16">
        <f>IF(OR(B650="",D650=""),"",IFERROR(INDEX('Tabla XP'!$B$2:$B$12,MATCH(D650,'Tabla XP'!$A$2:$A$12,0))*IF(E650="",1,E650),0))</f>
        <v/>
      </c>
      <c r="G650" s="19" t="n"/>
      <c r="H650" s="19" t="n"/>
    </row>
    <row r="651">
      <c r="A651" s="22" t="n"/>
      <c r="B651" s="19" t="n"/>
      <c r="C651" s="18">
        <f>IF(B651="","",IFERROR(INDEX(Jugadores!$C$2:$C$501,MATCH(B651,Jugadores!$A$2:$A$501,0)),"⚠ ID no existe"))</f>
        <v/>
      </c>
      <c r="D651" s="19" t="n"/>
      <c r="E651" s="19" t="n"/>
      <c r="F651" s="16">
        <f>IF(OR(B651="",D651=""),"",IFERROR(INDEX('Tabla XP'!$B$2:$B$12,MATCH(D651,'Tabla XP'!$A$2:$A$12,0))*IF(E651="",1,E651),0))</f>
        <v/>
      </c>
      <c r="G651" s="19" t="n"/>
      <c r="H651" s="19" t="n"/>
    </row>
    <row r="652">
      <c r="A652" s="22" t="n"/>
      <c r="B652" s="19" t="n"/>
      <c r="C652" s="18">
        <f>IF(B652="","",IFERROR(INDEX(Jugadores!$C$2:$C$501,MATCH(B652,Jugadores!$A$2:$A$501,0)),"⚠ ID no existe"))</f>
        <v/>
      </c>
      <c r="D652" s="19" t="n"/>
      <c r="E652" s="19" t="n"/>
      <c r="F652" s="16">
        <f>IF(OR(B652="",D652=""),"",IFERROR(INDEX('Tabla XP'!$B$2:$B$12,MATCH(D652,'Tabla XP'!$A$2:$A$12,0))*IF(E652="",1,E652),0))</f>
        <v/>
      </c>
      <c r="G652" s="19" t="n"/>
      <c r="H652" s="19" t="n"/>
    </row>
    <row r="653">
      <c r="A653" s="22" t="n"/>
      <c r="B653" s="19" t="n"/>
      <c r="C653" s="18">
        <f>IF(B653="","",IFERROR(INDEX(Jugadores!$C$2:$C$501,MATCH(B653,Jugadores!$A$2:$A$501,0)),"⚠ ID no existe"))</f>
        <v/>
      </c>
      <c r="D653" s="19" t="n"/>
      <c r="E653" s="19" t="n"/>
      <c r="F653" s="16">
        <f>IF(OR(B653="",D653=""),"",IFERROR(INDEX('Tabla XP'!$B$2:$B$12,MATCH(D653,'Tabla XP'!$A$2:$A$12,0))*IF(E653="",1,E653),0))</f>
        <v/>
      </c>
      <c r="G653" s="19" t="n"/>
      <c r="H653" s="19" t="n"/>
    </row>
    <row r="654">
      <c r="A654" s="22" t="n"/>
      <c r="B654" s="19" t="n"/>
      <c r="C654" s="18">
        <f>IF(B654="","",IFERROR(INDEX(Jugadores!$C$2:$C$501,MATCH(B654,Jugadores!$A$2:$A$501,0)),"⚠ ID no existe"))</f>
        <v/>
      </c>
      <c r="D654" s="19" t="n"/>
      <c r="E654" s="19" t="n"/>
      <c r="F654" s="16">
        <f>IF(OR(B654="",D654=""),"",IFERROR(INDEX('Tabla XP'!$B$2:$B$12,MATCH(D654,'Tabla XP'!$A$2:$A$12,0))*IF(E654="",1,E654),0))</f>
        <v/>
      </c>
      <c r="G654" s="19" t="n"/>
      <c r="H654" s="19" t="n"/>
    </row>
    <row r="655">
      <c r="A655" s="22" t="n"/>
      <c r="B655" s="19" t="n"/>
      <c r="C655" s="18">
        <f>IF(B655="","",IFERROR(INDEX(Jugadores!$C$2:$C$501,MATCH(B655,Jugadores!$A$2:$A$501,0)),"⚠ ID no existe"))</f>
        <v/>
      </c>
      <c r="D655" s="19" t="n"/>
      <c r="E655" s="19" t="n"/>
      <c r="F655" s="16">
        <f>IF(OR(B655="",D655=""),"",IFERROR(INDEX('Tabla XP'!$B$2:$B$12,MATCH(D655,'Tabla XP'!$A$2:$A$12,0))*IF(E655="",1,E655),0))</f>
        <v/>
      </c>
      <c r="G655" s="19" t="n"/>
      <c r="H655" s="19" t="n"/>
    </row>
    <row r="656">
      <c r="A656" s="22" t="n"/>
      <c r="B656" s="19" t="n"/>
      <c r="C656" s="18">
        <f>IF(B656="","",IFERROR(INDEX(Jugadores!$C$2:$C$501,MATCH(B656,Jugadores!$A$2:$A$501,0)),"⚠ ID no existe"))</f>
        <v/>
      </c>
      <c r="D656" s="19" t="n"/>
      <c r="E656" s="19" t="n"/>
      <c r="F656" s="16">
        <f>IF(OR(B656="",D656=""),"",IFERROR(INDEX('Tabla XP'!$B$2:$B$12,MATCH(D656,'Tabla XP'!$A$2:$A$12,0))*IF(E656="",1,E656),0))</f>
        <v/>
      </c>
      <c r="G656" s="19" t="n"/>
      <c r="H656" s="19" t="n"/>
    </row>
    <row r="657">
      <c r="A657" s="22" t="n"/>
      <c r="B657" s="19" t="n"/>
      <c r="C657" s="18">
        <f>IF(B657="","",IFERROR(INDEX(Jugadores!$C$2:$C$501,MATCH(B657,Jugadores!$A$2:$A$501,0)),"⚠ ID no existe"))</f>
        <v/>
      </c>
      <c r="D657" s="19" t="n"/>
      <c r="E657" s="19" t="n"/>
      <c r="F657" s="16">
        <f>IF(OR(B657="",D657=""),"",IFERROR(INDEX('Tabla XP'!$B$2:$B$12,MATCH(D657,'Tabla XP'!$A$2:$A$12,0))*IF(E657="",1,E657),0))</f>
        <v/>
      </c>
      <c r="G657" s="19" t="n"/>
      <c r="H657" s="19" t="n"/>
    </row>
    <row r="658">
      <c r="A658" s="22" t="n"/>
      <c r="B658" s="19" t="n"/>
      <c r="C658" s="18">
        <f>IF(B658="","",IFERROR(INDEX(Jugadores!$C$2:$C$501,MATCH(B658,Jugadores!$A$2:$A$501,0)),"⚠ ID no existe"))</f>
        <v/>
      </c>
      <c r="D658" s="19" t="n"/>
      <c r="E658" s="19" t="n"/>
      <c r="F658" s="16">
        <f>IF(OR(B658="",D658=""),"",IFERROR(INDEX('Tabla XP'!$B$2:$B$12,MATCH(D658,'Tabla XP'!$A$2:$A$12,0))*IF(E658="",1,E658),0))</f>
        <v/>
      </c>
      <c r="G658" s="19" t="n"/>
      <c r="H658" s="19" t="n"/>
    </row>
    <row r="659">
      <c r="A659" s="22" t="n"/>
      <c r="B659" s="19" t="n"/>
      <c r="C659" s="18">
        <f>IF(B659="","",IFERROR(INDEX(Jugadores!$C$2:$C$501,MATCH(B659,Jugadores!$A$2:$A$501,0)),"⚠ ID no existe"))</f>
        <v/>
      </c>
      <c r="D659" s="19" t="n"/>
      <c r="E659" s="19" t="n"/>
      <c r="F659" s="16">
        <f>IF(OR(B659="",D659=""),"",IFERROR(INDEX('Tabla XP'!$B$2:$B$12,MATCH(D659,'Tabla XP'!$A$2:$A$12,0))*IF(E659="",1,E659),0))</f>
        <v/>
      </c>
      <c r="G659" s="19" t="n"/>
      <c r="H659" s="19" t="n"/>
    </row>
    <row r="660">
      <c r="A660" s="22" t="n"/>
      <c r="B660" s="19" t="n"/>
      <c r="C660" s="18">
        <f>IF(B660="","",IFERROR(INDEX(Jugadores!$C$2:$C$501,MATCH(B660,Jugadores!$A$2:$A$501,0)),"⚠ ID no existe"))</f>
        <v/>
      </c>
      <c r="D660" s="19" t="n"/>
      <c r="E660" s="19" t="n"/>
      <c r="F660" s="16">
        <f>IF(OR(B660="",D660=""),"",IFERROR(INDEX('Tabla XP'!$B$2:$B$12,MATCH(D660,'Tabla XP'!$A$2:$A$12,0))*IF(E660="",1,E660),0))</f>
        <v/>
      </c>
      <c r="G660" s="19" t="n"/>
      <c r="H660" s="19" t="n"/>
    </row>
    <row r="661">
      <c r="A661" s="22" t="n"/>
      <c r="B661" s="19" t="n"/>
      <c r="C661" s="18">
        <f>IF(B661="","",IFERROR(INDEX(Jugadores!$C$2:$C$501,MATCH(B661,Jugadores!$A$2:$A$501,0)),"⚠ ID no existe"))</f>
        <v/>
      </c>
      <c r="D661" s="19" t="n"/>
      <c r="E661" s="19" t="n"/>
      <c r="F661" s="16">
        <f>IF(OR(B661="",D661=""),"",IFERROR(INDEX('Tabla XP'!$B$2:$B$12,MATCH(D661,'Tabla XP'!$A$2:$A$12,0))*IF(E661="",1,E661),0))</f>
        <v/>
      </c>
      <c r="G661" s="19" t="n"/>
      <c r="H661" s="19" t="n"/>
    </row>
    <row r="662">
      <c r="A662" s="22" t="n"/>
      <c r="B662" s="19" t="n"/>
      <c r="C662" s="18">
        <f>IF(B662="","",IFERROR(INDEX(Jugadores!$C$2:$C$501,MATCH(B662,Jugadores!$A$2:$A$501,0)),"⚠ ID no existe"))</f>
        <v/>
      </c>
      <c r="D662" s="19" t="n"/>
      <c r="E662" s="19" t="n"/>
      <c r="F662" s="16">
        <f>IF(OR(B662="",D662=""),"",IFERROR(INDEX('Tabla XP'!$B$2:$B$12,MATCH(D662,'Tabla XP'!$A$2:$A$12,0))*IF(E662="",1,E662),0))</f>
        <v/>
      </c>
      <c r="G662" s="19" t="n"/>
      <c r="H662" s="19" t="n"/>
    </row>
    <row r="663">
      <c r="A663" s="22" t="n"/>
      <c r="B663" s="19" t="n"/>
      <c r="C663" s="18">
        <f>IF(B663="","",IFERROR(INDEX(Jugadores!$C$2:$C$501,MATCH(B663,Jugadores!$A$2:$A$501,0)),"⚠ ID no existe"))</f>
        <v/>
      </c>
      <c r="D663" s="19" t="n"/>
      <c r="E663" s="19" t="n"/>
      <c r="F663" s="16">
        <f>IF(OR(B663="",D663=""),"",IFERROR(INDEX('Tabla XP'!$B$2:$B$12,MATCH(D663,'Tabla XP'!$A$2:$A$12,0))*IF(E663="",1,E663),0))</f>
        <v/>
      </c>
      <c r="G663" s="19" t="n"/>
      <c r="H663" s="19" t="n"/>
    </row>
    <row r="664">
      <c r="A664" s="22" t="n"/>
      <c r="B664" s="19" t="n"/>
      <c r="C664" s="18">
        <f>IF(B664="","",IFERROR(INDEX(Jugadores!$C$2:$C$501,MATCH(B664,Jugadores!$A$2:$A$501,0)),"⚠ ID no existe"))</f>
        <v/>
      </c>
      <c r="D664" s="19" t="n"/>
      <c r="E664" s="19" t="n"/>
      <c r="F664" s="16">
        <f>IF(OR(B664="",D664=""),"",IFERROR(INDEX('Tabla XP'!$B$2:$B$12,MATCH(D664,'Tabla XP'!$A$2:$A$12,0))*IF(E664="",1,E664),0))</f>
        <v/>
      </c>
      <c r="G664" s="19" t="n"/>
      <c r="H664" s="19" t="n"/>
    </row>
    <row r="665">
      <c r="A665" s="22" t="n"/>
      <c r="B665" s="19" t="n"/>
      <c r="C665" s="18">
        <f>IF(B665="","",IFERROR(INDEX(Jugadores!$C$2:$C$501,MATCH(B665,Jugadores!$A$2:$A$501,0)),"⚠ ID no existe"))</f>
        <v/>
      </c>
      <c r="D665" s="19" t="n"/>
      <c r="E665" s="19" t="n"/>
      <c r="F665" s="16">
        <f>IF(OR(B665="",D665=""),"",IFERROR(INDEX('Tabla XP'!$B$2:$B$12,MATCH(D665,'Tabla XP'!$A$2:$A$12,0))*IF(E665="",1,E665),0))</f>
        <v/>
      </c>
      <c r="G665" s="19" t="n"/>
      <c r="H665" s="19" t="n"/>
    </row>
    <row r="666">
      <c r="A666" s="22" t="n"/>
      <c r="B666" s="19" t="n"/>
      <c r="C666" s="18">
        <f>IF(B666="","",IFERROR(INDEX(Jugadores!$C$2:$C$501,MATCH(B666,Jugadores!$A$2:$A$501,0)),"⚠ ID no existe"))</f>
        <v/>
      </c>
      <c r="D666" s="19" t="n"/>
      <c r="E666" s="19" t="n"/>
      <c r="F666" s="16">
        <f>IF(OR(B666="",D666=""),"",IFERROR(INDEX('Tabla XP'!$B$2:$B$12,MATCH(D666,'Tabla XP'!$A$2:$A$12,0))*IF(E666="",1,E666),0))</f>
        <v/>
      </c>
      <c r="G666" s="19" t="n"/>
      <c r="H666" s="19" t="n"/>
    </row>
    <row r="667">
      <c r="A667" s="22" t="n"/>
      <c r="B667" s="19" t="n"/>
      <c r="C667" s="18">
        <f>IF(B667="","",IFERROR(INDEX(Jugadores!$C$2:$C$501,MATCH(B667,Jugadores!$A$2:$A$501,0)),"⚠ ID no existe"))</f>
        <v/>
      </c>
      <c r="D667" s="19" t="n"/>
      <c r="E667" s="19" t="n"/>
      <c r="F667" s="16">
        <f>IF(OR(B667="",D667=""),"",IFERROR(INDEX('Tabla XP'!$B$2:$B$12,MATCH(D667,'Tabla XP'!$A$2:$A$12,0))*IF(E667="",1,E667),0))</f>
        <v/>
      </c>
      <c r="G667" s="19" t="n"/>
      <c r="H667" s="19" t="n"/>
    </row>
    <row r="668">
      <c r="A668" s="22" t="n"/>
      <c r="B668" s="19" t="n"/>
      <c r="C668" s="18">
        <f>IF(B668="","",IFERROR(INDEX(Jugadores!$C$2:$C$501,MATCH(B668,Jugadores!$A$2:$A$501,0)),"⚠ ID no existe"))</f>
        <v/>
      </c>
      <c r="D668" s="19" t="n"/>
      <c r="E668" s="19" t="n"/>
      <c r="F668" s="16">
        <f>IF(OR(B668="",D668=""),"",IFERROR(INDEX('Tabla XP'!$B$2:$B$12,MATCH(D668,'Tabla XP'!$A$2:$A$12,0))*IF(E668="",1,E668),0))</f>
        <v/>
      </c>
      <c r="G668" s="19" t="n"/>
      <c r="H668" s="19" t="n"/>
    </row>
    <row r="669">
      <c r="A669" s="22" t="n"/>
      <c r="B669" s="19" t="n"/>
      <c r="C669" s="18">
        <f>IF(B669="","",IFERROR(INDEX(Jugadores!$C$2:$C$501,MATCH(B669,Jugadores!$A$2:$A$501,0)),"⚠ ID no existe"))</f>
        <v/>
      </c>
      <c r="D669" s="19" t="n"/>
      <c r="E669" s="19" t="n"/>
      <c r="F669" s="16">
        <f>IF(OR(B669="",D669=""),"",IFERROR(INDEX('Tabla XP'!$B$2:$B$12,MATCH(D669,'Tabla XP'!$A$2:$A$12,0))*IF(E669="",1,E669),0))</f>
        <v/>
      </c>
      <c r="G669" s="19" t="n"/>
      <c r="H669" s="19" t="n"/>
    </row>
    <row r="670">
      <c r="A670" s="22" t="n"/>
      <c r="B670" s="19" t="n"/>
      <c r="C670" s="18">
        <f>IF(B670="","",IFERROR(INDEX(Jugadores!$C$2:$C$501,MATCH(B670,Jugadores!$A$2:$A$501,0)),"⚠ ID no existe"))</f>
        <v/>
      </c>
      <c r="D670" s="19" t="n"/>
      <c r="E670" s="19" t="n"/>
      <c r="F670" s="16">
        <f>IF(OR(B670="",D670=""),"",IFERROR(INDEX('Tabla XP'!$B$2:$B$12,MATCH(D670,'Tabla XP'!$A$2:$A$12,0))*IF(E670="",1,E670),0))</f>
        <v/>
      </c>
      <c r="G670" s="19" t="n"/>
      <c r="H670" s="19" t="n"/>
    </row>
    <row r="671">
      <c r="A671" s="22" t="n"/>
      <c r="B671" s="19" t="n"/>
      <c r="C671" s="18">
        <f>IF(B671="","",IFERROR(INDEX(Jugadores!$C$2:$C$501,MATCH(B671,Jugadores!$A$2:$A$501,0)),"⚠ ID no existe"))</f>
        <v/>
      </c>
      <c r="D671" s="19" t="n"/>
      <c r="E671" s="19" t="n"/>
      <c r="F671" s="16">
        <f>IF(OR(B671="",D671=""),"",IFERROR(INDEX('Tabla XP'!$B$2:$B$12,MATCH(D671,'Tabla XP'!$A$2:$A$12,0))*IF(E671="",1,E671),0))</f>
        <v/>
      </c>
      <c r="G671" s="19" t="n"/>
      <c r="H671" s="19" t="n"/>
    </row>
    <row r="672">
      <c r="A672" s="22" t="n"/>
      <c r="B672" s="19" t="n"/>
      <c r="C672" s="18">
        <f>IF(B672="","",IFERROR(INDEX(Jugadores!$C$2:$C$501,MATCH(B672,Jugadores!$A$2:$A$501,0)),"⚠ ID no existe"))</f>
        <v/>
      </c>
      <c r="D672" s="19" t="n"/>
      <c r="E672" s="19" t="n"/>
      <c r="F672" s="16">
        <f>IF(OR(B672="",D672=""),"",IFERROR(INDEX('Tabla XP'!$B$2:$B$12,MATCH(D672,'Tabla XP'!$A$2:$A$12,0))*IF(E672="",1,E672),0))</f>
        <v/>
      </c>
      <c r="G672" s="19" t="n"/>
      <c r="H672" s="19" t="n"/>
    </row>
    <row r="673">
      <c r="A673" s="22" t="n"/>
      <c r="B673" s="19" t="n"/>
      <c r="C673" s="18">
        <f>IF(B673="","",IFERROR(INDEX(Jugadores!$C$2:$C$501,MATCH(B673,Jugadores!$A$2:$A$501,0)),"⚠ ID no existe"))</f>
        <v/>
      </c>
      <c r="D673" s="19" t="n"/>
      <c r="E673" s="19" t="n"/>
      <c r="F673" s="16">
        <f>IF(OR(B673="",D673=""),"",IFERROR(INDEX('Tabla XP'!$B$2:$B$12,MATCH(D673,'Tabla XP'!$A$2:$A$12,0))*IF(E673="",1,E673),0))</f>
        <v/>
      </c>
      <c r="G673" s="19" t="n"/>
      <c r="H673" s="19" t="n"/>
    </row>
    <row r="674">
      <c r="A674" s="22" t="n"/>
      <c r="B674" s="19" t="n"/>
      <c r="C674" s="18">
        <f>IF(B674="","",IFERROR(INDEX(Jugadores!$C$2:$C$501,MATCH(B674,Jugadores!$A$2:$A$501,0)),"⚠ ID no existe"))</f>
        <v/>
      </c>
      <c r="D674" s="19" t="n"/>
      <c r="E674" s="19" t="n"/>
      <c r="F674" s="16">
        <f>IF(OR(B674="",D674=""),"",IFERROR(INDEX('Tabla XP'!$B$2:$B$12,MATCH(D674,'Tabla XP'!$A$2:$A$12,0))*IF(E674="",1,E674),0))</f>
        <v/>
      </c>
      <c r="G674" s="19" t="n"/>
      <c r="H674" s="19" t="n"/>
    </row>
    <row r="675">
      <c r="A675" s="22" t="n"/>
      <c r="B675" s="19" t="n"/>
      <c r="C675" s="18">
        <f>IF(B675="","",IFERROR(INDEX(Jugadores!$C$2:$C$501,MATCH(B675,Jugadores!$A$2:$A$501,0)),"⚠ ID no existe"))</f>
        <v/>
      </c>
      <c r="D675" s="19" t="n"/>
      <c r="E675" s="19" t="n"/>
      <c r="F675" s="16">
        <f>IF(OR(B675="",D675=""),"",IFERROR(INDEX('Tabla XP'!$B$2:$B$12,MATCH(D675,'Tabla XP'!$A$2:$A$12,0))*IF(E675="",1,E675),0))</f>
        <v/>
      </c>
      <c r="G675" s="19" t="n"/>
      <c r="H675" s="19" t="n"/>
    </row>
    <row r="676">
      <c r="A676" s="22" t="n"/>
      <c r="B676" s="19" t="n"/>
      <c r="C676" s="18">
        <f>IF(B676="","",IFERROR(INDEX(Jugadores!$C$2:$C$501,MATCH(B676,Jugadores!$A$2:$A$501,0)),"⚠ ID no existe"))</f>
        <v/>
      </c>
      <c r="D676" s="19" t="n"/>
      <c r="E676" s="19" t="n"/>
      <c r="F676" s="16">
        <f>IF(OR(B676="",D676=""),"",IFERROR(INDEX('Tabla XP'!$B$2:$B$12,MATCH(D676,'Tabla XP'!$A$2:$A$12,0))*IF(E676="",1,E676),0))</f>
        <v/>
      </c>
      <c r="G676" s="19" t="n"/>
      <c r="H676" s="19" t="n"/>
    </row>
    <row r="677">
      <c r="A677" s="22" t="n"/>
      <c r="B677" s="19" t="n"/>
      <c r="C677" s="18">
        <f>IF(B677="","",IFERROR(INDEX(Jugadores!$C$2:$C$501,MATCH(B677,Jugadores!$A$2:$A$501,0)),"⚠ ID no existe"))</f>
        <v/>
      </c>
      <c r="D677" s="19" t="n"/>
      <c r="E677" s="19" t="n"/>
      <c r="F677" s="16">
        <f>IF(OR(B677="",D677=""),"",IFERROR(INDEX('Tabla XP'!$B$2:$B$12,MATCH(D677,'Tabla XP'!$A$2:$A$12,0))*IF(E677="",1,E677),0))</f>
        <v/>
      </c>
      <c r="G677" s="19" t="n"/>
      <c r="H677" s="19" t="n"/>
    </row>
    <row r="678">
      <c r="A678" s="22" t="n"/>
      <c r="B678" s="19" t="n"/>
      <c r="C678" s="18">
        <f>IF(B678="","",IFERROR(INDEX(Jugadores!$C$2:$C$501,MATCH(B678,Jugadores!$A$2:$A$501,0)),"⚠ ID no existe"))</f>
        <v/>
      </c>
      <c r="D678" s="19" t="n"/>
      <c r="E678" s="19" t="n"/>
      <c r="F678" s="16">
        <f>IF(OR(B678="",D678=""),"",IFERROR(INDEX('Tabla XP'!$B$2:$B$12,MATCH(D678,'Tabla XP'!$A$2:$A$12,0))*IF(E678="",1,E678),0))</f>
        <v/>
      </c>
      <c r="G678" s="19" t="n"/>
      <c r="H678" s="19" t="n"/>
    </row>
    <row r="679">
      <c r="A679" s="22" t="n"/>
      <c r="B679" s="19" t="n"/>
      <c r="C679" s="18">
        <f>IF(B679="","",IFERROR(INDEX(Jugadores!$C$2:$C$501,MATCH(B679,Jugadores!$A$2:$A$501,0)),"⚠ ID no existe"))</f>
        <v/>
      </c>
      <c r="D679" s="19" t="n"/>
      <c r="E679" s="19" t="n"/>
      <c r="F679" s="16">
        <f>IF(OR(B679="",D679=""),"",IFERROR(INDEX('Tabla XP'!$B$2:$B$12,MATCH(D679,'Tabla XP'!$A$2:$A$12,0))*IF(E679="",1,E679),0))</f>
        <v/>
      </c>
      <c r="G679" s="19" t="n"/>
      <c r="H679" s="19" t="n"/>
    </row>
    <row r="680">
      <c r="A680" s="22" t="n"/>
      <c r="B680" s="19" t="n"/>
      <c r="C680" s="18">
        <f>IF(B680="","",IFERROR(INDEX(Jugadores!$C$2:$C$501,MATCH(B680,Jugadores!$A$2:$A$501,0)),"⚠ ID no existe"))</f>
        <v/>
      </c>
      <c r="D680" s="19" t="n"/>
      <c r="E680" s="19" t="n"/>
      <c r="F680" s="16">
        <f>IF(OR(B680="",D680=""),"",IFERROR(INDEX('Tabla XP'!$B$2:$B$12,MATCH(D680,'Tabla XP'!$A$2:$A$12,0))*IF(E680="",1,E680),0))</f>
        <v/>
      </c>
      <c r="G680" s="19" t="n"/>
      <c r="H680" s="19" t="n"/>
    </row>
    <row r="681">
      <c r="A681" s="22" t="n"/>
      <c r="B681" s="19" t="n"/>
      <c r="C681" s="18">
        <f>IF(B681="","",IFERROR(INDEX(Jugadores!$C$2:$C$501,MATCH(B681,Jugadores!$A$2:$A$501,0)),"⚠ ID no existe"))</f>
        <v/>
      </c>
      <c r="D681" s="19" t="n"/>
      <c r="E681" s="19" t="n"/>
      <c r="F681" s="16">
        <f>IF(OR(B681="",D681=""),"",IFERROR(INDEX('Tabla XP'!$B$2:$B$12,MATCH(D681,'Tabla XP'!$A$2:$A$12,0))*IF(E681="",1,E681),0))</f>
        <v/>
      </c>
      <c r="G681" s="19" t="n"/>
      <c r="H681" s="19" t="n"/>
    </row>
    <row r="682">
      <c r="A682" s="22" t="n"/>
      <c r="B682" s="19" t="n"/>
      <c r="C682" s="18">
        <f>IF(B682="","",IFERROR(INDEX(Jugadores!$C$2:$C$501,MATCH(B682,Jugadores!$A$2:$A$501,0)),"⚠ ID no existe"))</f>
        <v/>
      </c>
      <c r="D682" s="19" t="n"/>
      <c r="E682" s="19" t="n"/>
      <c r="F682" s="16">
        <f>IF(OR(B682="",D682=""),"",IFERROR(INDEX('Tabla XP'!$B$2:$B$12,MATCH(D682,'Tabla XP'!$A$2:$A$12,0))*IF(E682="",1,E682),0))</f>
        <v/>
      </c>
      <c r="G682" s="19" t="n"/>
      <c r="H682" s="19" t="n"/>
    </row>
    <row r="683">
      <c r="A683" s="22" t="n"/>
      <c r="B683" s="19" t="n"/>
      <c r="C683" s="18">
        <f>IF(B683="","",IFERROR(INDEX(Jugadores!$C$2:$C$501,MATCH(B683,Jugadores!$A$2:$A$501,0)),"⚠ ID no existe"))</f>
        <v/>
      </c>
      <c r="D683" s="19" t="n"/>
      <c r="E683" s="19" t="n"/>
      <c r="F683" s="16">
        <f>IF(OR(B683="",D683=""),"",IFERROR(INDEX('Tabla XP'!$B$2:$B$12,MATCH(D683,'Tabla XP'!$A$2:$A$12,0))*IF(E683="",1,E683),0))</f>
        <v/>
      </c>
      <c r="G683" s="19" t="n"/>
      <c r="H683" s="19" t="n"/>
    </row>
    <row r="684">
      <c r="A684" s="22" t="n"/>
      <c r="B684" s="19" t="n"/>
      <c r="C684" s="18">
        <f>IF(B684="","",IFERROR(INDEX(Jugadores!$C$2:$C$501,MATCH(B684,Jugadores!$A$2:$A$501,0)),"⚠ ID no existe"))</f>
        <v/>
      </c>
      <c r="D684" s="19" t="n"/>
      <c r="E684" s="19" t="n"/>
      <c r="F684" s="16">
        <f>IF(OR(B684="",D684=""),"",IFERROR(INDEX('Tabla XP'!$B$2:$B$12,MATCH(D684,'Tabla XP'!$A$2:$A$12,0))*IF(E684="",1,E684),0))</f>
        <v/>
      </c>
      <c r="G684" s="19" t="n"/>
      <c r="H684" s="19" t="n"/>
    </row>
    <row r="685">
      <c r="A685" s="22" t="n"/>
      <c r="B685" s="19" t="n"/>
      <c r="C685" s="18">
        <f>IF(B685="","",IFERROR(INDEX(Jugadores!$C$2:$C$501,MATCH(B685,Jugadores!$A$2:$A$501,0)),"⚠ ID no existe"))</f>
        <v/>
      </c>
      <c r="D685" s="19" t="n"/>
      <c r="E685" s="19" t="n"/>
      <c r="F685" s="16">
        <f>IF(OR(B685="",D685=""),"",IFERROR(INDEX('Tabla XP'!$B$2:$B$12,MATCH(D685,'Tabla XP'!$A$2:$A$12,0))*IF(E685="",1,E685),0))</f>
        <v/>
      </c>
      <c r="G685" s="19" t="n"/>
      <c r="H685" s="19" t="n"/>
    </row>
    <row r="686">
      <c r="A686" s="22" t="n"/>
      <c r="B686" s="19" t="n"/>
      <c r="C686" s="18">
        <f>IF(B686="","",IFERROR(INDEX(Jugadores!$C$2:$C$501,MATCH(B686,Jugadores!$A$2:$A$501,0)),"⚠ ID no existe"))</f>
        <v/>
      </c>
      <c r="D686" s="19" t="n"/>
      <c r="E686" s="19" t="n"/>
      <c r="F686" s="16">
        <f>IF(OR(B686="",D686=""),"",IFERROR(INDEX('Tabla XP'!$B$2:$B$12,MATCH(D686,'Tabla XP'!$A$2:$A$12,0))*IF(E686="",1,E686),0))</f>
        <v/>
      </c>
      <c r="G686" s="19" t="n"/>
      <c r="H686" s="19" t="n"/>
    </row>
    <row r="687">
      <c r="A687" s="22" t="n"/>
      <c r="B687" s="19" t="n"/>
      <c r="C687" s="18">
        <f>IF(B687="","",IFERROR(INDEX(Jugadores!$C$2:$C$501,MATCH(B687,Jugadores!$A$2:$A$501,0)),"⚠ ID no existe"))</f>
        <v/>
      </c>
      <c r="D687" s="19" t="n"/>
      <c r="E687" s="19" t="n"/>
      <c r="F687" s="16">
        <f>IF(OR(B687="",D687=""),"",IFERROR(INDEX('Tabla XP'!$B$2:$B$12,MATCH(D687,'Tabla XP'!$A$2:$A$12,0))*IF(E687="",1,E687),0))</f>
        <v/>
      </c>
      <c r="G687" s="19" t="n"/>
      <c r="H687" s="19" t="n"/>
    </row>
    <row r="688">
      <c r="A688" s="22" t="n"/>
      <c r="B688" s="19" t="n"/>
      <c r="C688" s="18">
        <f>IF(B688="","",IFERROR(INDEX(Jugadores!$C$2:$C$501,MATCH(B688,Jugadores!$A$2:$A$501,0)),"⚠ ID no existe"))</f>
        <v/>
      </c>
      <c r="D688" s="19" t="n"/>
      <c r="E688" s="19" t="n"/>
      <c r="F688" s="16">
        <f>IF(OR(B688="",D688=""),"",IFERROR(INDEX('Tabla XP'!$B$2:$B$12,MATCH(D688,'Tabla XP'!$A$2:$A$12,0))*IF(E688="",1,E688),0))</f>
        <v/>
      </c>
      <c r="G688" s="19" t="n"/>
      <c r="H688" s="19" t="n"/>
    </row>
    <row r="689">
      <c r="A689" s="22" t="n"/>
      <c r="B689" s="19" t="n"/>
      <c r="C689" s="18">
        <f>IF(B689="","",IFERROR(INDEX(Jugadores!$C$2:$C$501,MATCH(B689,Jugadores!$A$2:$A$501,0)),"⚠ ID no existe"))</f>
        <v/>
      </c>
      <c r="D689" s="19" t="n"/>
      <c r="E689" s="19" t="n"/>
      <c r="F689" s="16">
        <f>IF(OR(B689="",D689=""),"",IFERROR(INDEX('Tabla XP'!$B$2:$B$12,MATCH(D689,'Tabla XP'!$A$2:$A$12,0))*IF(E689="",1,E689),0))</f>
        <v/>
      </c>
      <c r="G689" s="19" t="n"/>
      <c r="H689" s="19" t="n"/>
    </row>
    <row r="690">
      <c r="A690" s="22" t="n"/>
      <c r="B690" s="19" t="n"/>
      <c r="C690" s="18">
        <f>IF(B690="","",IFERROR(INDEX(Jugadores!$C$2:$C$501,MATCH(B690,Jugadores!$A$2:$A$501,0)),"⚠ ID no existe"))</f>
        <v/>
      </c>
      <c r="D690" s="19" t="n"/>
      <c r="E690" s="19" t="n"/>
      <c r="F690" s="16">
        <f>IF(OR(B690="",D690=""),"",IFERROR(INDEX('Tabla XP'!$B$2:$B$12,MATCH(D690,'Tabla XP'!$A$2:$A$12,0))*IF(E690="",1,E690),0))</f>
        <v/>
      </c>
      <c r="G690" s="19" t="n"/>
      <c r="H690" s="19" t="n"/>
    </row>
    <row r="691">
      <c r="A691" s="22" t="n"/>
      <c r="B691" s="19" t="n"/>
      <c r="C691" s="18">
        <f>IF(B691="","",IFERROR(INDEX(Jugadores!$C$2:$C$501,MATCH(B691,Jugadores!$A$2:$A$501,0)),"⚠ ID no existe"))</f>
        <v/>
      </c>
      <c r="D691" s="19" t="n"/>
      <c r="E691" s="19" t="n"/>
      <c r="F691" s="16">
        <f>IF(OR(B691="",D691=""),"",IFERROR(INDEX('Tabla XP'!$B$2:$B$12,MATCH(D691,'Tabla XP'!$A$2:$A$12,0))*IF(E691="",1,E691),0))</f>
        <v/>
      </c>
      <c r="G691" s="19" t="n"/>
      <c r="H691" s="19" t="n"/>
    </row>
    <row r="692">
      <c r="A692" s="22" t="n"/>
      <c r="B692" s="19" t="n"/>
      <c r="C692" s="18">
        <f>IF(B692="","",IFERROR(INDEX(Jugadores!$C$2:$C$501,MATCH(B692,Jugadores!$A$2:$A$501,0)),"⚠ ID no existe"))</f>
        <v/>
      </c>
      <c r="D692" s="19" t="n"/>
      <c r="E692" s="19" t="n"/>
      <c r="F692" s="16">
        <f>IF(OR(B692="",D692=""),"",IFERROR(INDEX('Tabla XP'!$B$2:$B$12,MATCH(D692,'Tabla XP'!$A$2:$A$12,0))*IF(E692="",1,E692),0))</f>
        <v/>
      </c>
      <c r="G692" s="19" t="n"/>
      <c r="H692" s="19" t="n"/>
    </row>
    <row r="693">
      <c r="A693" s="22" t="n"/>
      <c r="B693" s="19" t="n"/>
      <c r="C693" s="18">
        <f>IF(B693="","",IFERROR(INDEX(Jugadores!$C$2:$C$501,MATCH(B693,Jugadores!$A$2:$A$501,0)),"⚠ ID no existe"))</f>
        <v/>
      </c>
      <c r="D693" s="19" t="n"/>
      <c r="E693" s="19" t="n"/>
      <c r="F693" s="16">
        <f>IF(OR(B693="",D693=""),"",IFERROR(INDEX('Tabla XP'!$B$2:$B$12,MATCH(D693,'Tabla XP'!$A$2:$A$12,0))*IF(E693="",1,E693),0))</f>
        <v/>
      </c>
      <c r="G693" s="19" t="n"/>
      <c r="H693" s="19" t="n"/>
    </row>
    <row r="694">
      <c r="A694" s="22" t="n"/>
      <c r="B694" s="19" t="n"/>
      <c r="C694" s="18">
        <f>IF(B694="","",IFERROR(INDEX(Jugadores!$C$2:$C$501,MATCH(B694,Jugadores!$A$2:$A$501,0)),"⚠ ID no existe"))</f>
        <v/>
      </c>
      <c r="D694" s="19" t="n"/>
      <c r="E694" s="19" t="n"/>
      <c r="F694" s="16">
        <f>IF(OR(B694="",D694=""),"",IFERROR(INDEX('Tabla XP'!$B$2:$B$12,MATCH(D694,'Tabla XP'!$A$2:$A$12,0))*IF(E694="",1,E694),0))</f>
        <v/>
      </c>
      <c r="G694" s="19" t="n"/>
      <c r="H694" s="19" t="n"/>
    </row>
    <row r="695">
      <c r="A695" s="22" t="n"/>
      <c r="B695" s="19" t="n"/>
      <c r="C695" s="18">
        <f>IF(B695="","",IFERROR(INDEX(Jugadores!$C$2:$C$501,MATCH(B695,Jugadores!$A$2:$A$501,0)),"⚠ ID no existe"))</f>
        <v/>
      </c>
      <c r="D695" s="19" t="n"/>
      <c r="E695" s="19" t="n"/>
      <c r="F695" s="16">
        <f>IF(OR(B695="",D695=""),"",IFERROR(INDEX('Tabla XP'!$B$2:$B$12,MATCH(D695,'Tabla XP'!$A$2:$A$12,0))*IF(E695="",1,E695),0))</f>
        <v/>
      </c>
      <c r="G695" s="19" t="n"/>
      <c r="H695" s="19" t="n"/>
    </row>
    <row r="696">
      <c r="A696" s="22" t="n"/>
      <c r="B696" s="19" t="n"/>
      <c r="C696" s="18">
        <f>IF(B696="","",IFERROR(INDEX(Jugadores!$C$2:$C$501,MATCH(B696,Jugadores!$A$2:$A$501,0)),"⚠ ID no existe"))</f>
        <v/>
      </c>
      <c r="D696" s="19" t="n"/>
      <c r="E696" s="19" t="n"/>
      <c r="F696" s="16">
        <f>IF(OR(B696="",D696=""),"",IFERROR(INDEX('Tabla XP'!$B$2:$B$12,MATCH(D696,'Tabla XP'!$A$2:$A$12,0))*IF(E696="",1,E696),0))</f>
        <v/>
      </c>
      <c r="G696" s="19" t="n"/>
      <c r="H696" s="19" t="n"/>
    </row>
    <row r="697">
      <c r="A697" s="22" t="n"/>
      <c r="B697" s="19" t="n"/>
      <c r="C697" s="18">
        <f>IF(B697="","",IFERROR(INDEX(Jugadores!$C$2:$C$501,MATCH(B697,Jugadores!$A$2:$A$501,0)),"⚠ ID no existe"))</f>
        <v/>
      </c>
      <c r="D697" s="19" t="n"/>
      <c r="E697" s="19" t="n"/>
      <c r="F697" s="16">
        <f>IF(OR(B697="",D697=""),"",IFERROR(INDEX('Tabla XP'!$B$2:$B$12,MATCH(D697,'Tabla XP'!$A$2:$A$12,0))*IF(E697="",1,E697),0))</f>
        <v/>
      </c>
      <c r="G697" s="19" t="n"/>
      <c r="H697" s="19" t="n"/>
    </row>
    <row r="698">
      <c r="A698" s="22" t="n"/>
      <c r="B698" s="19" t="n"/>
      <c r="C698" s="18">
        <f>IF(B698="","",IFERROR(INDEX(Jugadores!$C$2:$C$501,MATCH(B698,Jugadores!$A$2:$A$501,0)),"⚠ ID no existe"))</f>
        <v/>
      </c>
      <c r="D698" s="19" t="n"/>
      <c r="E698" s="19" t="n"/>
      <c r="F698" s="16">
        <f>IF(OR(B698="",D698=""),"",IFERROR(INDEX('Tabla XP'!$B$2:$B$12,MATCH(D698,'Tabla XP'!$A$2:$A$12,0))*IF(E698="",1,E698),0))</f>
        <v/>
      </c>
      <c r="G698" s="19" t="n"/>
      <c r="H698" s="19" t="n"/>
    </row>
    <row r="699">
      <c r="A699" s="22" t="n"/>
      <c r="B699" s="19" t="n"/>
      <c r="C699" s="18">
        <f>IF(B699="","",IFERROR(INDEX(Jugadores!$C$2:$C$501,MATCH(B699,Jugadores!$A$2:$A$501,0)),"⚠ ID no existe"))</f>
        <v/>
      </c>
      <c r="D699" s="19" t="n"/>
      <c r="E699" s="19" t="n"/>
      <c r="F699" s="16">
        <f>IF(OR(B699="",D699=""),"",IFERROR(INDEX('Tabla XP'!$B$2:$B$12,MATCH(D699,'Tabla XP'!$A$2:$A$12,0))*IF(E699="",1,E699),0))</f>
        <v/>
      </c>
      <c r="G699" s="19" t="n"/>
      <c r="H699" s="19" t="n"/>
    </row>
    <row r="700">
      <c r="A700" s="22" t="n"/>
      <c r="B700" s="19" t="n"/>
      <c r="C700" s="18">
        <f>IF(B700="","",IFERROR(INDEX(Jugadores!$C$2:$C$501,MATCH(B700,Jugadores!$A$2:$A$501,0)),"⚠ ID no existe"))</f>
        <v/>
      </c>
      <c r="D700" s="19" t="n"/>
      <c r="E700" s="19" t="n"/>
      <c r="F700" s="16">
        <f>IF(OR(B700="",D700=""),"",IFERROR(INDEX('Tabla XP'!$B$2:$B$12,MATCH(D700,'Tabla XP'!$A$2:$A$12,0))*IF(E700="",1,E700),0))</f>
        <v/>
      </c>
      <c r="G700" s="19" t="n"/>
      <c r="H700" s="19" t="n"/>
    </row>
    <row r="701">
      <c r="A701" s="22" t="n"/>
      <c r="B701" s="19" t="n"/>
      <c r="C701" s="18">
        <f>IF(B701="","",IFERROR(INDEX(Jugadores!$C$2:$C$501,MATCH(B701,Jugadores!$A$2:$A$501,0)),"⚠ ID no existe"))</f>
        <v/>
      </c>
      <c r="D701" s="19" t="n"/>
      <c r="E701" s="19" t="n"/>
      <c r="F701" s="16">
        <f>IF(OR(B701="",D701=""),"",IFERROR(INDEX('Tabla XP'!$B$2:$B$12,MATCH(D701,'Tabla XP'!$A$2:$A$12,0))*IF(E701="",1,E701),0))</f>
        <v/>
      </c>
      <c r="G701" s="19" t="n"/>
      <c r="H701" s="19" t="n"/>
    </row>
    <row r="702">
      <c r="A702" s="22" t="n"/>
      <c r="B702" s="19" t="n"/>
      <c r="C702" s="18">
        <f>IF(B702="","",IFERROR(INDEX(Jugadores!$C$2:$C$501,MATCH(B702,Jugadores!$A$2:$A$501,0)),"⚠ ID no existe"))</f>
        <v/>
      </c>
      <c r="D702" s="19" t="n"/>
      <c r="E702" s="19" t="n"/>
      <c r="F702" s="16">
        <f>IF(OR(B702="",D702=""),"",IFERROR(INDEX('Tabla XP'!$B$2:$B$12,MATCH(D702,'Tabla XP'!$A$2:$A$12,0))*IF(E702="",1,E702),0))</f>
        <v/>
      </c>
      <c r="G702" s="19" t="n"/>
      <c r="H702" s="19" t="n"/>
    </row>
    <row r="703">
      <c r="A703" s="22" t="n"/>
      <c r="B703" s="19" t="n"/>
      <c r="C703" s="18">
        <f>IF(B703="","",IFERROR(INDEX(Jugadores!$C$2:$C$501,MATCH(B703,Jugadores!$A$2:$A$501,0)),"⚠ ID no existe"))</f>
        <v/>
      </c>
      <c r="D703" s="19" t="n"/>
      <c r="E703" s="19" t="n"/>
      <c r="F703" s="16">
        <f>IF(OR(B703="",D703=""),"",IFERROR(INDEX('Tabla XP'!$B$2:$B$12,MATCH(D703,'Tabla XP'!$A$2:$A$12,0))*IF(E703="",1,E703),0))</f>
        <v/>
      </c>
      <c r="G703" s="19" t="n"/>
      <c r="H703" s="19" t="n"/>
    </row>
    <row r="704">
      <c r="A704" s="22" t="n"/>
      <c r="B704" s="19" t="n"/>
      <c r="C704" s="18">
        <f>IF(B704="","",IFERROR(INDEX(Jugadores!$C$2:$C$501,MATCH(B704,Jugadores!$A$2:$A$501,0)),"⚠ ID no existe"))</f>
        <v/>
      </c>
      <c r="D704" s="19" t="n"/>
      <c r="E704" s="19" t="n"/>
      <c r="F704" s="16">
        <f>IF(OR(B704="",D704=""),"",IFERROR(INDEX('Tabla XP'!$B$2:$B$12,MATCH(D704,'Tabla XP'!$A$2:$A$12,0))*IF(E704="",1,E704),0))</f>
        <v/>
      </c>
      <c r="G704" s="19" t="n"/>
      <c r="H704" s="19" t="n"/>
    </row>
    <row r="705">
      <c r="A705" s="22" t="n"/>
      <c r="B705" s="19" t="n"/>
      <c r="C705" s="18">
        <f>IF(B705="","",IFERROR(INDEX(Jugadores!$C$2:$C$501,MATCH(B705,Jugadores!$A$2:$A$501,0)),"⚠ ID no existe"))</f>
        <v/>
      </c>
      <c r="D705" s="19" t="n"/>
      <c r="E705" s="19" t="n"/>
      <c r="F705" s="16">
        <f>IF(OR(B705="",D705=""),"",IFERROR(INDEX('Tabla XP'!$B$2:$B$12,MATCH(D705,'Tabla XP'!$A$2:$A$12,0))*IF(E705="",1,E705),0))</f>
        <v/>
      </c>
      <c r="G705" s="19" t="n"/>
      <c r="H705" s="19" t="n"/>
    </row>
    <row r="706">
      <c r="A706" s="22" t="n"/>
      <c r="B706" s="19" t="n"/>
      <c r="C706" s="18">
        <f>IF(B706="","",IFERROR(INDEX(Jugadores!$C$2:$C$501,MATCH(B706,Jugadores!$A$2:$A$501,0)),"⚠ ID no existe"))</f>
        <v/>
      </c>
      <c r="D706" s="19" t="n"/>
      <c r="E706" s="19" t="n"/>
      <c r="F706" s="16">
        <f>IF(OR(B706="",D706=""),"",IFERROR(INDEX('Tabla XP'!$B$2:$B$12,MATCH(D706,'Tabla XP'!$A$2:$A$12,0))*IF(E706="",1,E706),0))</f>
        <v/>
      </c>
      <c r="G706" s="19" t="n"/>
      <c r="H706" s="19" t="n"/>
    </row>
    <row r="707">
      <c r="A707" s="22" t="n"/>
      <c r="B707" s="19" t="n"/>
      <c r="C707" s="18">
        <f>IF(B707="","",IFERROR(INDEX(Jugadores!$C$2:$C$501,MATCH(B707,Jugadores!$A$2:$A$501,0)),"⚠ ID no existe"))</f>
        <v/>
      </c>
      <c r="D707" s="19" t="n"/>
      <c r="E707" s="19" t="n"/>
      <c r="F707" s="16">
        <f>IF(OR(B707="",D707=""),"",IFERROR(INDEX('Tabla XP'!$B$2:$B$12,MATCH(D707,'Tabla XP'!$A$2:$A$12,0))*IF(E707="",1,E707),0))</f>
        <v/>
      </c>
      <c r="G707" s="19" t="n"/>
      <c r="H707" s="19" t="n"/>
    </row>
    <row r="708">
      <c r="A708" s="22" t="n"/>
      <c r="B708" s="19" t="n"/>
      <c r="C708" s="18">
        <f>IF(B708="","",IFERROR(INDEX(Jugadores!$C$2:$C$501,MATCH(B708,Jugadores!$A$2:$A$501,0)),"⚠ ID no existe"))</f>
        <v/>
      </c>
      <c r="D708" s="19" t="n"/>
      <c r="E708" s="19" t="n"/>
      <c r="F708" s="16">
        <f>IF(OR(B708="",D708=""),"",IFERROR(INDEX('Tabla XP'!$B$2:$B$12,MATCH(D708,'Tabla XP'!$A$2:$A$12,0))*IF(E708="",1,E708),0))</f>
        <v/>
      </c>
      <c r="G708" s="19" t="n"/>
      <c r="H708" s="19" t="n"/>
    </row>
    <row r="709">
      <c r="A709" s="22" t="n"/>
      <c r="B709" s="19" t="n"/>
      <c r="C709" s="18">
        <f>IF(B709="","",IFERROR(INDEX(Jugadores!$C$2:$C$501,MATCH(B709,Jugadores!$A$2:$A$501,0)),"⚠ ID no existe"))</f>
        <v/>
      </c>
      <c r="D709" s="19" t="n"/>
      <c r="E709" s="19" t="n"/>
      <c r="F709" s="16">
        <f>IF(OR(B709="",D709=""),"",IFERROR(INDEX('Tabla XP'!$B$2:$B$12,MATCH(D709,'Tabla XP'!$A$2:$A$12,0))*IF(E709="",1,E709),0))</f>
        <v/>
      </c>
      <c r="G709" s="19" t="n"/>
      <c r="H709" s="19" t="n"/>
    </row>
    <row r="710">
      <c r="A710" s="22" t="n"/>
      <c r="B710" s="19" t="n"/>
      <c r="C710" s="18">
        <f>IF(B710="","",IFERROR(INDEX(Jugadores!$C$2:$C$501,MATCH(B710,Jugadores!$A$2:$A$501,0)),"⚠ ID no existe"))</f>
        <v/>
      </c>
      <c r="D710" s="19" t="n"/>
      <c r="E710" s="19" t="n"/>
      <c r="F710" s="16">
        <f>IF(OR(B710="",D710=""),"",IFERROR(INDEX('Tabla XP'!$B$2:$B$12,MATCH(D710,'Tabla XP'!$A$2:$A$12,0))*IF(E710="",1,E710),0))</f>
        <v/>
      </c>
      <c r="G710" s="19" t="n"/>
      <c r="H710" s="19" t="n"/>
    </row>
    <row r="711">
      <c r="A711" s="22" t="n"/>
      <c r="B711" s="19" t="n"/>
      <c r="C711" s="18">
        <f>IF(B711="","",IFERROR(INDEX(Jugadores!$C$2:$C$501,MATCH(B711,Jugadores!$A$2:$A$501,0)),"⚠ ID no existe"))</f>
        <v/>
      </c>
      <c r="D711" s="19" t="n"/>
      <c r="E711" s="19" t="n"/>
      <c r="F711" s="16">
        <f>IF(OR(B711="",D711=""),"",IFERROR(INDEX('Tabla XP'!$B$2:$B$12,MATCH(D711,'Tabla XP'!$A$2:$A$12,0))*IF(E711="",1,E711),0))</f>
        <v/>
      </c>
      <c r="G711" s="19" t="n"/>
      <c r="H711" s="19" t="n"/>
    </row>
    <row r="712">
      <c r="A712" s="22" t="n"/>
      <c r="B712" s="19" t="n"/>
      <c r="C712" s="18">
        <f>IF(B712="","",IFERROR(INDEX(Jugadores!$C$2:$C$501,MATCH(B712,Jugadores!$A$2:$A$501,0)),"⚠ ID no existe"))</f>
        <v/>
      </c>
      <c r="D712" s="19" t="n"/>
      <c r="E712" s="19" t="n"/>
      <c r="F712" s="16">
        <f>IF(OR(B712="",D712=""),"",IFERROR(INDEX('Tabla XP'!$B$2:$B$12,MATCH(D712,'Tabla XP'!$A$2:$A$12,0))*IF(E712="",1,E712),0))</f>
        <v/>
      </c>
      <c r="G712" s="19" t="n"/>
      <c r="H712" s="19" t="n"/>
    </row>
    <row r="713">
      <c r="A713" s="22" t="n"/>
      <c r="B713" s="19" t="n"/>
      <c r="C713" s="18">
        <f>IF(B713="","",IFERROR(INDEX(Jugadores!$C$2:$C$501,MATCH(B713,Jugadores!$A$2:$A$501,0)),"⚠ ID no existe"))</f>
        <v/>
      </c>
      <c r="D713" s="19" t="n"/>
      <c r="E713" s="19" t="n"/>
      <c r="F713" s="16">
        <f>IF(OR(B713="",D713=""),"",IFERROR(INDEX('Tabla XP'!$B$2:$B$12,MATCH(D713,'Tabla XP'!$A$2:$A$12,0))*IF(E713="",1,E713),0))</f>
        <v/>
      </c>
      <c r="G713" s="19" t="n"/>
      <c r="H713" s="19" t="n"/>
    </row>
    <row r="714">
      <c r="A714" s="22" t="n"/>
      <c r="B714" s="19" t="n"/>
      <c r="C714" s="18">
        <f>IF(B714="","",IFERROR(INDEX(Jugadores!$C$2:$C$501,MATCH(B714,Jugadores!$A$2:$A$501,0)),"⚠ ID no existe"))</f>
        <v/>
      </c>
      <c r="D714" s="19" t="n"/>
      <c r="E714" s="19" t="n"/>
      <c r="F714" s="16">
        <f>IF(OR(B714="",D714=""),"",IFERROR(INDEX('Tabla XP'!$B$2:$B$12,MATCH(D714,'Tabla XP'!$A$2:$A$12,0))*IF(E714="",1,E714),0))</f>
        <v/>
      </c>
      <c r="G714" s="19" t="n"/>
      <c r="H714" s="19" t="n"/>
    </row>
    <row r="715">
      <c r="A715" s="22" t="n"/>
      <c r="B715" s="19" t="n"/>
      <c r="C715" s="18">
        <f>IF(B715="","",IFERROR(INDEX(Jugadores!$C$2:$C$501,MATCH(B715,Jugadores!$A$2:$A$501,0)),"⚠ ID no existe"))</f>
        <v/>
      </c>
      <c r="D715" s="19" t="n"/>
      <c r="E715" s="19" t="n"/>
      <c r="F715" s="16">
        <f>IF(OR(B715="",D715=""),"",IFERROR(INDEX('Tabla XP'!$B$2:$B$12,MATCH(D715,'Tabla XP'!$A$2:$A$12,0))*IF(E715="",1,E715),0))</f>
        <v/>
      </c>
      <c r="G715" s="19" t="n"/>
      <c r="H715" s="19" t="n"/>
    </row>
    <row r="716">
      <c r="A716" s="22" t="n"/>
      <c r="B716" s="19" t="n"/>
      <c r="C716" s="18">
        <f>IF(B716="","",IFERROR(INDEX(Jugadores!$C$2:$C$501,MATCH(B716,Jugadores!$A$2:$A$501,0)),"⚠ ID no existe"))</f>
        <v/>
      </c>
      <c r="D716" s="19" t="n"/>
      <c r="E716" s="19" t="n"/>
      <c r="F716" s="16">
        <f>IF(OR(B716="",D716=""),"",IFERROR(INDEX('Tabla XP'!$B$2:$B$12,MATCH(D716,'Tabla XP'!$A$2:$A$12,0))*IF(E716="",1,E716),0))</f>
        <v/>
      </c>
      <c r="G716" s="19" t="n"/>
      <c r="H716" s="19" t="n"/>
    </row>
    <row r="717">
      <c r="A717" s="22" t="n"/>
      <c r="B717" s="19" t="n"/>
      <c r="C717" s="18">
        <f>IF(B717="","",IFERROR(INDEX(Jugadores!$C$2:$C$501,MATCH(B717,Jugadores!$A$2:$A$501,0)),"⚠ ID no existe"))</f>
        <v/>
      </c>
      <c r="D717" s="19" t="n"/>
      <c r="E717" s="19" t="n"/>
      <c r="F717" s="16">
        <f>IF(OR(B717="",D717=""),"",IFERROR(INDEX('Tabla XP'!$B$2:$B$12,MATCH(D717,'Tabla XP'!$A$2:$A$12,0))*IF(E717="",1,E717),0))</f>
        <v/>
      </c>
      <c r="G717" s="19" t="n"/>
      <c r="H717" s="19" t="n"/>
    </row>
    <row r="718">
      <c r="A718" s="22" t="n"/>
      <c r="B718" s="19" t="n"/>
      <c r="C718" s="18">
        <f>IF(B718="","",IFERROR(INDEX(Jugadores!$C$2:$C$501,MATCH(B718,Jugadores!$A$2:$A$501,0)),"⚠ ID no existe"))</f>
        <v/>
      </c>
      <c r="D718" s="19" t="n"/>
      <c r="E718" s="19" t="n"/>
      <c r="F718" s="16">
        <f>IF(OR(B718="",D718=""),"",IFERROR(INDEX('Tabla XP'!$B$2:$B$12,MATCH(D718,'Tabla XP'!$A$2:$A$12,0))*IF(E718="",1,E718),0))</f>
        <v/>
      </c>
      <c r="G718" s="19" t="n"/>
      <c r="H718" s="19" t="n"/>
    </row>
    <row r="719">
      <c r="A719" s="22" t="n"/>
      <c r="B719" s="19" t="n"/>
      <c r="C719" s="18">
        <f>IF(B719="","",IFERROR(INDEX(Jugadores!$C$2:$C$501,MATCH(B719,Jugadores!$A$2:$A$501,0)),"⚠ ID no existe"))</f>
        <v/>
      </c>
      <c r="D719" s="19" t="n"/>
      <c r="E719" s="19" t="n"/>
      <c r="F719" s="16">
        <f>IF(OR(B719="",D719=""),"",IFERROR(INDEX('Tabla XP'!$B$2:$B$12,MATCH(D719,'Tabla XP'!$A$2:$A$12,0))*IF(E719="",1,E719),0))</f>
        <v/>
      </c>
      <c r="G719" s="19" t="n"/>
      <c r="H719" s="19" t="n"/>
    </row>
    <row r="720">
      <c r="A720" s="22" t="n"/>
      <c r="B720" s="19" t="n"/>
      <c r="C720" s="18">
        <f>IF(B720="","",IFERROR(INDEX(Jugadores!$C$2:$C$501,MATCH(B720,Jugadores!$A$2:$A$501,0)),"⚠ ID no existe"))</f>
        <v/>
      </c>
      <c r="D720" s="19" t="n"/>
      <c r="E720" s="19" t="n"/>
      <c r="F720" s="16">
        <f>IF(OR(B720="",D720=""),"",IFERROR(INDEX('Tabla XP'!$B$2:$B$12,MATCH(D720,'Tabla XP'!$A$2:$A$12,0))*IF(E720="",1,E720),0))</f>
        <v/>
      </c>
      <c r="G720" s="19" t="n"/>
      <c r="H720" s="19" t="n"/>
    </row>
    <row r="721">
      <c r="A721" s="22" t="n"/>
      <c r="B721" s="19" t="n"/>
      <c r="C721" s="18">
        <f>IF(B721="","",IFERROR(INDEX(Jugadores!$C$2:$C$501,MATCH(B721,Jugadores!$A$2:$A$501,0)),"⚠ ID no existe"))</f>
        <v/>
      </c>
      <c r="D721" s="19" t="n"/>
      <c r="E721" s="19" t="n"/>
      <c r="F721" s="16">
        <f>IF(OR(B721="",D721=""),"",IFERROR(INDEX('Tabla XP'!$B$2:$B$12,MATCH(D721,'Tabla XP'!$A$2:$A$12,0))*IF(E721="",1,E721),0))</f>
        <v/>
      </c>
      <c r="G721" s="19" t="n"/>
      <c r="H721" s="19" t="n"/>
    </row>
    <row r="722">
      <c r="A722" s="22" t="n"/>
      <c r="B722" s="19" t="n"/>
      <c r="C722" s="18">
        <f>IF(B722="","",IFERROR(INDEX(Jugadores!$C$2:$C$501,MATCH(B722,Jugadores!$A$2:$A$501,0)),"⚠ ID no existe"))</f>
        <v/>
      </c>
      <c r="D722" s="19" t="n"/>
      <c r="E722" s="19" t="n"/>
      <c r="F722" s="16">
        <f>IF(OR(B722="",D722=""),"",IFERROR(INDEX('Tabla XP'!$B$2:$B$12,MATCH(D722,'Tabla XP'!$A$2:$A$12,0))*IF(E722="",1,E722),0))</f>
        <v/>
      </c>
      <c r="G722" s="19" t="n"/>
      <c r="H722" s="19" t="n"/>
    </row>
    <row r="723">
      <c r="A723" s="22" t="n"/>
      <c r="B723" s="19" t="n"/>
      <c r="C723" s="18">
        <f>IF(B723="","",IFERROR(INDEX(Jugadores!$C$2:$C$501,MATCH(B723,Jugadores!$A$2:$A$501,0)),"⚠ ID no existe"))</f>
        <v/>
      </c>
      <c r="D723" s="19" t="n"/>
      <c r="E723" s="19" t="n"/>
      <c r="F723" s="16">
        <f>IF(OR(B723="",D723=""),"",IFERROR(INDEX('Tabla XP'!$B$2:$B$12,MATCH(D723,'Tabla XP'!$A$2:$A$12,0))*IF(E723="",1,E723),0))</f>
        <v/>
      </c>
      <c r="G723" s="19" t="n"/>
      <c r="H723" s="19" t="n"/>
    </row>
    <row r="724">
      <c r="A724" s="22" t="n"/>
      <c r="B724" s="19" t="n"/>
      <c r="C724" s="18">
        <f>IF(B724="","",IFERROR(INDEX(Jugadores!$C$2:$C$501,MATCH(B724,Jugadores!$A$2:$A$501,0)),"⚠ ID no existe"))</f>
        <v/>
      </c>
      <c r="D724" s="19" t="n"/>
      <c r="E724" s="19" t="n"/>
      <c r="F724" s="16">
        <f>IF(OR(B724="",D724=""),"",IFERROR(INDEX('Tabla XP'!$B$2:$B$12,MATCH(D724,'Tabla XP'!$A$2:$A$12,0))*IF(E724="",1,E724),0))</f>
        <v/>
      </c>
      <c r="G724" s="19" t="n"/>
      <c r="H724" s="19" t="n"/>
    </row>
    <row r="725">
      <c r="A725" s="22" t="n"/>
      <c r="B725" s="19" t="n"/>
      <c r="C725" s="18">
        <f>IF(B725="","",IFERROR(INDEX(Jugadores!$C$2:$C$501,MATCH(B725,Jugadores!$A$2:$A$501,0)),"⚠ ID no existe"))</f>
        <v/>
      </c>
      <c r="D725" s="19" t="n"/>
      <c r="E725" s="19" t="n"/>
      <c r="F725" s="16">
        <f>IF(OR(B725="",D725=""),"",IFERROR(INDEX('Tabla XP'!$B$2:$B$12,MATCH(D725,'Tabla XP'!$A$2:$A$12,0))*IF(E725="",1,E725),0))</f>
        <v/>
      </c>
      <c r="G725" s="19" t="n"/>
      <c r="H725" s="19" t="n"/>
    </row>
    <row r="726">
      <c r="A726" s="22" t="n"/>
      <c r="B726" s="19" t="n"/>
      <c r="C726" s="18">
        <f>IF(B726="","",IFERROR(INDEX(Jugadores!$C$2:$C$501,MATCH(B726,Jugadores!$A$2:$A$501,0)),"⚠ ID no existe"))</f>
        <v/>
      </c>
      <c r="D726" s="19" t="n"/>
      <c r="E726" s="19" t="n"/>
      <c r="F726" s="16">
        <f>IF(OR(B726="",D726=""),"",IFERROR(INDEX('Tabla XP'!$B$2:$B$12,MATCH(D726,'Tabla XP'!$A$2:$A$12,0))*IF(E726="",1,E726),0))</f>
        <v/>
      </c>
      <c r="G726" s="19" t="n"/>
      <c r="H726" s="19" t="n"/>
    </row>
    <row r="727">
      <c r="A727" s="22" t="n"/>
      <c r="B727" s="19" t="n"/>
      <c r="C727" s="18">
        <f>IF(B727="","",IFERROR(INDEX(Jugadores!$C$2:$C$501,MATCH(B727,Jugadores!$A$2:$A$501,0)),"⚠ ID no existe"))</f>
        <v/>
      </c>
      <c r="D727" s="19" t="n"/>
      <c r="E727" s="19" t="n"/>
      <c r="F727" s="16">
        <f>IF(OR(B727="",D727=""),"",IFERROR(INDEX('Tabla XP'!$B$2:$B$12,MATCH(D727,'Tabla XP'!$A$2:$A$12,0))*IF(E727="",1,E727),0))</f>
        <v/>
      </c>
      <c r="G727" s="19" t="n"/>
      <c r="H727" s="19" t="n"/>
    </row>
    <row r="728">
      <c r="A728" s="22" t="n"/>
      <c r="B728" s="19" t="n"/>
      <c r="C728" s="18">
        <f>IF(B728="","",IFERROR(INDEX(Jugadores!$C$2:$C$501,MATCH(B728,Jugadores!$A$2:$A$501,0)),"⚠ ID no existe"))</f>
        <v/>
      </c>
      <c r="D728" s="19" t="n"/>
      <c r="E728" s="19" t="n"/>
      <c r="F728" s="16">
        <f>IF(OR(B728="",D728=""),"",IFERROR(INDEX('Tabla XP'!$B$2:$B$12,MATCH(D728,'Tabla XP'!$A$2:$A$12,0))*IF(E728="",1,E728),0))</f>
        <v/>
      </c>
      <c r="G728" s="19" t="n"/>
      <c r="H728" s="19" t="n"/>
    </row>
    <row r="729">
      <c r="A729" s="22" t="n"/>
      <c r="B729" s="19" t="n"/>
      <c r="C729" s="18">
        <f>IF(B729="","",IFERROR(INDEX(Jugadores!$C$2:$C$501,MATCH(B729,Jugadores!$A$2:$A$501,0)),"⚠ ID no existe"))</f>
        <v/>
      </c>
      <c r="D729" s="19" t="n"/>
      <c r="E729" s="19" t="n"/>
      <c r="F729" s="16">
        <f>IF(OR(B729="",D729=""),"",IFERROR(INDEX('Tabla XP'!$B$2:$B$12,MATCH(D729,'Tabla XP'!$A$2:$A$12,0))*IF(E729="",1,E729),0))</f>
        <v/>
      </c>
      <c r="G729" s="19" t="n"/>
      <c r="H729" s="19" t="n"/>
    </row>
    <row r="730">
      <c r="A730" s="22" t="n"/>
      <c r="B730" s="19" t="n"/>
      <c r="C730" s="18">
        <f>IF(B730="","",IFERROR(INDEX(Jugadores!$C$2:$C$501,MATCH(B730,Jugadores!$A$2:$A$501,0)),"⚠ ID no existe"))</f>
        <v/>
      </c>
      <c r="D730" s="19" t="n"/>
      <c r="E730" s="19" t="n"/>
      <c r="F730" s="16">
        <f>IF(OR(B730="",D730=""),"",IFERROR(INDEX('Tabla XP'!$B$2:$B$12,MATCH(D730,'Tabla XP'!$A$2:$A$12,0))*IF(E730="",1,E730),0))</f>
        <v/>
      </c>
      <c r="G730" s="19" t="n"/>
      <c r="H730" s="19" t="n"/>
    </row>
    <row r="731">
      <c r="A731" s="22" t="n"/>
      <c r="B731" s="19" t="n"/>
      <c r="C731" s="18">
        <f>IF(B731="","",IFERROR(INDEX(Jugadores!$C$2:$C$501,MATCH(B731,Jugadores!$A$2:$A$501,0)),"⚠ ID no existe"))</f>
        <v/>
      </c>
      <c r="D731" s="19" t="n"/>
      <c r="E731" s="19" t="n"/>
      <c r="F731" s="16">
        <f>IF(OR(B731="",D731=""),"",IFERROR(INDEX('Tabla XP'!$B$2:$B$12,MATCH(D731,'Tabla XP'!$A$2:$A$12,0))*IF(E731="",1,E731),0))</f>
        <v/>
      </c>
      <c r="G731" s="19" t="n"/>
      <c r="H731" s="19" t="n"/>
    </row>
    <row r="732">
      <c r="A732" s="22" t="n"/>
      <c r="B732" s="19" t="n"/>
      <c r="C732" s="18">
        <f>IF(B732="","",IFERROR(INDEX(Jugadores!$C$2:$C$501,MATCH(B732,Jugadores!$A$2:$A$501,0)),"⚠ ID no existe"))</f>
        <v/>
      </c>
      <c r="D732" s="19" t="n"/>
      <c r="E732" s="19" t="n"/>
      <c r="F732" s="16">
        <f>IF(OR(B732="",D732=""),"",IFERROR(INDEX('Tabla XP'!$B$2:$B$12,MATCH(D732,'Tabla XP'!$A$2:$A$12,0))*IF(E732="",1,E732),0))</f>
        <v/>
      </c>
      <c r="G732" s="19" t="n"/>
      <c r="H732" s="19" t="n"/>
    </row>
    <row r="733">
      <c r="A733" s="22" t="n"/>
      <c r="B733" s="19" t="n"/>
      <c r="C733" s="18">
        <f>IF(B733="","",IFERROR(INDEX(Jugadores!$C$2:$C$501,MATCH(B733,Jugadores!$A$2:$A$501,0)),"⚠ ID no existe"))</f>
        <v/>
      </c>
      <c r="D733" s="19" t="n"/>
      <c r="E733" s="19" t="n"/>
      <c r="F733" s="16">
        <f>IF(OR(B733="",D733=""),"",IFERROR(INDEX('Tabla XP'!$B$2:$B$12,MATCH(D733,'Tabla XP'!$A$2:$A$12,0))*IF(E733="",1,E733),0))</f>
        <v/>
      </c>
      <c r="G733" s="19" t="n"/>
      <c r="H733" s="19" t="n"/>
    </row>
    <row r="734">
      <c r="A734" s="22" t="n"/>
      <c r="B734" s="19" t="n"/>
      <c r="C734" s="18">
        <f>IF(B734="","",IFERROR(INDEX(Jugadores!$C$2:$C$501,MATCH(B734,Jugadores!$A$2:$A$501,0)),"⚠ ID no existe"))</f>
        <v/>
      </c>
      <c r="D734" s="19" t="n"/>
      <c r="E734" s="19" t="n"/>
      <c r="F734" s="16">
        <f>IF(OR(B734="",D734=""),"",IFERROR(INDEX('Tabla XP'!$B$2:$B$12,MATCH(D734,'Tabla XP'!$A$2:$A$12,0))*IF(E734="",1,E734),0))</f>
        <v/>
      </c>
      <c r="G734" s="19" t="n"/>
      <c r="H734" s="19" t="n"/>
    </row>
    <row r="735">
      <c r="A735" s="22" t="n"/>
      <c r="B735" s="19" t="n"/>
      <c r="C735" s="18">
        <f>IF(B735="","",IFERROR(INDEX(Jugadores!$C$2:$C$501,MATCH(B735,Jugadores!$A$2:$A$501,0)),"⚠ ID no existe"))</f>
        <v/>
      </c>
      <c r="D735" s="19" t="n"/>
      <c r="E735" s="19" t="n"/>
      <c r="F735" s="16">
        <f>IF(OR(B735="",D735=""),"",IFERROR(INDEX('Tabla XP'!$B$2:$B$12,MATCH(D735,'Tabla XP'!$A$2:$A$12,0))*IF(E735="",1,E735),0))</f>
        <v/>
      </c>
      <c r="G735" s="19" t="n"/>
      <c r="H735" s="19" t="n"/>
    </row>
    <row r="736">
      <c r="A736" s="22" t="n"/>
      <c r="B736" s="19" t="n"/>
      <c r="C736" s="18">
        <f>IF(B736="","",IFERROR(INDEX(Jugadores!$C$2:$C$501,MATCH(B736,Jugadores!$A$2:$A$501,0)),"⚠ ID no existe"))</f>
        <v/>
      </c>
      <c r="D736" s="19" t="n"/>
      <c r="E736" s="19" t="n"/>
      <c r="F736" s="16">
        <f>IF(OR(B736="",D736=""),"",IFERROR(INDEX('Tabla XP'!$B$2:$B$12,MATCH(D736,'Tabla XP'!$A$2:$A$12,0))*IF(E736="",1,E736),0))</f>
        <v/>
      </c>
      <c r="G736" s="19" t="n"/>
      <c r="H736" s="19" t="n"/>
    </row>
    <row r="737">
      <c r="A737" s="22" t="n"/>
      <c r="B737" s="19" t="n"/>
      <c r="C737" s="18">
        <f>IF(B737="","",IFERROR(INDEX(Jugadores!$C$2:$C$501,MATCH(B737,Jugadores!$A$2:$A$501,0)),"⚠ ID no existe"))</f>
        <v/>
      </c>
      <c r="D737" s="19" t="n"/>
      <c r="E737" s="19" t="n"/>
      <c r="F737" s="16">
        <f>IF(OR(B737="",D737=""),"",IFERROR(INDEX('Tabla XP'!$B$2:$B$12,MATCH(D737,'Tabla XP'!$A$2:$A$12,0))*IF(E737="",1,E737),0))</f>
        <v/>
      </c>
      <c r="G737" s="19" t="n"/>
      <c r="H737" s="19" t="n"/>
    </row>
    <row r="738">
      <c r="A738" s="22" t="n"/>
      <c r="B738" s="19" t="n"/>
      <c r="C738" s="18">
        <f>IF(B738="","",IFERROR(INDEX(Jugadores!$C$2:$C$501,MATCH(B738,Jugadores!$A$2:$A$501,0)),"⚠ ID no existe"))</f>
        <v/>
      </c>
      <c r="D738" s="19" t="n"/>
      <c r="E738" s="19" t="n"/>
      <c r="F738" s="16">
        <f>IF(OR(B738="",D738=""),"",IFERROR(INDEX('Tabla XP'!$B$2:$B$12,MATCH(D738,'Tabla XP'!$A$2:$A$12,0))*IF(E738="",1,E738),0))</f>
        <v/>
      </c>
      <c r="G738" s="19" t="n"/>
      <c r="H738" s="19" t="n"/>
    </row>
    <row r="739">
      <c r="A739" s="22" t="n"/>
      <c r="B739" s="19" t="n"/>
      <c r="C739" s="18">
        <f>IF(B739="","",IFERROR(INDEX(Jugadores!$C$2:$C$501,MATCH(B739,Jugadores!$A$2:$A$501,0)),"⚠ ID no existe"))</f>
        <v/>
      </c>
      <c r="D739" s="19" t="n"/>
      <c r="E739" s="19" t="n"/>
      <c r="F739" s="16">
        <f>IF(OR(B739="",D739=""),"",IFERROR(INDEX('Tabla XP'!$B$2:$B$12,MATCH(D739,'Tabla XP'!$A$2:$A$12,0))*IF(E739="",1,E739),0))</f>
        <v/>
      </c>
      <c r="G739" s="19" t="n"/>
      <c r="H739" s="19" t="n"/>
    </row>
    <row r="740">
      <c r="A740" s="22" t="n"/>
      <c r="B740" s="19" t="n"/>
      <c r="C740" s="18">
        <f>IF(B740="","",IFERROR(INDEX(Jugadores!$C$2:$C$501,MATCH(B740,Jugadores!$A$2:$A$501,0)),"⚠ ID no existe"))</f>
        <v/>
      </c>
      <c r="D740" s="19" t="n"/>
      <c r="E740" s="19" t="n"/>
      <c r="F740" s="16">
        <f>IF(OR(B740="",D740=""),"",IFERROR(INDEX('Tabla XP'!$B$2:$B$12,MATCH(D740,'Tabla XP'!$A$2:$A$12,0))*IF(E740="",1,E740),0))</f>
        <v/>
      </c>
      <c r="G740" s="19" t="n"/>
      <c r="H740" s="19" t="n"/>
    </row>
    <row r="741">
      <c r="A741" s="22" t="n"/>
      <c r="B741" s="19" t="n"/>
      <c r="C741" s="18">
        <f>IF(B741="","",IFERROR(INDEX(Jugadores!$C$2:$C$501,MATCH(B741,Jugadores!$A$2:$A$501,0)),"⚠ ID no existe"))</f>
        <v/>
      </c>
      <c r="D741" s="19" t="n"/>
      <c r="E741" s="19" t="n"/>
      <c r="F741" s="16">
        <f>IF(OR(B741="",D741=""),"",IFERROR(INDEX('Tabla XP'!$B$2:$B$12,MATCH(D741,'Tabla XP'!$A$2:$A$12,0))*IF(E741="",1,E741),0))</f>
        <v/>
      </c>
      <c r="G741" s="19" t="n"/>
      <c r="H741" s="19" t="n"/>
    </row>
    <row r="742">
      <c r="A742" s="22" t="n"/>
      <c r="B742" s="19" t="n"/>
      <c r="C742" s="18">
        <f>IF(B742="","",IFERROR(INDEX(Jugadores!$C$2:$C$501,MATCH(B742,Jugadores!$A$2:$A$501,0)),"⚠ ID no existe"))</f>
        <v/>
      </c>
      <c r="D742" s="19" t="n"/>
      <c r="E742" s="19" t="n"/>
      <c r="F742" s="16">
        <f>IF(OR(B742="",D742=""),"",IFERROR(INDEX('Tabla XP'!$B$2:$B$12,MATCH(D742,'Tabla XP'!$A$2:$A$12,0))*IF(E742="",1,E742),0))</f>
        <v/>
      </c>
      <c r="G742" s="19" t="n"/>
      <c r="H742" s="19" t="n"/>
    </row>
    <row r="743">
      <c r="A743" s="22" t="n"/>
      <c r="B743" s="19" t="n"/>
      <c r="C743" s="18">
        <f>IF(B743="","",IFERROR(INDEX(Jugadores!$C$2:$C$501,MATCH(B743,Jugadores!$A$2:$A$501,0)),"⚠ ID no existe"))</f>
        <v/>
      </c>
      <c r="D743" s="19" t="n"/>
      <c r="E743" s="19" t="n"/>
      <c r="F743" s="16">
        <f>IF(OR(B743="",D743=""),"",IFERROR(INDEX('Tabla XP'!$B$2:$B$12,MATCH(D743,'Tabla XP'!$A$2:$A$12,0))*IF(E743="",1,E743),0))</f>
        <v/>
      </c>
      <c r="G743" s="19" t="n"/>
      <c r="H743" s="19" t="n"/>
    </row>
    <row r="744">
      <c r="A744" s="22" t="n"/>
      <c r="B744" s="19" t="n"/>
      <c r="C744" s="18">
        <f>IF(B744="","",IFERROR(INDEX(Jugadores!$C$2:$C$501,MATCH(B744,Jugadores!$A$2:$A$501,0)),"⚠ ID no existe"))</f>
        <v/>
      </c>
      <c r="D744" s="19" t="n"/>
      <c r="E744" s="19" t="n"/>
      <c r="F744" s="16">
        <f>IF(OR(B744="",D744=""),"",IFERROR(INDEX('Tabla XP'!$B$2:$B$12,MATCH(D744,'Tabla XP'!$A$2:$A$12,0))*IF(E744="",1,E744),0))</f>
        <v/>
      </c>
      <c r="G744" s="19" t="n"/>
      <c r="H744" s="19" t="n"/>
    </row>
    <row r="745">
      <c r="A745" s="22" t="n"/>
      <c r="B745" s="19" t="n"/>
      <c r="C745" s="18">
        <f>IF(B745="","",IFERROR(INDEX(Jugadores!$C$2:$C$501,MATCH(B745,Jugadores!$A$2:$A$501,0)),"⚠ ID no existe"))</f>
        <v/>
      </c>
      <c r="D745" s="19" t="n"/>
      <c r="E745" s="19" t="n"/>
      <c r="F745" s="16">
        <f>IF(OR(B745="",D745=""),"",IFERROR(INDEX('Tabla XP'!$B$2:$B$12,MATCH(D745,'Tabla XP'!$A$2:$A$12,0))*IF(E745="",1,E745),0))</f>
        <v/>
      </c>
      <c r="G745" s="19" t="n"/>
      <c r="H745" s="19" t="n"/>
    </row>
    <row r="746">
      <c r="A746" s="22" t="n"/>
      <c r="B746" s="19" t="n"/>
      <c r="C746" s="18">
        <f>IF(B746="","",IFERROR(INDEX(Jugadores!$C$2:$C$501,MATCH(B746,Jugadores!$A$2:$A$501,0)),"⚠ ID no existe"))</f>
        <v/>
      </c>
      <c r="D746" s="19" t="n"/>
      <c r="E746" s="19" t="n"/>
      <c r="F746" s="16">
        <f>IF(OR(B746="",D746=""),"",IFERROR(INDEX('Tabla XP'!$B$2:$B$12,MATCH(D746,'Tabla XP'!$A$2:$A$12,0))*IF(E746="",1,E746),0))</f>
        <v/>
      </c>
      <c r="G746" s="19" t="n"/>
      <c r="H746" s="19" t="n"/>
    </row>
    <row r="747">
      <c r="A747" s="22" t="n"/>
      <c r="B747" s="19" t="n"/>
      <c r="C747" s="18">
        <f>IF(B747="","",IFERROR(INDEX(Jugadores!$C$2:$C$501,MATCH(B747,Jugadores!$A$2:$A$501,0)),"⚠ ID no existe"))</f>
        <v/>
      </c>
      <c r="D747" s="19" t="n"/>
      <c r="E747" s="19" t="n"/>
      <c r="F747" s="16">
        <f>IF(OR(B747="",D747=""),"",IFERROR(INDEX('Tabla XP'!$B$2:$B$12,MATCH(D747,'Tabla XP'!$A$2:$A$12,0))*IF(E747="",1,E747),0))</f>
        <v/>
      </c>
      <c r="G747" s="19" t="n"/>
      <c r="H747" s="19" t="n"/>
    </row>
    <row r="748">
      <c r="A748" s="22" t="n"/>
      <c r="B748" s="19" t="n"/>
      <c r="C748" s="18">
        <f>IF(B748="","",IFERROR(INDEX(Jugadores!$C$2:$C$501,MATCH(B748,Jugadores!$A$2:$A$501,0)),"⚠ ID no existe"))</f>
        <v/>
      </c>
      <c r="D748" s="19" t="n"/>
      <c r="E748" s="19" t="n"/>
      <c r="F748" s="16">
        <f>IF(OR(B748="",D748=""),"",IFERROR(INDEX('Tabla XP'!$B$2:$B$12,MATCH(D748,'Tabla XP'!$A$2:$A$12,0))*IF(E748="",1,E748),0))</f>
        <v/>
      </c>
      <c r="G748" s="19" t="n"/>
      <c r="H748" s="19" t="n"/>
    </row>
    <row r="749">
      <c r="A749" s="22" t="n"/>
      <c r="B749" s="19" t="n"/>
      <c r="C749" s="18">
        <f>IF(B749="","",IFERROR(INDEX(Jugadores!$C$2:$C$501,MATCH(B749,Jugadores!$A$2:$A$501,0)),"⚠ ID no existe"))</f>
        <v/>
      </c>
      <c r="D749" s="19" t="n"/>
      <c r="E749" s="19" t="n"/>
      <c r="F749" s="16">
        <f>IF(OR(B749="",D749=""),"",IFERROR(INDEX('Tabla XP'!$B$2:$B$12,MATCH(D749,'Tabla XP'!$A$2:$A$12,0))*IF(E749="",1,E749),0))</f>
        <v/>
      </c>
      <c r="G749" s="19" t="n"/>
      <c r="H749" s="19" t="n"/>
    </row>
    <row r="750">
      <c r="A750" s="22" t="n"/>
      <c r="B750" s="19" t="n"/>
      <c r="C750" s="18">
        <f>IF(B750="","",IFERROR(INDEX(Jugadores!$C$2:$C$501,MATCH(B750,Jugadores!$A$2:$A$501,0)),"⚠ ID no existe"))</f>
        <v/>
      </c>
      <c r="D750" s="19" t="n"/>
      <c r="E750" s="19" t="n"/>
      <c r="F750" s="16">
        <f>IF(OR(B750="",D750=""),"",IFERROR(INDEX('Tabla XP'!$B$2:$B$12,MATCH(D750,'Tabla XP'!$A$2:$A$12,0))*IF(E750="",1,E750),0))</f>
        <v/>
      </c>
      <c r="G750" s="19" t="n"/>
      <c r="H750" s="19" t="n"/>
    </row>
    <row r="751">
      <c r="A751" s="22" t="n"/>
      <c r="B751" s="19" t="n"/>
      <c r="C751" s="18">
        <f>IF(B751="","",IFERROR(INDEX(Jugadores!$C$2:$C$501,MATCH(B751,Jugadores!$A$2:$A$501,0)),"⚠ ID no existe"))</f>
        <v/>
      </c>
      <c r="D751" s="19" t="n"/>
      <c r="E751" s="19" t="n"/>
      <c r="F751" s="16">
        <f>IF(OR(B751="",D751=""),"",IFERROR(INDEX('Tabla XP'!$B$2:$B$12,MATCH(D751,'Tabla XP'!$A$2:$A$12,0))*IF(E751="",1,E751),0))</f>
        <v/>
      </c>
      <c r="G751" s="19" t="n"/>
      <c r="H751" s="19" t="n"/>
    </row>
    <row r="752">
      <c r="A752" s="22" t="n"/>
      <c r="B752" s="19" t="n"/>
      <c r="C752" s="18">
        <f>IF(B752="","",IFERROR(INDEX(Jugadores!$C$2:$C$501,MATCH(B752,Jugadores!$A$2:$A$501,0)),"⚠ ID no existe"))</f>
        <v/>
      </c>
      <c r="D752" s="19" t="n"/>
      <c r="E752" s="19" t="n"/>
      <c r="F752" s="16">
        <f>IF(OR(B752="",D752=""),"",IFERROR(INDEX('Tabla XP'!$B$2:$B$12,MATCH(D752,'Tabla XP'!$A$2:$A$12,0))*IF(E752="",1,E752),0))</f>
        <v/>
      </c>
      <c r="G752" s="19" t="n"/>
      <c r="H752" s="19" t="n"/>
    </row>
    <row r="753">
      <c r="A753" s="22" t="n"/>
      <c r="B753" s="19" t="n"/>
      <c r="C753" s="18">
        <f>IF(B753="","",IFERROR(INDEX(Jugadores!$C$2:$C$501,MATCH(B753,Jugadores!$A$2:$A$501,0)),"⚠ ID no existe"))</f>
        <v/>
      </c>
      <c r="D753" s="19" t="n"/>
      <c r="E753" s="19" t="n"/>
      <c r="F753" s="16">
        <f>IF(OR(B753="",D753=""),"",IFERROR(INDEX('Tabla XP'!$B$2:$B$12,MATCH(D753,'Tabla XP'!$A$2:$A$12,0))*IF(E753="",1,E753),0))</f>
        <v/>
      </c>
      <c r="G753" s="19" t="n"/>
      <c r="H753" s="19" t="n"/>
    </row>
    <row r="754">
      <c r="A754" s="22" t="n"/>
      <c r="B754" s="19" t="n"/>
      <c r="C754" s="18">
        <f>IF(B754="","",IFERROR(INDEX(Jugadores!$C$2:$C$501,MATCH(B754,Jugadores!$A$2:$A$501,0)),"⚠ ID no existe"))</f>
        <v/>
      </c>
      <c r="D754" s="19" t="n"/>
      <c r="E754" s="19" t="n"/>
      <c r="F754" s="16">
        <f>IF(OR(B754="",D754=""),"",IFERROR(INDEX('Tabla XP'!$B$2:$B$12,MATCH(D754,'Tabla XP'!$A$2:$A$12,0))*IF(E754="",1,E754),0))</f>
        <v/>
      </c>
      <c r="G754" s="19" t="n"/>
      <c r="H754" s="19" t="n"/>
    </row>
    <row r="755">
      <c r="A755" s="22" t="n"/>
      <c r="B755" s="19" t="n"/>
      <c r="C755" s="18">
        <f>IF(B755="","",IFERROR(INDEX(Jugadores!$C$2:$C$501,MATCH(B755,Jugadores!$A$2:$A$501,0)),"⚠ ID no existe"))</f>
        <v/>
      </c>
      <c r="D755" s="19" t="n"/>
      <c r="E755" s="19" t="n"/>
      <c r="F755" s="16">
        <f>IF(OR(B755="",D755=""),"",IFERROR(INDEX('Tabla XP'!$B$2:$B$12,MATCH(D755,'Tabla XP'!$A$2:$A$12,0))*IF(E755="",1,E755),0))</f>
        <v/>
      </c>
      <c r="G755" s="19" t="n"/>
      <c r="H755" s="19" t="n"/>
    </row>
    <row r="756">
      <c r="A756" s="22" t="n"/>
      <c r="B756" s="19" t="n"/>
      <c r="C756" s="18">
        <f>IF(B756="","",IFERROR(INDEX(Jugadores!$C$2:$C$501,MATCH(B756,Jugadores!$A$2:$A$501,0)),"⚠ ID no existe"))</f>
        <v/>
      </c>
      <c r="D756" s="19" t="n"/>
      <c r="E756" s="19" t="n"/>
      <c r="F756" s="16">
        <f>IF(OR(B756="",D756=""),"",IFERROR(INDEX('Tabla XP'!$B$2:$B$12,MATCH(D756,'Tabla XP'!$A$2:$A$12,0))*IF(E756="",1,E756),0))</f>
        <v/>
      </c>
      <c r="G756" s="19" t="n"/>
      <c r="H756" s="19" t="n"/>
    </row>
    <row r="757">
      <c r="A757" s="22" t="n"/>
      <c r="B757" s="19" t="n"/>
      <c r="C757" s="18">
        <f>IF(B757="","",IFERROR(INDEX(Jugadores!$C$2:$C$501,MATCH(B757,Jugadores!$A$2:$A$501,0)),"⚠ ID no existe"))</f>
        <v/>
      </c>
      <c r="D757" s="19" t="n"/>
      <c r="E757" s="19" t="n"/>
      <c r="F757" s="16">
        <f>IF(OR(B757="",D757=""),"",IFERROR(INDEX('Tabla XP'!$B$2:$B$12,MATCH(D757,'Tabla XP'!$A$2:$A$12,0))*IF(E757="",1,E757),0))</f>
        <v/>
      </c>
      <c r="G757" s="19" t="n"/>
      <c r="H757" s="19" t="n"/>
    </row>
    <row r="758">
      <c r="A758" s="22" t="n"/>
      <c r="B758" s="19" t="n"/>
      <c r="C758" s="18">
        <f>IF(B758="","",IFERROR(INDEX(Jugadores!$C$2:$C$501,MATCH(B758,Jugadores!$A$2:$A$501,0)),"⚠ ID no existe"))</f>
        <v/>
      </c>
      <c r="D758" s="19" t="n"/>
      <c r="E758" s="19" t="n"/>
      <c r="F758" s="16">
        <f>IF(OR(B758="",D758=""),"",IFERROR(INDEX('Tabla XP'!$B$2:$B$12,MATCH(D758,'Tabla XP'!$A$2:$A$12,0))*IF(E758="",1,E758),0))</f>
        <v/>
      </c>
      <c r="G758" s="19" t="n"/>
      <c r="H758" s="19" t="n"/>
    </row>
    <row r="759">
      <c r="A759" s="22" t="n"/>
      <c r="B759" s="19" t="n"/>
      <c r="C759" s="18">
        <f>IF(B759="","",IFERROR(INDEX(Jugadores!$C$2:$C$501,MATCH(B759,Jugadores!$A$2:$A$501,0)),"⚠ ID no existe"))</f>
        <v/>
      </c>
      <c r="D759" s="19" t="n"/>
      <c r="E759" s="19" t="n"/>
      <c r="F759" s="16">
        <f>IF(OR(B759="",D759=""),"",IFERROR(INDEX('Tabla XP'!$B$2:$B$12,MATCH(D759,'Tabla XP'!$A$2:$A$12,0))*IF(E759="",1,E759),0))</f>
        <v/>
      </c>
      <c r="G759" s="19" t="n"/>
      <c r="H759" s="19" t="n"/>
    </row>
    <row r="760">
      <c r="A760" s="22" t="n"/>
      <c r="B760" s="19" t="n"/>
      <c r="C760" s="18">
        <f>IF(B760="","",IFERROR(INDEX(Jugadores!$C$2:$C$501,MATCH(B760,Jugadores!$A$2:$A$501,0)),"⚠ ID no existe"))</f>
        <v/>
      </c>
      <c r="D760" s="19" t="n"/>
      <c r="E760" s="19" t="n"/>
      <c r="F760" s="16">
        <f>IF(OR(B760="",D760=""),"",IFERROR(INDEX('Tabla XP'!$B$2:$B$12,MATCH(D760,'Tabla XP'!$A$2:$A$12,0))*IF(E760="",1,E760),0))</f>
        <v/>
      </c>
      <c r="G760" s="19" t="n"/>
      <c r="H760" s="19" t="n"/>
    </row>
    <row r="761">
      <c r="A761" s="22" t="n"/>
      <c r="B761" s="19" t="n"/>
      <c r="C761" s="18">
        <f>IF(B761="","",IFERROR(INDEX(Jugadores!$C$2:$C$501,MATCH(B761,Jugadores!$A$2:$A$501,0)),"⚠ ID no existe"))</f>
        <v/>
      </c>
      <c r="D761" s="19" t="n"/>
      <c r="E761" s="19" t="n"/>
      <c r="F761" s="16">
        <f>IF(OR(B761="",D761=""),"",IFERROR(INDEX('Tabla XP'!$B$2:$B$12,MATCH(D761,'Tabla XP'!$A$2:$A$12,0))*IF(E761="",1,E761),0))</f>
        <v/>
      </c>
      <c r="G761" s="19" t="n"/>
      <c r="H761" s="19" t="n"/>
    </row>
    <row r="762">
      <c r="A762" s="22" t="n"/>
      <c r="B762" s="19" t="n"/>
      <c r="C762" s="18">
        <f>IF(B762="","",IFERROR(INDEX(Jugadores!$C$2:$C$501,MATCH(B762,Jugadores!$A$2:$A$501,0)),"⚠ ID no existe"))</f>
        <v/>
      </c>
      <c r="D762" s="19" t="n"/>
      <c r="E762" s="19" t="n"/>
      <c r="F762" s="16">
        <f>IF(OR(B762="",D762=""),"",IFERROR(INDEX('Tabla XP'!$B$2:$B$12,MATCH(D762,'Tabla XP'!$A$2:$A$12,0))*IF(E762="",1,E762),0))</f>
        <v/>
      </c>
      <c r="G762" s="19" t="n"/>
      <c r="H762" s="19" t="n"/>
    </row>
    <row r="763">
      <c r="A763" s="22" t="n"/>
      <c r="B763" s="19" t="n"/>
      <c r="C763" s="18">
        <f>IF(B763="","",IFERROR(INDEX(Jugadores!$C$2:$C$501,MATCH(B763,Jugadores!$A$2:$A$501,0)),"⚠ ID no existe"))</f>
        <v/>
      </c>
      <c r="D763" s="19" t="n"/>
      <c r="E763" s="19" t="n"/>
      <c r="F763" s="16">
        <f>IF(OR(B763="",D763=""),"",IFERROR(INDEX('Tabla XP'!$B$2:$B$12,MATCH(D763,'Tabla XP'!$A$2:$A$12,0))*IF(E763="",1,E763),0))</f>
        <v/>
      </c>
      <c r="G763" s="19" t="n"/>
      <c r="H763" s="19" t="n"/>
    </row>
    <row r="764">
      <c r="A764" s="22" t="n"/>
      <c r="B764" s="19" t="n"/>
      <c r="C764" s="18">
        <f>IF(B764="","",IFERROR(INDEX(Jugadores!$C$2:$C$501,MATCH(B764,Jugadores!$A$2:$A$501,0)),"⚠ ID no existe"))</f>
        <v/>
      </c>
      <c r="D764" s="19" t="n"/>
      <c r="E764" s="19" t="n"/>
      <c r="F764" s="16">
        <f>IF(OR(B764="",D764=""),"",IFERROR(INDEX('Tabla XP'!$B$2:$B$12,MATCH(D764,'Tabla XP'!$A$2:$A$12,0))*IF(E764="",1,E764),0))</f>
        <v/>
      </c>
      <c r="G764" s="19" t="n"/>
      <c r="H764" s="19" t="n"/>
    </row>
    <row r="765">
      <c r="A765" s="22" t="n"/>
      <c r="B765" s="19" t="n"/>
      <c r="C765" s="18">
        <f>IF(B765="","",IFERROR(INDEX(Jugadores!$C$2:$C$501,MATCH(B765,Jugadores!$A$2:$A$501,0)),"⚠ ID no existe"))</f>
        <v/>
      </c>
      <c r="D765" s="19" t="n"/>
      <c r="E765" s="19" t="n"/>
      <c r="F765" s="16">
        <f>IF(OR(B765="",D765=""),"",IFERROR(INDEX('Tabla XP'!$B$2:$B$12,MATCH(D765,'Tabla XP'!$A$2:$A$12,0))*IF(E765="",1,E765),0))</f>
        <v/>
      </c>
      <c r="G765" s="19" t="n"/>
      <c r="H765" s="19" t="n"/>
    </row>
    <row r="766">
      <c r="A766" s="22" t="n"/>
      <c r="B766" s="19" t="n"/>
      <c r="C766" s="18">
        <f>IF(B766="","",IFERROR(INDEX(Jugadores!$C$2:$C$501,MATCH(B766,Jugadores!$A$2:$A$501,0)),"⚠ ID no existe"))</f>
        <v/>
      </c>
      <c r="D766" s="19" t="n"/>
      <c r="E766" s="19" t="n"/>
      <c r="F766" s="16">
        <f>IF(OR(B766="",D766=""),"",IFERROR(INDEX('Tabla XP'!$B$2:$B$12,MATCH(D766,'Tabla XP'!$A$2:$A$12,0))*IF(E766="",1,E766),0))</f>
        <v/>
      </c>
      <c r="G766" s="19" t="n"/>
      <c r="H766" s="19" t="n"/>
    </row>
    <row r="767">
      <c r="A767" s="22" t="n"/>
      <c r="B767" s="19" t="n"/>
      <c r="C767" s="18">
        <f>IF(B767="","",IFERROR(INDEX(Jugadores!$C$2:$C$501,MATCH(B767,Jugadores!$A$2:$A$501,0)),"⚠ ID no existe"))</f>
        <v/>
      </c>
      <c r="D767" s="19" t="n"/>
      <c r="E767" s="19" t="n"/>
      <c r="F767" s="16">
        <f>IF(OR(B767="",D767=""),"",IFERROR(INDEX('Tabla XP'!$B$2:$B$12,MATCH(D767,'Tabla XP'!$A$2:$A$12,0))*IF(E767="",1,E767),0))</f>
        <v/>
      </c>
      <c r="G767" s="19" t="n"/>
      <c r="H767" s="19" t="n"/>
    </row>
    <row r="768">
      <c r="A768" s="22" t="n"/>
      <c r="B768" s="19" t="n"/>
      <c r="C768" s="18">
        <f>IF(B768="","",IFERROR(INDEX(Jugadores!$C$2:$C$501,MATCH(B768,Jugadores!$A$2:$A$501,0)),"⚠ ID no existe"))</f>
        <v/>
      </c>
      <c r="D768" s="19" t="n"/>
      <c r="E768" s="19" t="n"/>
      <c r="F768" s="16">
        <f>IF(OR(B768="",D768=""),"",IFERROR(INDEX('Tabla XP'!$B$2:$B$12,MATCH(D768,'Tabla XP'!$A$2:$A$12,0))*IF(E768="",1,E768),0))</f>
        <v/>
      </c>
      <c r="G768" s="19" t="n"/>
      <c r="H768" s="19" t="n"/>
    </row>
    <row r="769">
      <c r="A769" s="22" t="n"/>
      <c r="B769" s="19" t="n"/>
      <c r="C769" s="18">
        <f>IF(B769="","",IFERROR(INDEX(Jugadores!$C$2:$C$501,MATCH(B769,Jugadores!$A$2:$A$501,0)),"⚠ ID no existe"))</f>
        <v/>
      </c>
      <c r="D769" s="19" t="n"/>
      <c r="E769" s="19" t="n"/>
      <c r="F769" s="16">
        <f>IF(OR(B769="",D769=""),"",IFERROR(INDEX('Tabla XP'!$B$2:$B$12,MATCH(D769,'Tabla XP'!$A$2:$A$12,0))*IF(E769="",1,E769),0))</f>
        <v/>
      </c>
      <c r="G769" s="19" t="n"/>
      <c r="H769" s="19" t="n"/>
    </row>
    <row r="770">
      <c r="A770" s="22" t="n"/>
      <c r="B770" s="19" t="n"/>
      <c r="C770" s="18">
        <f>IF(B770="","",IFERROR(INDEX(Jugadores!$C$2:$C$501,MATCH(B770,Jugadores!$A$2:$A$501,0)),"⚠ ID no existe"))</f>
        <v/>
      </c>
      <c r="D770" s="19" t="n"/>
      <c r="E770" s="19" t="n"/>
      <c r="F770" s="16">
        <f>IF(OR(B770="",D770=""),"",IFERROR(INDEX('Tabla XP'!$B$2:$B$12,MATCH(D770,'Tabla XP'!$A$2:$A$12,0))*IF(E770="",1,E770),0))</f>
        <v/>
      </c>
      <c r="G770" s="19" t="n"/>
      <c r="H770" s="19" t="n"/>
    </row>
    <row r="771">
      <c r="A771" s="22" t="n"/>
      <c r="B771" s="19" t="n"/>
      <c r="C771" s="18">
        <f>IF(B771="","",IFERROR(INDEX(Jugadores!$C$2:$C$501,MATCH(B771,Jugadores!$A$2:$A$501,0)),"⚠ ID no existe"))</f>
        <v/>
      </c>
      <c r="D771" s="19" t="n"/>
      <c r="E771" s="19" t="n"/>
      <c r="F771" s="16">
        <f>IF(OR(B771="",D771=""),"",IFERROR(INDEX('Tabla XP'!$B$2:$B$12,MATCH(D771,'Tabla XP'!$A$2:$A$12,0))*IF(E771="",1,E771),0))</f>
        <v/>
      </c>
      <c r="G771" s="19" t="n"/>
      <c r="H771" s="19" t="n"/>
    </row>
    <row r="772">
      <c r="A772" s="22" t="n"/>
      <c r="B772" s="19" t="n"/>
      <c r="C772" s="18">
        <f>IF(B772="","",IFERROR(INDEX(Jugadores!$C$2:$C$501,MATCH(B772,Jugadores!$A$2:$A$501,0)),"⚠ ID no existe"))</f>
        <v/>
      </c>
      <c r="D772" s="19" t="n"/>
      <c r="E772" s="19" t="n"/>
      <c r="F772" s="16">
        <f>IF(OR(B772="",D772=""),"",IFERROR(INDEX('Tabla XP'!$B$2:$B$12,MATCH(D772,'Tabla XP'!$A$2:$A$12,0))*IF(E772="",1,E772),0))</f>
        <v/>
      </c>
      <c r="G772" s="19" t="n"/>
      <c r="H772" s="19" t="n"/>
    </row>
    <row r="773">
      <c r="A773" s="22" t="n"/>
      <c r="B773" s="19" t="n"/>
      <c r="C773" s="18">
        <f>IF(B773="","",IFERROR(INDEX(Jugadores!$C$2:$C$501,MATCH(B773,Jugadores!$A$2:$A$501,0)),"⚠ ID no existe"))</f>
        <v/>
      </c>
      <c r="D773" s="19" t="n"/>
      <c r="E773" s="19" t="n"/>
      <c r="F773" s="16">
        <f>IF(OR(B773="",D773=""),"",IFERROR(INDEX('Tabla XP'!$B$2:$B$12,MATCH(D773,'Tabla XP'!$A$2:$A$12,0))*IF(E773="",1,E773),0))</f>
        <v/>
      </c>
      <c r="G773" s="19" t="n"/>
      <c r="H773" s="19" t="n"/>
    </row>
    <row r="774">
      <c r="A774" s="22" t="n"/>
      <c r="B774" s="19" t="n"/>
      <c r="C774" s="18">
        <f>IF(B774="","",IFERROR(INDEX(Jugadores!$C$2:$C$501,MATCH(B774,Jugadores!$A$2:$A$501,0)),"⚠ ID no existe"))</f>
        <v/>
      </c>
      <c r="D774" s="19" t="n"/>
      <c r="E774" s="19" t="n"/>
      <c r="F774" s="16">
        <f>IF(OR(B774="",D774=""),"",IFERROR(INDEX('Tabla XP'!$B$2:$B$12,MATCH(D774,'Tabla XP'!$A$2:$A$12,0))*IF(E774="",1,E774),0))</f>
        <v/>
      </c>
      <c r="G774" s="19" t="n"/>
      <c r="H774" s="19" t="n"/>
    </row>
    <row r="775">
      <c r="A775" s="22" t="n"/>
      <c r="B775" s="19" t="n"/>
      <c r="C775" s="18">
        <f>IF(B775="","",IFERROR(INDEX(Jugadores!$C$2:$C$501,MATCH(B775,Jugadores!$A$2:$A$501,0)),"⚠ ID no existe"))</f>
        <v/>
      </c>
      <c r="D775" s="19" t="n"/>
      <c r="E775" s="19" t="n"/>
      <c r="F775" s="16">
        <f>IF(OR(B775="",D775=""),"",IFERROR(INDEX('Tabla XP'!$B$2:$B$12,MATCH(D775,'Tabla XP'!$A$2:$A$12,0))*IF(E775="",1,E775),0))</f>
        <v/>
      </c>
      <c r="G775" s="19" t="n"/>
      <c r="H775" s="19" t="n"/>
    </row>
    <row r="776">
      <c r="A776" s="22" t="n"/>
      <c r="B776" s="19" t="n"/>
      <c r="C776" s="18">
        <f>IF(B776="","",IFERROR(INDEX(Jugadores!$C$2:$C$501,MATCH(B776,Jugadores!$A$2:$A$501,0)),"⚠ ID no existe"))</f>
        <v/>
      </c>
      <c r="D776" s="19" t="n"/>
      <c r="E776" s="19" t="n"/>
      <c r="F776" s="16">
        <f>IF(OR(B776="",D776=""),"",IFERROR(INDEX('Tabla XP'!$B$2:$B$12,MATCH(D776,'Tabla XP'!$A$2:$A$12,0))*IF(E776="",1,E776),0))</f>
        <v/>
      </c>
      <c r="G776" s="19" t="n"/>
      <c r="H776" s="19" t="n"/>
    </row>
    <row r="777">
      <c r="A777" s="22" t="n"/>
      <c r="B777" s="19" t="n"/>
      <c r="C777" s="18">
        <f>IF(B777="","",IFERROR(INDEX(Jugadores!$C$2:$C$501,MATCH(B777,Jugadores!$A$2:$A$501,0)),"⚠ ID no existe"))</f>
        <v/>
      </c>
      <c r="D777" s="19" t="n"/>
      <c r="E777" s="19" t="n"/>
      <c r="F777" s="16">
        <f>IF(OR(B777="",D777=""),"",IFERROR(INDEX('Tabla XP'!$B$2:$B$12,MATCH(D777,'Tabla XP'!$A$2:$A$12,0))*IF(E777="",1,E777),0))</f>
        <v/>
      </c>
      <c r="G777" s="19" t="n"/>
      <c r="H777" s="19" t="n"/>
    </row>
    <row r="778">
      <c r="A778" s="22" t="n"/>
      <c r="B778" s="19" t="n"/>
      <c r="C778" s="18">
        <f>IF(B778="","",IFERROR(INDEX(Jugadores!$C$2:$C$501,MATCH(B778,Jugadores!$A$2:$A$501,0)),"⚠ ID no existe"))</f>
        <v/>
      </c>
      <c r="D778" s="19" t="n"/>
      <c r="E778" s="19" t="n"/>
      <c r="F778" s="16">
        <f>IF(OR(B778="",D778=""),"",IFERROR(INDEX('Tabla XP'!$B$2:$B$12,MATCH(D778,'Tabla XP'!$A$2:$A$12,0))*IF(E778="",1,E778),0))</f>
        <v/>
      </c>
      <c r="G778" s="19" t="n"/>
      <c r="H778" s="19" t="n"/>
    </row>
    <row r="779">
      <c r="A779" s="22" t="n"/>
      <c r="B779" s="19" t="n"/>
      <c r="C779" s="18">
        <f>IF(B779="","",IFERROR(INDEX(Jugadores!$C$2:$C$501,MATCH(B779,Jugadores!$A$2:$A$501,0)),"⚠ ID no existe"))</f>
        <v/>
      </c>
      <c r="D779" s="19" t="n"/>
      <c r="E779" s="19" t="n"/>
      <c r="F779" s="16">
        <f>IF(OR(B779="",D779=""),"",IFERROR(INDEX('Tabla XP'!$B$2:$B$12,MATCH(D779,'Tabla XP'!$A$2:$A$12,0))*IF(E779="",1,E779),0))</f>
        <v/>
      </c>
      <c r="G779" s="19" t="n"/>
      <c r="H779" s="19" t="n"/>
    </row>
    <row r="780">
      <c r="A780" s="22" t="n"/>
      <c r="B780" s="19" t="n"/>
      <c r="C780" s="18">
        <f>IF(B780="","",IFERROR(INDEX(Jugadores!$C$2:$C$501,MATCH(B780,Jugadores!$A$2:$A$501,0)),"⚠ ID no existe"))</f>
        <v/>
      </c>
      <c r="D780" s="19" t="n"/>
      <c r="E780" s="19" t="n"/>
      <c r="F780" s="16">
        <f>IF(OR(B780="",D780=""),"",IFERROR(INDEX('Tabla XP'!$B$2:$B$12,MATCH(D780,'Tabla XP'!$A$2:$A$12,0))*IF(E780="",1,E780),0))</f>
        <v/>
      </c>
      <c r="G780" s="19" t="n"/>
      <c r="H780" s="19" t="n"/>
    </row>
    <row r="781">
      <c r="A781" s="22" t="n"/>
      <c r="B781" s="19" t="n"/>
      <c r="C781" s="18">
        <f>IF(B781="","",IFERROR(INDEX(Jugadores!$C$2:$C$501,MATCH(B781,Jugadores!$A$2:$A$501,0)),"⚠ ID no existe"))</f>
        <v/>
      </c>
      <c r="D781" s="19" t="n"/>
      <c r="E781" s="19" t="n"/>
      <c r="F781" s="16">
        <f>IF(OR(B781="",D781=""),"",IFERROR(INDEX('Tabla XP'!$B$2:$B$12,MATCH(D781,'Tabla XP'!$A$2:$A$12,0))*IF(E781="",1,E781),0))</f>
        <v/>
      </c>
      <c r="G781" s="19" t="n"/>
      <c r="H781" s="19" t="n"/>
    </row>
    <row r="782">
      <c r="A782" s="22" t="n"/>
      <c r="B782" s="19" t="n"/>
      <c r="C782" s="18">
        <f>IF(B782="","",IFERROR(INDEX(Jugadores!$C$2:$C$501,MATCH(B782,Jugadores!$A$2:$A$501,0)),"⚠ ID no existe"))</f>
        <v/>
      </c>
      <c r="D782" s="19" t="n"/>
      <c r="E782" s="19" t="n"/>
      <c r="F782" s="16">
        <f>IF(OR(B782="",D782=""),"",IFERROR(INDEX('Tabla XP'!$B$2:$B$12,MATCH(D782,'Tabla XP'!$A$2:$A$12,0))*IF(E782="",1,E782),0))</f>
        <v/>
      </c>
      <c r="G782" s="19" t="n"/>
      <c r="H782" s="19" t="n"/>
    </row>
    <row r="783">
      <c r="A783" s="22" t="n"/>
      <c r="B783" s="19" t="n"/>
      <c r="C783" s="18">
        <f>IF(B783="","",IFERROR(INDEX(Jugadores!$C$2:$C$501,MATCH(B783,Jugadores!$A$2:$A$501,0)),"⚠ ID no existe"))</f>
        <v/>
      </c>
      <c r="D783" s="19" t="n"/>
      <c r="E783" s="19" t="n"/>
      <c r="F783" s="16">
        <f>IF(OR(B783="",D783=""),"",IFERROR(INDEX('Tabla XP'!$B$2:$B$12,MATCH(D783,'Tabla XP'!$A$2:$A$12,0))*IF(E783="",1,E783),0))</f>
        <v/>
      </c>
      <c r="G783" s="19" t="n"/>
      <c r="H783" s="19" t="n"/>
    </row>
    <row r="784">
      <c r="A784" s="22" t="n"/>
      <c r="B784" s="19" t="n"/>
      <c r="C784" s="18">
        <f>IF(B784="","",IFERROR(INDEX(Jugadores!$C$2:$C$501,MATCH(B784,Jugadores!$A$2:$A$501,0)),"⚠ ID no existe"))</f>
        <v/>
      </c>
      <c r="D784" s="19" t="n"/>
      <c r="E784" s="19" t="n"/>
      <c r="F784" s="16">
        <f>IF(OR(B784="",D784=""),"",IFERROR(INDEX('Tabla XP'!$B$2:$B$12,MATCH(D784,'Tabla XP'!$A$2:$A$12,0))*IF(E784="",1,E784),0))</f>
        <v/>
      </c>
      <c r="G784" s="19" t="n"/>
      <c r="H784" s="19" t="n"/>
    </row>
    <row r="785">
      <c r="A785" s="22" t="n"/>
      <c r="B785" s="19" t="n"/>
      <c r="C785" s="18">
        <f>IF(B785="","",IFERROR(INDEX(Jugadores!$C$2:$C$501,MATCH(B785,Jugadores!$A$2:$A$501,0)),"⚠ ID no existe"))</f>
        <v/>
      </c>
      <c r="D785" s="19" t="n"/>
      <c r="E785" s="19" t="n"/>
      <c r="F785" s="16">
        <f>IF(OR(B785="",D785=""),"",IFERROR(INDEX('Tabla XP'!$B$2:$B$12,MATCH(D785,'Tabla XP'!$A$2:$A$12,0))*IF(E785="",1,E785),0))</f>
        <v/>
      </c>
      <c r="G785" s="19" t="n"/>
      <c r="H785" s="19" t="n"/>
    </row>
    <row r="786">
      <c r="A786" s="22" t="n"/>
      <c r="B786" s="19" t="n"/>
      <c r="C786" s="18">
        <f>IF(B786="","",IFERROR(INDEX(Jugadores!$C$2:$C$501,MATCH(B786,Jugadores!$A$2:$A$501,0)),"⚠ ID no existe"))</f>
        <v/>
      </c>
      <c r="D786" s="19" t="n"/>
      <c r="E786" s="19" t="n"/>
      <c r="F786" s="16">
        <f>IF(OR(B786="",D786=""),"",IFERROR(INDEX('Tabla XP'!$B$2:$B$12,MATCH(D786,'Tabla XP'!$A$2:$A$12,0))*IF(E786="",1,E786),0))</f>
        <v/>
      </c>
      <c r="G786" s="19" t="n"/>
      <c r="H786" s="19" t="n"/>
    </row>
    <row r="787">
      <c r="A787" s="22" t="n"/>
      <c r="B787" s="19" t="n"/>
      <c r="C787" s="18">
        <f>IF(B787="","",IFERROR(INDEX(Jugadores!$C$2:$C$501,MATCH(B787,Jugadores!$A$2:$A$501,0)),"⚠ ID no existe"))</f>
        <v/>
      </c>
      <c r="D787" s="19" t="n"/>
      <c r="E787" s="19" t="n"/>
      <c r="F787" s="16">
        <f>IF(OR(B787="",D787=""),"",IFERROR(INDEX('Tabla XP'!$B$2:$B$12,MATCH(D787,'Tabla XP'!$A$2:$A$12,0))*IF(E787="",1,E787),0))</f>
        <v/>
      </c>
      <c r="G787" s="19" t="n"/>
      <c r="H787" s="19" t="n"/>
    </row>
    <row r="788">
      <c r="A788" s="22" t="n"/>
      <c r="B788" s="19" t="n"/>
      <c r="C788" s="18">
        <f>IF(B788="","",IFERROR(INDEX(Jugadores!$C$2:$C$501,MATCH(B788,Jugadores!$A$2:$A$501,0)),"⚠ ID no existe"))</f>
        <v/>
      </c>
      <c r="D788" s="19" t="n"/>
      <c r="E788" s="19" t="n"/>
      <c r="F788" s="16">
        <f>IF(OR(B788="",D788=""),"",IFERROR(INDEX('Tabla XP'!$B$2:$B$12,MATCH(D788,'Tabla XP'!$A$2:$A$12,0))*IF(E788="",1,E788),0))</f>
        <v/>
      </c>
      <c r="G788" s="19" t="n"/>
      <c r="H788" s="19" t="n"/>
    </row>
    <row r="789">
      <c r="A789" s="22" t="n"/>
      <c r="B789" s="19" t="n"/>
      <c r="C789" s="18">
        <f>IF(B789="","",IFERROR(INDEX(Jugadores!$C$2:$C$501,MATCH(B789,Jugadores!$A$2:$A$501,0)),"⚠ ID no existe"))</f>
        <v/>
      </c>
      <c r="D789" s="19" t="n"/>
      <c r="E789" s="19" t="n"/>
      <c r="F789" s="16">
        <f>IF(OR(B789="",D789=""),"",IFERROR(INDEX('Tabla XP'!$B$2:$B$12,MATCH(D789,'Tabla XP'!$A$2:$A$12,0))*IF(E789="",1,E789),0))</f>
        <v/>
      </c>
      <c r="G789" s="19" t="n"/>
      <c r="H789" s="19" t="n"/>
    </row>
    <row r="790">
      <c r="A790" s="22" t="n"/>
      <c r="B790" s="19" t="n"/>
      <c r="C790" s="18">
        <f>IF(B790="","",IFERROR(INDEX(Jugadores!$C$2:$C$501,MATCH(B790,Jugadores!$A$2:$A$501,0)),"⚠ ID no existe"))</f>
        <v/>
      </c>
      <c r="D790" s="19" t="n"/>
      <c r="E790" s="19" t="n"/>
      <c r="F790" s="16">
        <f>IF(OR(B790="",D790=""),"",IFERROR(INDEX('Tabla XP'!$B$2:$B$12,MATCH(D790,'Tabla XP'!$A$2:$A$12,0))*IF(E790="",1,E790),0))</f>
        <v/>
      </c>
      <c r="G790" s="19" t="n"/>
      <c r="H790" s="19" t="n"/>
    </row>
    <row r="791">
      <c r="A791" s="22" t="n"/>
      <c r="B791" s="19" t="n"/>
      <c r="C791" s="18">
        <f>IF(B791="","",IFERROR(INDEX(Jugadores!$C$2:$C$501,MATCH(B791,Jugadores!$A$2:$A$501,0)),"⚠ ID no existe"))</f>
        <v/>
      </c>
      <c r="D791" s="19" t="n"/>
      <c r="E791" s="19" t="n"/>
      <c r="F791" s="16">
        <f>IF(OR(B791="",D791=""),"",IFERROR(INDEX('Tabla XP'!$B$2:$B$12,MATCH(D791,'Tabla XP'!$A$2:$A$12,0))*IF(E791="",1,E791),0))</f>
        <v/>
      </c>
      <c r="G791" s="19" t="n"/>
      <c r="H791" s="19" t="n"/>
    </row>
    <row r="792">
      <c r="A792" s="22" t="n"/>
      <c r="B792" s="19" t="n"/>
      <c r="C792" s="18">
        <f>IF(B792="","",IFERROR(INDEX(Jugadores!$C$2:$C$501,MATCH(B792,Jugadores!$A$2:$A$501,0)),"⚠ ID no existe"))</f>
        <v/>
      </c>
      <c r="D792" s="19" t="n"/>
      <c r="E792" s="19" t="n"/>
      <c r="F792" s="16">
        <f>IF(OR(B792="",D792=""),"",IFERROR(INDEX('Tabla XP'!$B$2:$B$12,MATCH(D792,'Tabla XP'!$A$2:$A$12,0))*IF(E792="",1,E792),0))</f>
        <v/>
      </c>
      <c r="G792" s="19" t="n"/>
      <c r="H792" s="19" t="n"/>
    </row>
    <row r="793">
      <c r="A793" s="22" t="n"/>
      <c r="B793" s="19" t="n"/>
      <c r="C793" s="18">
        <f>IF(B793="","",IFERROR(INDEX(Jugadores!$C$2:$C$501,MATCH(B793,Jugadores!$A$2:$A$501,0)),"⚠ ID no existe"))</f>
        <v/>
      </c>
      <c r="D793" s="19" t="n"/>
      <c r="E793" s="19" t="n"/>
      <c r="F793" s="16">
        <f>IF(OR(B793="",D793=""),"",IFERROR(INDEX('Tabla XP'!$B$2:$B$12,MATCH(D793,'Tabla XP'!$A$2:$A$12,0))*IF(E793="",1,E793),0))</f>
        <v/>
      </c>
      <c r="G793" s="19" t="n"/>
      <c r="H793" s="19" t="n"/>
    </row>
    <row r="794">
      <c r="A794" s="22" t="n"/>
      <c r="B794" s="19" t="n"/>
      <c r="C794" s="18">
        <f>IF(B794="","",IFERROR(INDEX(Jugadores!$C$2:$C$501,MATCH(B794,Jugadores!$A$2:$A$501,0)),"⚠ ID no existe"))</f>
        <v/>
      </c>
      <c r="D794" s="19" t="n"/>
      <c r="E794" s="19" t="n"/>
      <c r="F794" s="16">
        <f>IF(OR(B794="",D794=""),"",IFERROR(INDEX('Tabla XP'!$B$2:$B$12,MATCH(D794,'Tabla XP'!$A$2:$A$12,0))*IF(E794="",1,E794),0))</f>
        <v/>
      </c>
      <c r="G794" s="19" t="n"/>
      <c r="H794" s="19" t="n"/>
    </row>
    <row r="795">
      <c r="A795" s="22" t="n"/>
      <c r="B795" s="19" t="n"/>
      <c r="C795" s="18">
        <f>IF(B795="","",IFERROR(INDEX(Jugadores!$C$2:$C$501,MATCH(B795,Jugadores!$A$2:$A$501,0)),"⚠ ID no existe"))</f>
        <v/>
      </c>
      <c r="D795" s="19" t="n"/>
      <c r="E795" s="19" t="n"/>
      <c r="F795" s="16">
        <f>IF(OR(B795="",D795=""),"",IFERROR(INDEX('Tabla XP'!$B$2:$B$12,MATCH(D795,'Tabla XP'!$A$2:$A$12,0))*IF(E795="",1,E795),0))</f>
        <v/>
      </c>
      <c r="G795" s="19" t="n"/>
      <c r="H795" s="19" t="n"/>
    </row>
    <row r="796">
      <c r="A796" s="22" t="n"/>
      <c r="B796" s="19" t="n"/>
      <c r="C796" s="18">
        <f>IF(B796="","",IFERROR(INDEX(Jugadores!$C$2:$C$501,MATCH(B796,Jugadores!$A$2:$A$501,0)),"⚠ ID no existe"))</f>
        <v/>
      </c>
      <c r="D796" s="19" t="n"/>
      <c r="E796" s="19" t="n"/>
      <c r="F796" s="16">
        <f>IF(OR(B796="",D796=""),"",IFERROR(INDEX('Tabla XP'!$B$2:$B$12,MATCH(D796,'Tabla XP'!$A$2:$A$12,0))*IF(E796="",1,E796),0))</f>
        <v/>
      </c>
      <c r="G796" s="19" t="n"/>
      <c r="H796" s="19" t="n"/>
    </row>
    <row r="797">
      <c r="A797" s="22" t="n"/>
      <c r="B797" s="19" t="n"/>
      <c r="C797" s="18">
        <f>IF(B797="","",IFERROR(INDEX(Jugadores!$C$2:$C$501,MATCH(B797,Jugadores!$A$2:$A$501,0)),"⚠ ID no existe"))</f>
        <v/>
      </c>
      <c r="D797" s="19" t="n"/>
      <c r="E797" s="19" t="n"/>
      <c r="F797" s="16">
        <f>IF(OR(B797="",D797=""),"",IFERROR(INDEX('Tabla XP'!$B$2:$B$12,MATCH(D797,'Tabla XP'!$A$2:$A$12,0))*IF(E797="",1,E797),0))</f>
        <v/>
      </c>
      <c r="G797" s="19" t="n"/>
      <c r="H797" s="19" t="n"/>
    </row>
    <row r="798">
      <c r="A798" s="22" t="n"/>
      <c r="B798" s="19" t="n"/>
      <c r="C798" s="18">
        <f>IF(B798="","",IFERROR(INDEX(Jugadores!$C$2:$C$501,MATCH(B798,Jugadores!$A$2:$A$501,0)),"⚠ ID no existe"))</f>
        <v/>
      </c>
      <c r="D798" s="19" t="n"/>
      <c r="E798" s="19" t="n"/>
      <c r="F798" s="16">
        <f>IF(OR(B798="",D798=""),"",IFERROR(INDEX('Tabla XP'!$B$2:$B$12,MATCH(D798,'Tabla XP'!$A$2:$A$12,0))*IF(E798="",1,E798),0))</f>
        <v/>
      </c>
      <c r="G798" s="19" t="n"/>
      <c r="H798" s="19" t="n"/>
    </row>
    <row r="799">
      <c r="A799" s="22" t="n"/>
      <c r="B799" s="19" t="n"/>
      <c r="C799" s="18">
        <f>IF(B799="","",IFERROR(INDEX(Jugadores!$C$2:$C$501,MATCH(B799,Jugadores!$A$2:$A$501,0)),"⚠ ID no existe"))</f>
        <v/>
      </c>
      <c r="D799" s="19" t="n"/>
      <c r="E799" s="19" t="n"/>
      <c r="F799" s="16">
        <f>IF(OR(B799="",D799=""),"",IFERROR(INDEX('Tabla XP'!$B$2:$B$12,MATCH(D799,'Tabla XP'!$A$2:$A$12,0))*IF(E799="",1,E799),0))</f>
        <v/>
      </c>
      <c r="G799" s="19" t="n"/>
      <c r="H799" s="19" t="n"/>
    </row>
    <row r="800">
      <c r="A800" s="22" t="n"/>
      <c r="B800" s="19" t="n"/>
      <c r="C800" s="18">
        <f>IF(B800="","",IFERROR(INDEX(Jugadores!$C$2:$C$501,MATCH(B800,Jugadores!$A$2:$A$501,0)),"⚠ ID no existe"))</f>
        <v/>
      </c>
      <c r="D800" s="19" t="n"/>
      <c r="E800" s="19" t="n"/>
      <c r="F800" s="16">
        <f>IF(OR(B800="",D800=""),"",IFERROR(INDEX('Tabla XP'!$B$2:$B$12,MATCH(D800,'Tabla XP'!$A$2:$A$12,0))*IF(E800="",1,E800),0))</f>
        <v/>
      </c>
      <c r="G800" s="19" t="n"/>
      <c r="H800" s="19" t="n"/>
    </row>
    <row r="801">
      <c r="A801" s="22" t="n"/>
      <c r="B801" s="19" t="n"/>
      <c r="C801" s="18">
        <f>IF(B801="","",IFERROR(INDEX(Jugadores!$C$2:$C$501,MATCH(B801,Jugadores!$A$2:$A$501,0)),"⚠ ID no existe"))</f>
        <v/>
      </c>
      <c r="D801" s="19" t="n"/>
      <c r="E801" s="19" t="n"/>
      <c r="F801" s="16">
        <f>IF(OR(B801="",D801=""),"",IFERROR(INDEX('Tabla XP'!$B$2:$B$12,MATCH(D801,'Tabla XP'!$A$2:$A$12,0))*IF(E801="",1,E801),0))</f>
        <v/>
      </c>
      <c r="G801" s="19" t="n"/>
      <c r="H801" s="19" t="n"/>
    </row>
    <row r="802">
      <c r="A802" s="22" t="n"/>
      <c r="B802" s="19" t="n"/>
      <c r="C802" s="18">
        <f>IF(B802="","",IFERROR(INDEX(Jugadores!$C$2:$C$501,MATCH(B802,Jugadores!$A$2:$A$501,0)),"⚠ ID no existe"))</f>
        <v/>
      </c>
      <c r="D802" s="19" t="n"/>
      <c r="E802" s="19" t="n"/>
      <c r="F802" s="16">
        <f>IF(OR(B802="",D802=""),"",IFERROR(INDEX('Tabla XP'!$B$2:$B$12,MATCH(D802,'Tabla XP'!$A$2:$A$12,0))*IF(E802="",1,E802),0))</f>
        <v/>
      </c>
      <c r="G802" s="19" t="n"/>
      <c r="H802" s="19" t="n"/>
    </row>
    <row r="803">
      <c r="A803" s="22" t="n"/>
      <c r="B803" s="19" t="n"/>
      <c r="C803" s="18">
        <f>IF(B803="","",IFERROR(INDEX(Jugadores!$C$2:$C$501,MATCH(B803,Jugadores!$A$2:$A$501,0)),"⚠ ID no existe"))</f>
        <v/>
      </c>
      <c r="D803" s="19" t="n"/>
      <c r="E803" s="19" t="n"/>
      <c r="F803" s="16">
        <f>IF(OR(B803="",D803=""),"",IFERROR(INDEX('Tabla XP'!$B$2:$B$12,MATCH(D803,'Tabla XP'!$A$2:$A$12,0))*IF(E803="",1,E803),0))</f>
        <v/>
      </c>
      <c r="G803" s="19" t="n"/>
      <c r="H803" s="19" t="n"/>
    </row>
    <row r="804">
      <c r="A804" s="22" t="n"/>
      <c r="B804" s="19" t="n"/>
      <c r="C804" s="18">
        <f>IF(B804="","",IFERROR(INDEX(Jugadores!$C$2:$C$501,MATCH(B804,Jugadores!$A$2:$A$501,0)),"⚠ ID no existe"))</f>
        <v/>
      </c>
      <c r="D804" s="19" t="n"/>
      <c r="E804" s="19" t="n"/>
      <c r="F804" s="16">
        <f>IF(OR(B804="",D804=""),"",IFERROR(INDEX('Tabla XP'!$B$2:$B$12,MATCH(D804,'Tabla XP'!$A$2:$A$12,0))*IF(E804="",1,E804),0))</f>
        <v/>
      </c>
      <c r="G804" s="19" t="n"/>
      <c r="H804" s="19" t="n"/>
    </row>
    <row r="805">
      <c r="A805" s="22" t="n"/>
      <c r="B805" s="19" t="n"/>
      <c r="C805" s="18">
        <f>IF(B805="","",IFERROR(INDEX(Jugadores!$C$2:$C$501,MATCH(B805,Jugadores!$A$2:$A$501,0)),"⚠ ID no existe"))</f>
        <v/>
      </c>
      <c r="D805" s="19" t="n"/>
      <c r="E805" s="19" t="n"/>
      <c r="F805" s="16">
        <f>IF(OR(B805="",D805=""),"",IFERROR(INDEX('Tabla XP'!$B$2:$B$12,MATCH(D805,'Tabla XP'!$A$2:$A$12,0))*IF(E805="",1,E805),0))</f>
        <v/>
      </c>
      <c r="G805" s="19" t="n"/>
      <c r="H805" s="19" t="n"/>
    </row>
    <row r="806">
      <c r="A806" s="22" t="n"/>
      <c r="B806" s="19" t="n"/>
      <c r="C806" s="18">
        <f>IF(B806="","",IFERROR(INDEX(Jugadores!$C$2:$C$501,MATCH(B806,Jugadores!$A$2:$A$501,0)),"⚠ ID no existe"))</f>
        <v/>
      </c>
      <c r="D806" s="19" t="n"/>
      <c r="E806" s="19" t="n"/>
      <c r="F806" s="16">
        <f>IF(OR(B806="",D806=""),"",IFERROR(INDEX('Tabla XP'!$B$2:$B$12,MATCH(D806,'Tabla XP'!$A$2:$A$12,0))*IF(E806="",1,E806),0))</f>
        <v/>
      </c>
      <c r="G806" s="19" t="n"/>
      <c r="H806" s="19" t="n"/>
    </row>
    <row r="807">
      <c r="A807" s="22" t="n"/>
      <c r="B807" s="19" t="n"/>
      <c r="C807" s="18">
        <f>IF(B807="","",IFERROR(INDEX(Jugadores!$C$2:$C$501,MATCH(B807,Jugadores!$A$2:$A$501,0)),"⚠ ID no existe"))</f>
        <v/>
      </c>
      <c r="D807" s="19" t="n"/>
      <c r="E807" s="19" t="n"/>
      <c r="F807" s="16">
        <f>IF(OR(B807="",D807=""),"",IFERROR(INDEX('Tabla XP'!$B$2:$B$12,MATCH(D807,'Tabla XP'!$A$2:$A$12,0))*IF(E807="",1,E807),0))</f>
        <v/>
      </c>
      <c r="G807" s="19" t="n"/>
      <c r="H807" s="19" t="n"/>
    </row>
    <row r="808">
      <c r="A808" s="22" t="n"/>
      <c r="B808" s="19" t="n"/>
      <c r="C808" s="18">
        <f>IF(B808="","",IFERROR(INDEX(Jugadores!$C$2:$C$501,MATCH(B808,Jugadores!$A$2:$A$501,0)),"⚠ ID no existe"))</f>
        <v/>
      </c>
      <c r="D808" s="19" t="n"/>
      <c r="E808" s="19" t="n"/>
      <c r="F808" s="16">
        <f>IF(OR(B808="",D808=""),"",IFERROR(INDEX('Tabla XP'!$B$2:$B$12,MATCH(D808,'Tabla XP'!$A$2:$A$12,0))*IF(E808="",1,E808),0))</f>
        <v/>
      </c>
      <c r="G808" s="19" t="n"/>
      <c r="H808" s="19" t="n"/>
    </row>
    <row r="809">
      <c r="A809" s="22" t="n"/>
      <c r="B809" s="19" t="n"/>
      <c r="C809" s="18">
        <f>IF(B809="","",IFERROR(INDEX(Jugadores!$C$2:$C$501,MATCH(B809,Jugadores!$A$2:$A$501,0)),"⚠ ID no existe"))</f>
        <v/>
      </c>
      <c r="D809" s="19" t="n"/>
      <c r="E809" s="19" t="n"/>
      <c r="F809" s="16">
        <f>IF(OR(B809="",D809=""),"",IFERROR(INDEX('Tabla XP'!$B$2:$B$12,MATCH(D809,'Tabla XP'!$A$2:$A$12,0))*IF(E809="",1,E809),0))</f>
        <v/>
      </c>
      <c r="G809" s="19" t="n"/>
      <c r="H809" s="19" t="n"/>
    </row>
    <row r="810">
      <c r="A810" s="22" t="n"/>
      <c r="B810" s="19" t="n"/>
      <c r="C810" s="18">
        <f>IF(B810="","",IFERROR(INDEX(Jugadores!$C$2:$C$501,MATCH(B810,Jugadores!$A$2:$A$501,0)),"⚠ ID no existe"))</f>
        <v/>
      </c>
      <c r="D810" s="19" t="n"/>
      <c r="E810" s="19" t="n"/>
      <c r="F810" s="16">
        <f>IF(OR(B810="",D810=""),"",IFERROR(INDEX('Tabla XP'!$B$2:$B$12,MATCH(D810,'Tabla XP'!$A$2:$A$12,0))*IF(E810="",1,E810),0))</f>
        <v/>
      </c>
      <c r="G810" s="19" t="n"/>
      <c r="H810" s="19" t="n"/>
    </row>
    <row r="811">
      <c r="A811" s="22" t="n"/>
      <c r="B811" s="19" t="n"/>
      <c r="C811" s="18">
        <f>IF(B811="","",IFERROR(INDEX(Jugadores!$C$2:$C$501,MATCH(B811,Jugadores!$A$2:$A$501,0)),"⚠ ID no existe"))</f>
        <v/>
      </c>
      <c r="D811" s="19" t="n"/>
      <c r="E811" s="19" t="n"/>
      <c r="F811" s="16">
        <f>IF(OR(B811="",D811=""),"",IFERROR(INDEX('Tabla XP'!$B$2:$B$12,MATCH(D811,'Tabla XP'!$A$2:$A$12,0))*IF(E811="",1,E811),0))</f>
        <v/>
      </c>
      <c r="G811" s="19" t="n"/>
      <c r="H811" s="19" t="n"/>
    </row>
    <row r="812">
      <c r="A812" s="22" t="n"/>
      <c r="B812" s="19" t="n"/>
      <c r="C812" s="18">
        <f>IF(B812="","",IFERROR(INDEX(Jugadores!$C$2:$C$501,MATCH(B812,Jugadores!$A$2:$A$501,0)),"⚠ ID no existe"))</f>
        <v/>
      </c>
      <c r="D812" s="19" t="n"/>
      <c r="E812" s="19" t="n"/>
      <c r="F812" s="16">
        <f>IF(OR(B812="",D812=""),"",IFERROR(INDEX('Tabla XP'!$B$2:$B$12,MATCH(D812,'Tabla XP'!$A$2:$A$12,0))*IF(E812="",1,E812),0))</f>
        <v/>
      </c>
      <c r="G812" s="19" t="n"/>
      <c r="H812" s="19" t="n"/>
    </row>
    <row r="813">
      <c r="A813" s="22" t="n"/>
      <c r="B813" s="19" t="n"/>
      <c r="C813" s="18">
        <f>IF(B813="","",IFERROR(INDEX(Jugadores!$C$2:$C$501,MATCH(B813,Jugadores!$A$2:$A$501,0)),"⚠ ID no existe"))</f>
        <v/>
      </c>
      <c r="D813" s="19" t="n"/>
      <c r="E813" s="19" t="n"/>
      <c r="F813" s="16">
        <f>IF(OR(B813="",D813=""),"",IFERROR(INDEX('Tabla XP'!$B$2:$B$12,MATCH(D813,'Tabla XP'!$A$2:$A$12,0))*IF(E813="",1,E813),0))</f>
        <v/>
      </c>
      <c r="G813" s="19" t="n"/>
      <c r="H813" s="19" t="n"/>
    </row>
    <row r="814">
      <c r="A814" s="22" t="n"/>
      <c r="B814" s="19" t="n"/>
      <c r="C814" s="18">
        <f>IF(B814="","",IFERROR(INDEX(Jugadores!$C$2:$C$501,MATCH(B814,Jugadores!$A$2:$A$501,0)),"⚠ ID no existe"))</f>
        <v/>
      </c>
      <c r="D814" s="19" t="n"/>
      <c r="E814" s="19" t="n"/>
      <c r="F814" s="16">
        <f>IF(OR(B814="",D814=""),"",IFERROR(INDEX('Tabla XP'!$B$2:$B$12,MATCH(D814,'Tabla XP'!$A$2:$A$12,0))*IF(E814="",1,E814),0))</f>
        <v/>
      </c>
      <c r="G814" s="19" t="n"/>
      <c r="H814" s="19" t="n"/>
    </row>
    <row r="815">
      <c r="A815" s="22" t="n"/>
      <c r="B815" s="19" t="n"/>
      <c r="C815" s="18">
        <f>IF(B815="","",IFERROR(INDEX(Jugadores!$C$2:$C$501,MATCH(B815,Jugadores!$A$2:$A$501,0)),"⚠ ID no existe"))</f>
        <v/>
      </c>
      <c r="D815" s="19" t="n"/>
      <c r="E815" s="19" t="n"/>
      <c r="F815" s="16">
        <f>IF(OR(B815="",D815=""),"",IFERROR(INDEX('Tabla XP'!$B$2:$B$12,MATCH(D815,'Tabla XP'!$A$2:$A$12,0))*IF(E815="",1,E815),0))</f>
        <v/>
      </c>
      <c r="G815" s="19" t="n"/>
      <c r="H815" s="19" t="n"/>
    </row>
    <row r="816">
      <c r="A816" s="22" t="n"/>
      <c r="B816" s="19" t="n"/>
      <c r="C816" s="18">
        <f>IF(B816="","",IFERROR(INDEX(Jugadores!$C$2:$C$501,MATCH(B816,Jugadores!$A$2:$A$501,0)),"⚠ ID no existe"))</f>
        <v/>
      </c>
      <c r="D816" s="19" t="n"/>
      <c r="E816" s="19" t="n"/>
      <c r="F816" s="16">
        <f>IF(OR(B816="",D816=""),"",IFERROR(INDEX('Tabla XP'!$B$2:$B$12,MATCH(D816,'Tabla XP'!$A$2:$A$12,0))*IF(E816="",1,E816),0))</f>
        <v/>
      </c>
      <c r="G816" s="19" t="n"/>
      <c r="H816" s="19" t="n"/>
    </row>
    <row r="817">
      <c r="A817" s="22" t="n"/>
      <c r="B817" s="19" t="n"/>
      <c r="C817" s="18">
        <f>IF(B817="","",IFERROR(INDEX(Jugadores!$C$2:$C$501,MATCH(B817,Jugadores!$A$2:$A$501,0)),"⚠ ID no existe"))</f>
        <v/>
      </c>
      <c r="D817" s="19" t="n"/>
      <c r="E817" s="19" t="n"/>
      <c r="F817" s="16">
        <f>IF(OR(B817="",D817=""),"",IFERROR(INDEX('Tabla XP'!$B$2:$B$12,MATCH(D817,'Tabla XP'!$A$2:$A$12,0))*IF(E817="",1,E817),0))</f>
        <v/>
      </c>
      <c r="G817" s="19" t="n"/>
      <c r="H817" s="19" t="n"/>
    </row>
    <row r="818">
      <c r="A818" s="22" t="n"/>
      <c r="B818" s="19" t="n"/>
      <c r="C818" s="18">
        <f>IF(B818="","",IFERROR(INDEX(Jugadores!$C$2:$C$501,MATCH(B818,Jugadores!$A$2:$A$501,0)),"⚠ ID no existe"))</f>
        <v/>
      </c>
      <c r="D818" s="19" t="n"/>
      <c r="E818" s="19" t="n"/>
      <c r="F818" s="16">
        <f>IF(OR(B818="",D818=""),"",IFERROR(INDEX('Tabla XP'!$B$2:$B$12,MATCH(D818,'Tabla XP'!$A$2:$A$12,0))*IF(E818="",1,E818),0))</f>
        <v/>
      </c>
      <c r="G818" s="19" t="n"/>
      <c r="H818" s="19" t="n"/>
    </row>
    <row r="819">
      <c r="A819" s="22" t="n"/>
      <c r="B819" s="19" t="n"/>
      <c r="C819" s="18">
        <f>IF(B819="","",IFERROR(INDEX(Jugadores!$C$2:$C$501,MATCH(B819,Jugadores!$A$2:$A$501,0)),"⚠ ID no existe"))</f>
        <v/>
      </c>
      <c r="D819" s="19" t="n"/>
      <c r="E819" s="19" t="n"/>
      <c r="F819" s="16">
        <f>IF(OR(B819="",D819=""),"",IFERROR(INDEX('Tabla XP'!$B$2:$B$12,MATCH(D819,'Tabla XP'!$A$2:$A$12,0))*IF(E819="",1,E819),0))</f>
        <v/>
      </c>
      <c r="G819" s="19" t="n"/>
      <c r="H819" s="19" t="n"/>
    </row>
    <row r="820">
      <c r="A820" s="22" t="n"/>
      <c r="B820" s="19" t="n"/>
      <c r="C820" s="18">
        <f>IF(B820="","",IFERROR(INDEX(Jugadores!$C$2:$C$501,MATCH(B820,Jugadores!$A$2:$A$501,0)),"⚠ ID no existe"))</f>
        <v/>
      </c>
      <c r="D820" s="19" t="n"/>
      <c r="E820" s="19" t="n"/>
      <c r="F820" s="16">
        <f>IF(OR(B820="",D820=""),"",IFERROR(INDEX('Tabla XP'!$B$2:$B$12,MATCH(D820,'Tabla XP'!$A$2:$A$12,0))*IF(E820="",1,E820),0))</f>
        <v/>
      </c>
      <c r="G820" s="19" t="n"/>
      <c r="H820" s="19" t="n"/>
    </row>
    <row r="821">
      <c r="A821" s="22" t="n"/>
      <c r="B821" s="19" t="n"/>
      <c r="C821" s="18">
        <f>IF(B821="","",IFERROR(INDEX(Jugadores!$C$2:$C$501,MATCH(B821,Jugadores!$A$2:$A$501,0)),"⚠ ID no existe"))</f>
        <v/>
      </c>
      <c r="D821" s="19" t="n"/>
      <c r="E821" s="19" t="n"/>
      <c r="F821" s="16">
        <f>IF(OR(B821="",D821=""),"",IFERROR(INDEX('Tabla XP'!$B$2:$B$12,MATCH(D821,'Tabla XP'!$A$2:$A$12,0))*IF(E821="",1,E821),0))</f>
        <v/>
      </c>
      <c r="G821" s="19" t="n"/>
      <c r="H821" s="19" t="n"/>
    </row>
    <row r="822">
      <c r="A822" s="22" t="n"/>
      <c r="B822" s="19" t="n"/>
      <c r="C822" s="18">
        <f>IF(B822="","",IFERROR(INDEX(Jugadores!$C$2:$C$501,MATCH(B822,Jugadores!$A$2:$A$501,0)),"⚠ ID no existe"))</f>
        <v/>
      </c>
      <c r="D822" s="19" t="n"/>
      <c r="E822" s="19" t="n"/>
      <c r="F822" s="16">
        <f>IF(OR(B822="",D822=""),"",IFERROR(INDEX('Tabla XP'!$B$2:$B$12,MATCH(D822,'Tabla XP'!$A$2:$A$12,0))*IF(E822="",1,E822),0))</f>
        <v/>
      </c>
      <c r="G822" s="19" t="n"/>
      <c r="H822" s="19" t="n"/>
    </row>
    <row r="823">
      <c r="A823" s="22" t="n"/>
      <c r="B823" s="19" t="n"/>
      <c r="C823" s="18">
        <f>IF(B823="","",IFERROR(INDEX(Jugadores!$C$2:$C$501,MATCH(B823,Jugadores!$A$2:$A$501,0)),"⚠ ID no existe"))</f>
        <v/>
      </c>
      <c r="D823" s="19" t="n"/>
      <c r="E823" s="19" t="n"/>
      <c r="F823" s="16">
        <f>IF(OR(B823="",D823=""),"",IFERROR(INDEX('Tabla XP'!$B$2:$B$12,MATCH(D823,'Tabla XP'!$A$2:$A$12,0))*IF(E823="",1,E823),0))</f>
        <v/>
      </c>
      <c r="G823" s="19" t="n"/>
      <c r="H823" s="19" t="n"/>
    </row>
    <row r="824">
      <c r="A824" s="22" t="n"/>
      <c r="B824" s="19" t="n"/>
      <c r="C824" s="18">
        <f>IF(B824="","",IFERROR(INDEX(Jugadores!$C$2:$C$501,MATCH(B824,Jugadores!$A$2:$A$501,0)),"⚠ ID no existe"))</f>
        <v/>
      </c>
      <c r="D824" s="19" t="n"/>
      <c r="E824" s="19" t="n"/>
      <c r="F824" s="16">
        <f>IF(OR(B824="",D824=""),"",IFERROR(INDEX('Tabla XP'!$B$2:$B$12,MATCH(D824,'Tabla XP'!$A$2:$A$12,0))*IF(E824="",1,E824),0))</f>
        <v/>
      </c>
      <c r="G824" s="19" t="n"/>
      <c r="H824" s="19" t="n"/>
    </row>
    <row r="825">
      <c r="A825" s="22" t="n"/>
      <c r="B825" s="19" t="n"/>
      <c r="C825" s="18">
        <f>IF(B825="","",IFERROR(INDEX(Jugadores!$C$2:$C$501,MATCH(B825,Jugadores!$A$2:$A$501,0)),"⚠ ID no existe"))</f>
        <v/>
      </c>
      <c r="D825" s="19" t="n"/>
      <c r="E825" s="19" t="n"/>
      <c r="F825" s="16">
        <f>IF(OR(B825="",D825=""),"",IFERROR(INDEX('Tabla XP'!$B$2:$B$12,MATCH(D825,'Tabla XP'!$A$2:$A$12,0))*IF(E825="",1,E825),0))</f>
        <v/>
      </c>
      <c r="G825" s="19" t="n"/>
      <c r="H825" s="19" t="n"/>
    </row>
    <row r="826">
      <c r="A826" s="22" t="n"/>
      <c r="B826" s="19" t="n"/>
      <c r="C826" s="18">
        <f>IF(B826="","",IFERROR(INDEX(Jugadores!$C$2:$C$501,MATCH(B826,Jugadores!$A$2:$A$501,0)),"⚠ ID no existe"))</f>
        <v/>
      </c>
      <c r="D826" s="19" t="n"/>
      <c r="E826" s="19" t="n"/>
      <c r="F826" s="16">
        <f>IF(OR(B826="",D826=""),"",IFERROR(INDEX('Tabla XP'!$B$2:$B$12,MATCH(D826,'Tabla XP'!$A$2:$A$12,0))*IF(E826="",1,E826),0))</f>
        <v/>
      </c>
      <c r="G826" s="19" t="n"/>
      <c r="H826" s="19" t="n"/>
    </row>
    <row r="827">
      <c r="A827" s="22" t="n"/>
      <c r="B827" s="19" t="n"/>
      <c r="C827" s="18">
        <f>IF(B827="","",IFERROR(INDEX(Jugadores!$C$2:$C$501,MATCH(B827,Jugadores!$A$2:$A$501,0)),"⚠ ID no existe"))</f>
        <v/>
      </c>
      <c r="D827" s="19" t="n"/>
      <c r="E827" s="19" t="n"/>
      <c r="F827" s="16">
        <f>IF(OR(B827="",D827=""),"",IFERROR(INDEX('Tabla XP'!$B$2:$B$12,MATCH(D827,'Tabla XP'!$A$2:$A$12,0))*IF(E827="",1,E827),0))</f>
        <v/>
      </c>
      <c r="G827" s="19" t="n"/>
      <c r="H827" s="19" t="n"/>
    </row>
    <row r="828">
      <c r="A828" s="22" t="n"/>
      <c r="B828" s="19" t="n"/>
      <c r="C828" s="18">
        <f>IF(B828="","",IFERROR(INDEX(Jugadores!$C$2:$C$501,MATCH(B828,Jugadores!$A$2:$A$501,0)),"⚠ ID no existe"))</f>
        <v/>
      </c>
      <c r="D828" s="19" t="n"/>
      <c r="E828" s="19" t="n"/>
      <c r="F828" s="16">
        <f>IF(OR(B828="",D828=""),"",IFERROR(INDEX('Tabla XP'!$B$2:$B$12,MATCH(D828,'Tabla XP'!$A$2:$A$12,0))*IF(E828="",1,E828),0))</f>
        <v/>
      </c>
      <c r="G828" s="19" t="n"/>
      <c r="H828" s="19" t="n"/>
    </row>
    <row r="829">
      <c r="A829" s="22" t="n"/>
      <c r="B829" s="19" t="n"/>
      <c r="C829" s="18">
        <f>IF(B829="","",IFERROR(INDEX(Jugadores!$C$2:$C$501,MATCH(B829,Jugadores!$A$2:$A$501,0)),"⚠ ID no existe"))</f>
        <v/>
      </c>
      <c r="D829" s="19" t="n"/>
      <c r="E829" s="19" t="n"/>
      <c r="F829" s="16">
        <f>IF(OR(B829="",D829=""),"",IFERROR(INDEX('Tabla XP'!$B$2:$B$12,MATCH(D829,'Tabla XP'!$A$2:$A$12,0))*IF(E829="",1,E829),0))</f>
        <v/>
      </c>
      <c r="G829" s="19" t="n"/>
      <c r="H829" s="19" t="n"/>
    </row>
    <row r="830">
      <c r="A830" s="22" t="n"/>
      <c r="B830" s="19" t="n"/>
      <c r="C830" s="18">
        <f>IF(B830="","",IFERROR(INDEX(Jugadores!$C$2:$C$501,MATCH(B830,Jugadores!$A$2:$A$501,0)),"⚠ ID no existe"))</f>
        <v/>
      </c>
      <c r="D830" s="19" t="n"/>
      <c r="E830" s="19" t="n"/>
      <c r="F830" s="16">
        <f>IF(OR(B830="",D830=""),"",IFERROR(INDEX('Tabla XP'!$B$2:$B$12,MATCH(D830,'Tabla XP'!$A$2:$A$12,0))*IF(E830="",1,E830),0))</f>
        <v/>
      </c>
      <c r="G830" s="19" t="n"/>
      <c r="H830" s="19" t="n"/>
    </row>
    <row r="831">
      <c r="A831" s="22" t="n"/>
      <c r="B831" s="19" t="n"/>
      <c r="C831" s="18">
        <f>IF(B831="","",IFERROR(INDEX(Jugadores!$C$2:$C$501,MATCH(B831,Jugadores!$A$2:$A$501,0)),"⚠ ID no existe"))</f>
        <v/>
      </c>
      <c r="D831" s="19" t="n"/>
      <c r="E831" s="19" t="n"/>
      <c r="F831" s="16">
        <f>IF(OR(B831="",D831=""),"",IFERROR(INDEX('Tabla XP'!$B$2:$B$12,MATCH(D831,'Tabla XP'!$A$2:$A$12,0))*IF(E831="",1,E831),0))</f>
        <v/>
      </c>
      <c r="G831" s="19" t="n"/>
      <c r="H831" s="19" t="n"/>
    </row>
    <row r="832">
      <c r="A832" s="22" t="n"/>
      <c r="B832" s="19" t="n"/>
      <c r="C832" s="18">
        <f>IF(B832="","",IFERROR(INDEX(Jugadores!$C$2:$C$501,MATCH(B832,Jugadores!$A$2:$A$501,0)),"⚠ ID no existe"))</f>
        <v/>
      </c>
      <c r="D832" s="19" t="n"/>
      <c r="E832" s="19" t="n"/>
      <c r="F832" s="16">
        <f>IF(OR(B832="",D832=""),"",IFERROR(INDEX('Tabla XP'!$B$2:$B$12,MATCH(D832,'Tabla XP'!$A$2:$A$12,0))*IF(E832="",1,E832),0))</f>
        <v/>
      </c>
      <c r="G832" s="19" t="n"/>
      <c r="H832" s="19" t="n"/>
    </row>
    <row r="833">
      <c r="A833" s="22" t="n"/>
      <c r="B833" s="19" t="n"/>
      <c r="C833" s="18">
        <f>IF(B833="","",IFERROR(INDEX(Jugadores!$C$2:$C$501,MATCH(B833,Jugadores!$A$2:$A$501,0)),"⚠ ID no existe"))</f>
        <v/>
      </c>
      <c r="D833" s="19" t="n"/>
      <c r="E833" s="19" t="n"/>
      <c r="F833" s="16">
        <f>IF(OR(B833="",D833=""),"",IFERROR(INDEX('Tabla XP'!$B$2:$B$12,MATCH(D833,'Tabla XP'!$A$2:$A$12,0))*IF(E833="",1,E833),0))</f>
        <v/>
      </c>
      <c r="G833" s="19" t="n"/>
      <c r="H833" s="19" t="n"/>
    </row>
    <row r="834">
      <c r="A834" s="22" t="n"/>
      <c r="B834" s="19" t="n"/>
      <c r="C834" s="18">
        <f>IF(B834="","",IFERROR(INDEX(Jugadores!$C$2:$C$501,MATCH(B834,Jugadores!$A$2:$A$501,0)),"⚠ ID no existe"))</f>
        <v/>
      </c>
      <c r="D834" s="19" t="n"/>
      <c r="E834" s="19" t="n"/>
      <c r="F834" s="16">
        <f>IF(OR(B834="",D834=""),"",IFERROR(INDEX('Tabla XP'!$B$2:$B$12,MATCH(D834,'Tabla XP'!$A$2:$A$12,0))*IF(E834="",1,E834),0))</f>
        <v/>
      </c>
      <c r="G834" s="19" t="n"/>
      <c r="H834" s="19" t="n"/>
    </row>
    <row r="835">
      <c r="A835" s="22" t="n"/>
      <c r="B835" s="19" t="n"/>
      <c r="C835" s="18">
        <f>IF(B835="","",IFERROR(INDEX(Jugadores!$C$2:$C$501,MATCH(B835,Jugadores!$A$2:$A$501,0)),"⚠ ID no existe"))</f>
        <v/>
      </c>
      <c r="D835" s="19" t="n"/>
      <c r="E835" s="19" t="n"/>
      <c r="F835" s="16">
        <f>IF(OR(B835="",D835=""),"",IFERROR(INDEX('Tabla XP'!$B$2:$B$12,MATCH(D835,'Tabla XP'!$A$2:$A$12,0))*IF(E835="",1,E835),0))</f>
        <v/>
      </c>
      <c r="G835" s="19" t="n"/>
      <c r="H835" s="19" t="n"/>
    </row>
    <row r="836">
      <c r="A836" s="22" t="n"/>
      <c r="B836" s="19" t="n"/>
      <c r="C836" s="18">
        <f>IF(B836="","",IFERROR(INDEX(Jugadores!$C$2:$C$501,MATCH(B836,Jugadores!$A$2:$A$501,0)),"⚠ ID no existe"))</f>
        <v/>
      </c>
      <c r="D836" s="19" t="n"/>
      <c r="E836" s="19" t="n"/>
      <c r="F836" s="16">
        <f>IF(OR(B836="",D836=""),"",IFERROR(INDEX('Tabla XP'!$B$2:$B$12,MATCH(D836,'Tabla XP'!$A$2:$A$12,0))*IF(E836="",1,E836),0))</f>
        <v/>
      </c>
      <c r="G836" s="19" t="n"/>
      <c r="H836" s="19" t="n"/>
    </row>
    <row r="837">
      <c r="A837" s="22" t="n"/>
      <c r="B837" s="19" t="n"/>
      <c r="C837" s="18">
        <f>IF(B837="","",IFERROR(INDEX(Jugadores!$C$2:$C$501,MATCH(B837,Jugadores!$A$2:$A$501,0)),"⚠ ID no existe"))</f>
        <v/>
      </c>
      <c r="D837" s="19" t="n"/>
      <c r="E837" s="19" t="n"/>
      <c r="F837" s="16">
        <f>IF(OR(B837="",D837=""),"",IFERROR(INDEX('Tabla XP'!$B$2:$B$12,MATCH(D837,'Tabla XP'!$A$2:$A$12,0))*IF(E837="",1,E837),0))</f>
        <v/>
      </c>
      <c r="G837" s="19" t="n"/>
      <c r="H837" s="19" t="n"/>
    </row>
    <row r="838">
      <c r="A838" s="22" t="n"/>
      <c r="B838" s="19" t="n"/>
      <c r="C838" s="18">
        <f>IF(B838="","",IFERROR(INDEX(Jugadores!$C$2:$C$501,MATCH(B838,Jugadores!$A$2:$A$501,0)),"⚠ ID no existe"))</f>
        <v/>
      </c>
      <c r="D838" s="19" t="n"/>
      <c r="E838" s="19" t="n"/>
      <c r="F838" s="16">
        <f>IF(OR(B838="",D838=""),"",IFERROR(INDEX('Tabla XP'!$B$2:$B$12,MATCH(D838,'Tabla XP'!$A$2:$A$12,0))*IF(E838="",1,E838),0))</f>
        <v/>
      </c>
      <c r="G838" s="19" t="n"/>
      <c r="H838" s="19" t="n"/>
    </row>
    <row r="839">
      <c r="A839" s="22" t="n"/>
      <c r="B839" s="19" t="n"/>
      <c r="C839" s="18">
        <f>IF(B839="","",IFERROR(INDEX(Jugadores!$C$2:$C$501,MATCH(B839,Jugadores!$A$2:$A$501,0)),"⚠ ID no existe"))</f>
        <v/>
      </c>
      <c r="D839" s="19" t="n"/>
      <c r="E839" s="19" t="n"/>
      <c r="F839" s="16">
        <f>IF(OR(B839="",D839=""),"",IFERROR(INDEX('Tabla XP'!$B$2:$B$12,MATCH(D839,'Tabla XP'!$A$2:$A$12,0))*IF(E839="",1,E839),0))</f>
        <v/>
      </c>
      <c r="G839" s="19" t="n"/>
      <c r="H839" s="19" t="n"/>
    </row>
    <row r="840">
      <c r="A840" s="22" t="n"/>
      <c r="B840" s="19" t="n"/>
      <c r="C840" s="18">
        <f>IF(B840="","",IFERROR(INDEX(Jugadores!$C$2:$C$501,MATCH(B840,Jugadores!$A$2:$A$501,0)),"⚠ ID no existe"))</f>
        <v/>
      </c>
      <c r="D840" s="19" t="n"/>
      <c r="E840" s="19" t="n"/>
      <c r="F840" s="16">
        <f>IF(OR(B840="",D840=""),"",IFERROR(INDEX('Tabla XP'!$B$2:$B$12,MATCH(D840,'Tabla XP'!$A$2:$A$12,0))*IF(E840="",1,E840),0))</f>
        <v/>
      </c>
      <c r="G840" s="19" t="n"/>
      <c r="H840" s="19" t="n"/>
    </row>
    <row r="841">
      <c r="A841" s="22" t="n"/>
      <c r="B841" s="19" t="n"/>
      <c r="C841" s="18">
        <f>IF(B841="","",IFERROR(INDEX(Jugadores!$C$2:$C$501,MATCH(B841,Jugadores!$A$2:$A$501,0)),"⚠ ID no existe"))</f>
        <v/>
      </c>
      <c r="D841" s="19" t="n"/>
      <c r="E841" s="19" t="n"/>
      <c r="F841" s="16">
        <f>IF(OR(B841="",D841=""),"",IFERROR(INDEX('Tabla XP'!$B$2:$B$12,MATCH(D841,'Tabla XP'!$A$2:$A$12,0))*IF(E841="",1,E841),0))</f>
        <v/>
      </c>
      <c r="G841" s="19" t="n"/>
      <c r="H841" s="19" t="n"/>
    </row>
    <row r="842">
      <c r="A842" s="22" t="n"/>
      <c r="B842" s="19" t="n"/>
      <c r="C842" s="18">
        <f>IF(B842="","",IFERROR(INDEX(Jugadores!$C$2:$C$501,MATCH(B842,Jugadores!$A$2:$A$501,0)),"⚠ ID no existe"))</f>
        <v/>
      </c>
      <c r="D842" s="19" t="n"/>
      <c r="E842" s="19" t="n"/>
      <c r="F842" s="16">
        <f>IF(OR(B842="",D842=""),"",IFERROR(INDEX('Tabla XP'!$B$2:$B$12,MATCH(D842,'Tabla XP'!$A$2:$A$12,0))*IF(E842="",1,E842),0))</f>
        <v/>
      </c>
      <c r="G842" s="19" t="n"/>
      <c r="H842" s="19" t="n"/>
    </row>
    <row r="843">
      <c r="A843" s="22" t="n"/>
      <c r="B843" s="19" t="n"/>
      <c r="C843" s="18">
        <f>IF(B843="","",IFERROR(INDEX(Jugadores!$C$2:$C$501,MATCH(B843,Jugadores!$A$2:$A$501,0)),"⚠ ID no existe"))</f>
        <v/>
      </c>
      <c r="D843" s="19" t="n"/>
      <c r="E843" s="19" t="n"/>
      <c r="F843" s="16">
        <f>IF(OR(B843="",D843=""),"",IFERROR(INDEX('Tabla XP'!$B$2:$B$12,MATCH(D843,'Tabla XP'!$A$2:$A$12,0))*IF(E843="",1,E843),0))</f>
        <v/>
      </c>
      <c r="G843" s="19" t="n"/>
      <c r="H843" s="19" t="n"/>
    </row>
    <row r="844">
      <c r="A844" s="22" t="n"/>
      <c r="B844" s="19" t="n"/>
      <c r="C844" s="18">
        <f>IF(B844="","",IFERROR(INDEX(Jugadores!$C$2:$C$501,MATCH(B844,Jugadores!$A$2:$A$501,0)),"⚠ ID no existe"))</f>
        <v/>
      </c>
      <c r="D844" s="19" t="n"/>
      <c r="E844" s="19" t="n"/>
      <c r="F844" s="16">
        <f>IF(OR(B844="",D844=""),"",IFERROR(INDEX('Tabla XP'!$B$2:$B$12,MATCH(D844,'Tabla XP'!$A$2:$A$12,0))*IF(E844="",1,E844),0))</f>
        <v/>
      </c>
      <c r="G844" s="19" t="n"/>
      <c r="H844" s="19" t="n"/>
    </row>
    <row r="845">
      <c r="A845" s="22" t="n"/>
      <c r="B845" s="19" t="n"/>
      <c r="C845" s="18">
        <f>IF(B845="","",IFERROR(INDEX(Jugadores!$C$2:$C$501,MATCH(B845,Jugadores!$A$2:$A$501,0)),"⚠ ID no existe"))</f>
        <v/>
      </c>
      <c r="D845" s="19" t="n"/>
      <c r="E845" s="19" t="n"/>
      <c r="F845" s="16">
        <f>IF(OR(B845="",D845=""),"",IFERROR(INDEX('Tabla XP'!$B$2:$B$12,MATCH(D845,'Tabla XP'!$A$2:$A$12,0))*IF(E845="",1,E845),0))</f>
        <v/>
      </c>
      <c r="G845" s="19" t="n"/>
      <c r="H845" s="19" t="n"/>
    </row>
    <row r="846">
      <c r="A846" s="22" t="n"/>
      <c r="B846" s="19" t="n"/>
      <c r="C846" s="18">
        <f>IF(B846="","",IFERROR(INDEX(Jugadores!$C$2:$C$501,MATCH(B846,Jugadores!$A$2:$A$501,0)),"⚠ ID no existe"))</f>
        <v/>
      </c>
      <c r="D846" s="19" t="n"/>
      <c r="E846" s="19" t="n"/>
      <c r="F846" s="16">
        <f>IF(OR(B846="",D846=""),"",IFERROR(INDEX('Tabla XP'!$B$2:$B$12,MATCH(D846,'Tabla XP'!$A$2:$A$12,0))*IF(E846="",1,E846),0))</f>
        <v/>
      </c>
      <c r="G846" s="19" t="n"/>
      <c r="H846" s="19" t="n"/>
    </row>
    <row r="847">
      <c r="A847" s="22" t="n"/>
      <c r="B847" s="19" t="n"/>
      <c r="C847" s="18">
        <f>IF(B847="","",IFERROR(INDEX(Jugadores!$C$2:$C$501,MATCH(B847,Jugadores!$A$2:$A$501,0)),"⚠ ID no existe"))</f>
        <v/>
      </c>
      <c r="D847" s="19" t="n"/>
      <c r="E847" s="19" t="n"/>
      <c r="F847" s="16">
        <f>IF(OR(B847="",D847=""),"",IFERROR(INDEX('Tabla XP'!$B$2:$B$12,MATCH(D847,'Tabla XP'!$A$2:$A$12,0))*IF(E847="",1,E847),0))</f>
        <v/>
      </c>
      <c r="G847" s="19" t="n"/>
      <c r="H847" s="19" t="n"/>
    </row>
    <row r="848">
      <c r="A848" s="22" t="n"/>
      <c r="B848" s="19" t="n"/>
      <c r="C848" s="18">
        <f>IF(B848="","",IFERROR(INDEX(Jugadores!$C$2:$C$501,MATCH(B848,Jugadores!$A$2:$A$501,0)),"⚠ ID no existe"))</f>
        <v/>
      </c>
      <c r="D848" s="19" t="n"/>
      <c r="E848" s="19" t="n"/>
      <c r="F848" s="16">
        <f>IF(OR(B848="",D848=""),"",IFERROR(INDEX('Tabla XP'!$B$2:$B$12,MATCH(D848,'Tabla XP'!$A$2:$A$12,0))*IF(E848="",1,E848),0))</f>
        <v/>
      </c>
      <c r="G848" s="19" t="n"/>
      <c r="H848" s="19" t="n"/>
    </row>
    <row r="849">
      <c r="A849" s="22" t="n"/>
      <c r="B849" s="19" t="n"/>
      <c r="C849" s="18">
        <f>IF(B849="","",IFERROR(INDEX(Jugadores!$C$2:$C$501,MATCH(B849,Jugadores!$A$2:$A$501,0)),"⚠ ID no existe"))</f>
        <v/>
      </c>
      <c r="D849" s="19" t="n"/>
      <c r="E849" s="19" t="n"/>
      <c r="F849" s="16">
        <f>IF(OR(B849="",D849=""),"",IFERROR(INDEX('Tabla XP'!$B$2:$B$12,MATCH(D849,'Tabla XP'!$A$2:$A$12,0))*IF(E849="",1,E849),0))</f>
        <v/>
      </c>
      <c r="G849" s="19" t="n"/>
      <c r="H849" s="19" t="n"/>
    </row>
    <row r="850">
      <c r="A850" s="22" t="n"/>
      <c r="B850" s="19" t="n"/>
      <c r="C850" s="18">
        <f>IF(B850="","",IFERROR(INDEX(Jugadores!$C$2:$C$501,MATCH(B850,Jugadores!$A$2:$A$501,0)),"⚠ ID no existe"))</f>
        <v/>
      </c>
      <c r="D850" s="19" t="n"/>
      <c r="E850" s="19" t="n"/>
      <c r="F850" s="16">
        <f>IF(OR(B850="",D850=""),"",IFERROR(INDEX('Tabla XP'!$B$2:$B$12,MATCH(D850,'Tabla XP'!$A$2:$A$12,0))*IF(E850="",1,E850),0))</f>
        <v/>
      </c>
      <c r="G850" s="19" t="n"/>
      <c r="H850" s="19" t="n"/>
    </row>
    <row r="851">
      <c r="A851" s="22" t="n"/>
      <c r="B851" s="19" t="n"/>
      <c r="C851" s="18">
        <f>IF(B851="","",IFERROR(INDEX(Jugadores!$C$2:$C$501,MATCH(B851,Jugadores!$A$2:$A$501,0)),"⚠ ID no existe"))</f>
        <v/>
      </c>
      <c r="D851" s="19" t="n"/>
      <c r="E851" s="19" t="n"/>
      <c r="F851" s="16">
        <f>IF(OR(B851="",D851=""),"",IFERROR(INDEX('Tabla XP'!$B$2:$B$12,MATCH(D851,'Tabla XP'!$A$2:$A$12,0))*IF(E851="",1,E851),0))</f>
        <v/>
      </c>
      <c r="G851" s="19" t="n"/>
      <c r="H851" s="19" t="n"/>
    </row>
    <row r="852">
      <c r="A852" s="22" t="n"/>
      <c r="B852" s="19" t="n"/>
      <c r="C852" s="18">
        <f>IF(B852="","",IFERROR(INDEX(Jugadores!$C$2:$C$501,MATCH(B852,Jugadores!$A$2:$A$501,0)),"⚠ ID no existe"))</f>
        <v/>
      </c>
      <c r="D852" s="19" t="n"/>
      <c r="E852" s="19" t="n"/>
      <c r="F852" s="16">
        <f>IF(OR(B852="",D852=""),"",IFERROR(INDEX('Tabla XP'!$B$2:$B$12,MATCH(D852,'Tabla XP'!$A$2:$A$12,0))*IF(E852="",1,E852),0))</f>
        <v/>
      </c>
      <c r="G852" s="19" t="n"/>
      <c r="H852" s="19" t="n"/>
    </row>
    <row r="853">
      <c r="A853" s="22" t="n"/>
      <c r="B853" s="19" t="n"/>
      <c r="C853" s="18">
        <f>IF(B853="","",IFERROR(INDEX(Jugadores!$C$2:$C$501,MATCH(B853,Jugadores!$A$2:$A$501,0)),"⚠ ID no existe"))</f>
        <v/>
      </c>
      <c r="D853" s="19" t="n"/>
      <c r="E853" s="19" t="n"/>
      <c r="F853" s="16">
        <f>IF(OR(B853="",D853=""),"",IFERROR(INDEX('Tabla XP'!$B$2:$B$12,MATCH(D853,'Tabla XP'!$A$2:$A$12,0))*IF(E853="",1,E853),0))</f>
        <v/>
      </c>
      <c r="G853" s="19" t="n"/>
      <c r="H853" s="19" t="n"/>
    </row>
    <row r="854">
      <c r="A854" s="22" t="n"/>
      <c r="B854" s="19" t="n"/>
      <c r="C854" s="18">
        <f>IF(B854="","",IFERROR(INDEX(Jugadores!$C$2:$C$501,MATCH(B854,Jugadores!$A$2:$A$501,0)),"⚠ ID no existe"))</f>
        <v/>
      </c>
      <c r="D854" s="19" t="n"/>
      <c r="E854" s="19" t="n"/>
      <c r="F854" s="16">
        <f>IF(OR(B854="",D854=""),"",IFERROR(INDEX('Tabla XP'!$B$2:$B$12,MATCH(D854,'Tabla XP'!$A$2:$A$12,0))*IF(E854="",1,E854),0))</f>
        <v/>
      </c>
      <c r="G854" s="19" t="n"/>
      <c r="H854" s="19" t="n"/>
    </row>
    <row r="855">
      <c r="A855" s="22" t="n"/>
      <c r="B855" s="19" t="n"/>
      <c r="C855" s="18">
        <f>IF(B855="","",IFERROR(INDEX(Jugadores!$C$2:$C$501,MATCH(B855,Jugadores!$A$2:$A$501,0)),"⚠ ID no existe"))</f>
        <v/>
      </c>
      <c r="D855" s="19" t="n"/>
      <c r="E855" s="19" t="n"/>
      <c r="F855" s="16">
        <f>IF(OR(B855="",D855=""),"",IFERROR(INDEX('Tabla XP'!$B$2:$B$12,MATCH(D855,'Tabla XP'!$A$2:$A$12,0))*IF(E855="",1,E855),0))</f>
        <v/>
      </c>
      <c r="G855" s="19" t="n"/>
      <c r="H855" s="19" t="n"/>
    </row>
    <row r="856">
      <c r="A856" s="22" t="n"/>
      <c r="B856" s="19" t="n"/>
      <c r="C856" s="18">
        <f>IF(B856="","",IFERROR(INDEX(Jugadores!$C$2:$C$501,MATCH(B856,Jugadores!$A$2:$A$501,0)),"⚠ ID no existe"))</f>
        <v/>
      </c>
      <c r="D856" s="19" t="n"/>
      <c r="E856" s="19" t="n"/>
      <c r="F856" s="16">
        <f>IF(OR(B856="",D856=""),"",IFERROR(INDEX('Tabla XP'!$B$2:$B$12,MATCH(D856,'Tabla XP'!$A$2:$A$12,0))*IF(E856="",1,E856),0))</f>
        <v/>
      </c>
      <c r="G856" s="19" t="n"/>
      <c r="H856" s="19" t="n"/>
    </row>
    <row r="857">
      <c r="A857" s="22" t="n"/>
      <c r="B857" s="19" t="n"/>
      <c r="C857" s="18">
        <f>IF(B857="","",IFERROR(INDEX(Jugadores!$C$2:$C$501,MATCH(B857,Jugadores!$A$2:$A$501,0)),"⚠ ID no existe"))</f>
        <v/>
      </c>
      <c r="D857" s="19" t="n"/>
      <c r="E857" s="19" t="n"/>
      <c r="F857" s="16">
        <f>IF(OR(B857="",D857=""),"",IFERROR(INDEX('Tabla XP'!$B$2:$B$12,MATCH(D857,'Tabla XP'!$A$2:$A$12,0))*IF(E857="",1,E857),0))</f>
        <v/>
      </c>
      <c r="G857" s="19" t="n"/>
      <c r="H857" s="19" t="n"/>
    </row>
    <row r="858">
      <c r="A858" s="22" t="n"/>
      <c r="B858" s="19" t="n"/>
      <c r="C858" s="18">
        <f>IF(B858="","",IFERROR(INDEX(Jugadores!$C$2:$C$501,MATCH(B858,Jugadores!$A$2:$A$501,0)),"⚠ ID no existe"))</f>
        <v/>
      </c>
      <c r="D858" s="19" t="n"/>
      <c r="E858" s="19" t="n"/>
      <c r="F858" s="16">
        <f>IF(OR(B858="",D858=""),"",IFERROR(INDEX('Tabla XP'!$B$2:$B$12,MATCH(D858,'Tabla XP'!$A$2:$A$12,0))*IF(E858="",1,E858),0))</f>
        <v/>
      </c>
      <c r="G858" s="19" t="n"/>
      <c r="H858" s="19" t="n"/>
    </row>
    <row r="859">
      <c r="A859" s="22" t="n"/>
      <c r="B859" s="19" t="n"/>
      <c r="C859" s="18">
        <f>IF(B859="","",IFERROR(INDEX(Jugadores!$C$2:$C$501,MATCH(B859,Jugadores!$A$2:$A$501,0)),"⚠ ID no existe"))</f>
        <v/>
      </c>
      <c r="D859" s="19" t="n"/>
      <c r="E859" s="19" t="n"/>
      <c r="F859" s="16">
        <f>IF(OR(B859="",D859=""),"",IFERROR(INDEX('Tabla XP'!$B$2:$B$12,MATCH(D859,'Tabla XP'!$A$2:$A$12,0))*IF(E859="",1,E859),0))</f>
        <v/>
      </c>
      <c r="G859" s="19" t="n"/>
      <c r="H859" s="19" t="n"/>
    </row>
    <row r="860">
      <c r="A860" s="22" t="n"/>
      <c r="B860" s="19" t="n"/>
      <c r="C860" s="18">
        <f>IF(B860="","",IFERROR(INDEX(Jugadores!$C$2:$C$501,MATCH(B860,Jugadores!$A$2:$A$501,0)),"⚠ ID no existe"))</f>
        <v/>
      </c>
      <c r="D860" s="19" t="n"/>
      <c r="E860" s="19" t="n"/>
      <c r="F860" s="16">
        <f>IF(OR(B860="",D860=""),"",IFERROR(INDEX('Tabla XP'!$B$2:$B$12,MATCH(D860,'Tabla XP'!$A$2:$A$12,0))*IF(E860="",1,E860),0))</f>
        <v/>
      </c>
      <c r="G860" s="19" t="n"/>
      <c r="H860" s="19" t="n"/>
    </row>
    <row r="861">
      <c r="A861" s="22" t="n"/>
      <c r="B861" s="19" t="n"/>
      <c r="C861" s="18">
        <f>IF(B861="","",IFERROR(INDEX(Jugadores!$C$2:$C$501,MATCH(B861,Jugadores!$A$2:$A$501,0)),"⚠ ID no existe"))</f>
        <v/>
      </c>
      <c r="D861" s="19" t="n"/>
      <c r="E861" s="19" t="n"/>
      <c r="F861" s="16">
        <f>IF(OR(B861="",D861=""),"",IFERROR(INDEX('Tabla XP'!$B$2:$B$12,MATCH(D861,'Tabla XP'!$A$2:$A$12,0))*IF(E861="",1,E861),0))</f>
        <v/>
      </c>
      <c r="G861" s="19" t="n"/>
      <c r="H861" s="19" t="n"/>
    </row>
    <row r="862">
      <c r="A862" s="22" t="n"/>
      <c r="B862" s="19" t="n"/>
      <c r="C862" s="18">
        <f>IF(B862="","",IFERROR(INDEX(Jugadores!$C$2:$C$501,MATCH(B862,Jugadores!$A$2:$A$501,0)),"⚠ ID no existe"))</f>
        <v/>
      </c>
      <c r="D862" s="19" t="n"/>
      <c r="E862" s="19" t="n"/>
      <c r="F862" s="16">
        <f>IF(OR(B862="",D862=""),"",IFERROR(INDEX('Tabla XP'!$B$2:$B$12,MATCH(D862,'Tabla XP'!$A$2:$A$12,0))*IF(E862="",1,E862),0))</f>
        <v/>
      </c>
      <c r="G862" s="19" t="n"/>
      <c r="H862" s="19" t="n"/>
    </row>
    <row r="863">
      <c r="A863" s="22" t="n"/>
      <c r="B863" s="19" t="n"/>
      <c r="C863" s="18">
        <f>IF(B863="","",IFERROR(INDEX(Jugadores!$C$2:$C$501,MATCH(B863,Jugadores!$A$2:$A$501,0)),"⚠ ID no existe"))</f>
        <v/>
      </c>
      <c r="D863" s="19" t="n"/>
      <c r="E863" s="19" t="n"/>
      <c r="F863" s="16">
        <f>IF(OR(B863="",D863=""),"",IFERROR(INDEX('Tabla XP'!$B$2:$B$12,MATCH(D863,'Tabla XP'!$A$2:$A$12,0))*IF(E863="",1,E863),0))</f>
        <v/>
      </c>
      <c r="G863" s="19" t="n"/>
      <c r="H863" s="19" t="n"/>
    </row>
    <row r="864">
      <c r="A864" s="22" t="n"/>
      <c r="B864" s="19" t="n"/>
      <c r="C864" s="18">
        <f>IF(B864="","",IFERROR(INDEX(Jugadores!$C$2:$C$501,MATCH(B864,Jugadores!$A$2:$A$501,0)),"⚠ ID no existe"))</f>
        <v/>
      </c>
      <c r="D864" s="19" t="n"/>
      <c r="E864" s="19" t="n"/>
      <c r="F864" s="16">
        <f>IF(OR(B864="",D864=""),"",IFERROR(INDEX('Tabla XP'!$B$2:$B$12,MATCH(D864,'Tabla XP'!$A$2:$A$12,0))*IF(E864="",1,E864),0))</f>
        <v/>
      </c>
      <c r="G864" s="19" t="n"/>
      <c r="H864" s="19" t="n"/>
    </row>
    <row r="865">
      <c r="A865" s="22" t="n"/>
      <c r="B865" s="19" t="n"/>
      <c r="C865" s="18">
        <f>IF(B865="","",IFERROR(INDEX(Jugadores!$C$2:$C$501,MATCH(B865,Jugadores!$A$2:$A$501,0)),"⚠ ID no existe"))</f>
        <v/>
      </c>
      <c r="D865" s="19" t="n"/>
      <c r="E865" s="19" t="n"/>
      <c r="F865" s="16">
        <f>IF(OR(B865="",D865=""),"",IFERROR(INDEX('Tabla XP'!$B$2:$B$12,MATCH(D865,'Tabla XP'!$A$2:$A$12,0))*IF(E865="",1,E865),0))</f>
        <v/>
      </c>
      <c r="G865" s="19" t="n"/>
      <c r="H865" s="19" t="n"/>
    </row>
    <row r="866">
      <c r="A866" s="22" t="n"/>
      <c r="B866" s="19" t="n"/>
      <c r="C866" s="18">
        <f>IF(B866="","",IFERROR(INDEX(Jugadores!$C$2:$C$501,MATCH(B866,Jugadores!$A$2:$A$501,0)),"⚠ ID no existe"))</f>
        <v/>
      </c>
      <c r="D866" s="19" t="n"/>
      <c r="E866" s="19" t="n"/>
      <c r="F866" s="16">
        <f>IF(OR(B866="",D866=""),"",IFERROR(INDEX('Tabla XP'!$B$2:$B$12,MATCH(D866,'Tabla XP'!$A$2:$A$12,0))*IF(E866="",1,E866),0))</f>
        <v/>
      </c>
      <c r="G866" s="19" t="n"/>
      <c r="H866" s="19" t="n"/>
    </row>
    <row r="867">
      <c r="A867" s="22" t="n"/>
      <c r="B867" s="19" t="n"/>
      <c r="C867" s="18">
        <f>IF(B867="","",IFERROR(INDEX(Jugadores!$C$2:$C$501,MATCH(B867,Jugadores!$A$2:$A$501,0)),"⚠ ID no existe"))</f>
        <v/>
      </c>
      <c r="D867" s="19" t="n"/>
      <c r="E867" s="19" t="n"/>
      <c r="F867" s="16">
        <f>IF(OR(B867="",D867=""),"",IFERROR(INDEX('Tabla XP'!$B$2:$B$12,MATCH(D867,'Tabla XP'!$A$2:$A$12,0))*IF(E867="",1,E867),0))</f>
        <v/>
      </c>
      <c r="G867" s="19" t="n"/>
      <c r="H867" s="19" t="n"/>
    </row>
    <row r="868">
      <c r="A868" s="22" t="n"/>
      <c r="B868" s="19" t="n"/>
      <c r="C868" s="18">
        <f>IF(B868="","",IFERROR(INDEX(Jugadores!$C$2:$C$501,MATCH(B868,Jugadores!$A$2:$A$501,0)),"⚠ ID no existe"))</f>
        <v/>
      </c>
      <c r="D868" s="19" t="n"/>
      <c r="E868" s="19" t="n"/>
      <c r="F868" s="16">
        <f>IF(OR(B868="",D868=""),"",IFERROR(INDEX('Tabla XP'!$B$2:$B$12,MATCH(D868,'Tabla XP'!$A$2:$A$12,0))*IF(E868="",1,E868),0))</f>
        <v/>
      </c>
      <c r="G868" s="19" t="n"/>
      <c r="H868" s="19" t="n"/>
    </row>
    <row r="869">
      <c r="A869" s="22" t="n"/>
      <c r="B869" s="19" t="n"/>
      <c r="C869" s="18">
        <f>IF(B869="","",IFERROR(INDEX(Jugadores!$C$2:$C$501,MATCH(B869,Jugadores!$A$2:$A$501,0)),"⚠ ID no existe"))</f>
        <v/>
      </c>
      <c r="D869" s="19" t="n"/>
      <c r="E869" s="19" t="n"/>
      <c r="F869" s="16">
        <f>IF(OR(B869="",D869=""),"",IFERROR(INDEX('Tabla XP'!$B$2:$B$12,MATCH(D869,'Tabla XP'!$A$2:$A$12,0))*IF(E869="",1,E869),0))</f>
        <v/>
      </c>
      <c r="G869" s="19" t="n"/>
      <c r="H869" s="19" t="n"/>
    </row>
    <row r="870">
      <c r="A870" s="22" t="n"/>
      <c r="B870" s="19" t="n"/>
      <c r="C870" s="18">
        <f>IF(B870="","",IFERROR(INDEX(Jugadores!$C$2:$C$501,MATCH(B870,Jugadores!$A$2:$A$501,0)),"⚠ ID no existe"))</f>
        <v/>
      </c>
      <c r="D870" s="19" t="n"/>
      <c r="E870" s="19" t="n"/>
      <c r="F870" s="16">
        <f>IF(OR(B870="",D870=""),"",IFERROR(INDEX('Tabla XP'!$B$2:$B$12,MATCH(D870,'Tabla XP'!$A$2:$A$12,0))*IF(E870="",1,E870),0))</f>
        <v/>
      </c>
      <c r="G870" s="19" t="n"/>
      <c r="H870" s="19" t="n"/>
    </row>
    <row r="871">
      <c r="A871" s="22" t="n"/>
      <c r="B871" s="19" t="n"/>
      <c r="C871" s="18">
        <f>IF(B871="","",IFERROR(INDEX(Jugadores!$C$2:$C$501,MATCH(B871,Jugadores!$A$2:$A$501,0)),"⚠ ID no existe"))</f>
        <v/>
      </c>
      <c r="D871" s="19" t="n"/>
      <c r="E871" s="19" t="n"/>
      <c r="F871" s="16">
        <f>IF(OR(B871="",D871=""),"",IFERROR(INDEX('Tabla XP'!$B$2:$B$12,MATCH(D871,'Tabla XP'!$A$2:$A$12,0))*IF(E871="",1,E871),0))</f>
        <v/>
      </c>
      <c r="G871" s="19" t="n"/>
      <c r="H871" s="19" t="n"/>
    </row>
    <row r="872">
      <c r="A872" s="22" t="n"/>
      <c r="B872" s="19" t="n"/>
      <c r="C872" s="18">
        <f>IF(B872="","",IFERROR(INDEX(Jugadores!$C$2:$C$501,MATCH(B872,Jugadores!$A$2:$A$501,0)),"⚠ ID no existe"))</f>
        <v/>
      </c>
      <c r="D872" s="19" t="n"/>
      <c r="E872" s="19" t="n"/>
      <c r="F872" s="16">
        <f>IF(OR(B872="",D872=""),"",IFERROR(INDEX('Tabla XP'!$B$2:$B$12,MATCH(D872,'Tabla XP'!$A$2:$A$12,0))*IF(E872="",1,E872),0))</f>
        <v/>
      </c>
      <c r="G872" s="19" t="n"/>
      <c r="H872" s="19" t="n"/>
    </row>
    <row r="873">
      <c r="A873" s="22" t="n"/>
      <c r="B873" s="19" t="n"/>
      <c r="C873" s="18">
        <f>IF(B873="","",IFERROR(INDEX(Jugadores!$C$2:$C$501,MATCH(B873,Jugadores!$A$2:$A$501,0)),"⚠ ID no existe"))</f>
        <v/>
      </c>
      <c r="D873" s="19" t="n"/>
      <c r="E873" s="19" t="n"/>
      <c r="F873" s="16">
        <f>IF(OR(B873="",D873=""),"",IFERROR(INDEX('Tabla XP'!$B$2:$B$12,MATCH(D873,'Tabla XP'!$A$2:$A$12,0))*IF(E873="",1,E873),0))</f>
        <v/>
      </c>
      <c r="G873" s="19" t="n"/>
      <c r="H873" s="19" t="n"/>
    </row>
    <row r="874">
      <c r="A874" s="22" t="n"/>
      <c r="B874" s="19" t="n"/>
      <c r="C874" s="18">
        <f>IF(B874="","",IFERROR(INDEX(Jugadores!$C$2:$C$501,MATCH(B874,Jugadores!$A$2:$A$501,0)),"⚠ ID no existe"))</f>
        <v/>
      </c>
      <c r="D874" s="19" t="n"/>
      <c r="E874" s="19" t="n"/>
      <c r="F874" s="16">
        <f>IF(OR(B874="",D874=""),"",IFERROR(INDEX('Tabla XP'!$B$2:$B$12,MATCH(D874,'Tabla XP'!$A$2:$A$12,0))*IF(E874="",1,E874),0))</f>
        <v/>
      </c>
      <c r="G874" s="19" t="n"/>
      <c r="H874" s="19" t="n"/>
    </row>
    <row r="875">
      <c r="A875" s="22" t="n"/>
      <c r="B875" s="19" t="n"/>
      <c r="C875" s="18">
        <f>IF(B875="","",IFERROR(INDEX(Jugadores!$C$2:$C$501,MATCH(B875,Jugadores!$A$2:$A$501,0)),"⚠ ID no existe"))</f>
        <v/>
      </c>
      <c r="D875" s="19" t="n"/>
      <c r="E875" s="19" t="n"/>
      <c r="F875" s="16">
        <f>IF(OR(B875="",D875=""),"",IFERROR(INDEX('Tabla XP'!$B$2:$B$12,MATCH(D875,'Tabla XP'!$A$2:$A$12,0))*IF(E875="",1,E875),0))</f>
        <v/>
      </c>
      <c r="G875" s="19" t="n"/>
      <c r="H875" s="19" t="n"/>
    </row>
    <row r="876">
      <c r="A876" s="22" t="n"/>
      <c r="B876" s="19" t="n"/>
      <c r="C876" s="18">
        <f>IF(B876="","",IFERROR(INDEX(Jugadores!$C$2:$C$501,MATCH(B876,Jugadores!$A$2:$A$501,0)),"⚠ ID no existe"))</f>
        <v/>
      </c>
      <c r="D876" s="19" t="n"/>
      <c r="E876" s="19" t="n"/>
      <c r="F876" s="16">
        <f>IF(OR(B876="",D876=""),"",IFERROR(INDEX('Tabla XP'!$B$2:$B$12,MATCH(D876,'Tabla XP'!$A$2:$A$12,0))*IF(E876="",1,E876),0))</f>
        <v/>
      </c>
      <c r="G876" s="19" t="n"/>
      <c r="H876" s="19" t="n"/>
    </row>
    <row r="877">
      <c r="A877" s="22" t="n"/>
      <c r="B877" s="19" t="n"/>
      <c r="C877" s="18">
        <f>IF(B877="","",IFERROR(INDEX(Jugadores!$C$2:$C$501,MATCH(B877,Jugadores!$A$2:$A$501,0)),"⚠ ID no existe"))</f>
        <v/>
      </c>
      <c r="D877" s="19" t="n"/>
      <c r="E877" s="19" t="n"/>
      <c r="F877" s="16">
        <f>IF(OR(B877="",D877=""),"",IFERROR(INDEX('Tabla XP'!$B$2:$B$12,MATCH(D877,'Tabla XP'!$A$2:$A$12,0))*IF(E877="",1,E877),0))</f>
        <v/>
      </c>
      <c r="G877" s="19" t="n"/>
      <c r="H877" s="19" t="n"/>
    </row>
    <row r="878">
      <c r="A878" s="22" t="n"/>
      <c r="B878" s="19" t="n"/>
      <c r="C878" s="18">
        <f>IF(B878="","",IFERROR(INDEX(Jugadores!$C$2:$C$501,MATCH(B878,Jugadores!$A$2:$A$501,0)),"⚠ ID no existe"))</f>
        <v/>
      </c>
      <c r="D878" s="19" t="n"/>
      <c r="E878" s="19" t="n"/>
      <c r="F878" s="16">
        <f>IF(OR(B878="",D878=""),"",IFERROR(INDEX('Tabla XP'!$B$2:$B$12,MATCH(D878,'Tabla XP'!$A$2:$A$12,0))*IF(E878="",1,E878),0))</f>
        <v/>
      </c>
      <c r="G878" s="19" t="n"/>
      <c r="H878" s="19" t="n"/>
    </row>
    <row r="879">
      <c r="A879" s="22" t="n"/>
      <c r="B879" s="19" t="n"/>
      <c r="C879" s="18">
        <f>IF(B879="","",IFERROR(INDEX(Jugadores!$C$2:$C$501,MATCH(B879,Jugadores!$A$2:$A$501,0)),"⚠ ID no existe"))</f>
        <v/>
      </c>
      <c r="D879" s="19" t="n"/>
      <c r="E879" s="19" t="n"/>
      <c r="F879" s="16">
        <f>IF(OR(B879="",D879=""),"",IFERROR(INDEX('Tabla XP'!$B$2:$B$12,MATCH(D879,'Tabla XP'!$A$2:$A$12,0))*IF(E879="",1,E879),0))</f>
        <v/>
      </c>
      <c r="G879" s="19" t="n"/>
      <c r="H879" s="19" t="n"/>
    </row>
    <row r="880">
      <c r="A880" s="22" t="n"/>
      <c r="B880" s="19" t="n"/>
      <c r="C880" s="18">
        <f>IF(B880="","",IFERROR(INDEX(Jugadores!$C$2:$C$501,MATCH(B880,Jugadores!$A$2:$A$501,0)),"⚠ ID no existe"))</f>
        <v/>
      </c>
      <c r="D880" s="19" t="n"/>
      <c r="E880" s="19" t="n"/>
      <c r="F880" s="16">
        <f>IF(OR(B880="",D880=""),"",IFERROR(INDEX('Tabla XP'!$B$2:$B$12,MATCH(D880,'Tabla XP'!$A$2:$A$12,0))*IF(E880="",1,E880),0))</f>
        <v/>
      </c>
      <c r="G880" s="19" t="n"/>
      <c r="H880" s="19" t="n"/>
    </row>
    <row r="881">
      <c r="A881" s="22" t="n"/>
      <c r="B881" s="19" t="n"/>
      <c r="C881" s="18">
        <f>IF(B881="","",IFERROR(INDEX(Jugadores!$C$2:$C$501,MATCH(B881,Jugadores!$A$2:$A$501,0)),"⚠ ID no existe"))</f>
        <v/>
      </c>
      <c r="D881" s="19" t="n"/>
      <c r="E881" s="19" t="n"/>
      <c r="F881" s="16">
        <f>IF(OR(B881="",D881=""),"",IFERROR(INDEX('Tabla XP'!$B$2:$B$12,MATCH(D881,'Tabla XP'!$A$2:$A$12,0))*IF(E881="",1,E881),0))</f>
        <v/>
      </c>
      <c r="G881" s="19" t="n"/>
      <c r="H881" s="19" t="n"/>
    </row>
    <row r="882">
      <c r="A882" s="22" t="n"/>
      <c r="B882" s="19" t="n"/>
      <c r="C882" s="18">
        <f>IF(B882="","",IFERROR(INDEX(Jugadores!$C$2:$C$501,MATCH(B882,Jugadores!$A$2:$A$501,0)),"⚠ ID no existe"))</f>
        <v/>
      </c>
      <c r="D882" s="19" t="n"/>
      <c r="E882" s="19" t="n"/>
      <c r="F882" s="16">
        <f>IF(OR(B882="",D882=""),"",IFERROR(INDEX('Tabla XP'!$B$2:$B$12,MATCH(D882,'Tabla XP'!$A$2:$A$12,0))*IF(E882="",1,E882),0))</f>
        <v/>
      </c>
      <c r="G882" s="19" t="n"/>
      <c r="H882" s="19" t="n"/>
    </row>
    <row r="883">
      <c r="A883" s="22" t="n"/>
      <c r="B883" s="19" t="n"/>
      <c r="C883" s="18">
        <f>IF(B883="","",IFERROR(INDEX(Jugadores!$C$2:$C$501,MATCH(B883,Jugadores!$A$2:$A$501,0)),"⚠ ID no existe"))</f>
        <v/>
      </c>
      <c r="D883" s="19" t="n"/>
      <c r="E883" s="19" t="n"/>
      <c r="F883" s="16">
        <f>IF(OR(B883="",D883=""),"",IFERROR(INDEX('Tabla XP'!$B$2:$B$12,MATCH(D883,'Tabla XP'!$A$2:$A$12,0))*IF(E883="",1,E883),0))</f>
        <v/>
      </c>
      <c r="G883" s="19" t="n"/>
      <c r="H883" s="19" t="n"/>
    </row>
    <row r="884">
      <c r="A884" s="22" t="n"/>
      <c r="B884" s="19" t="n"/>
      <c r="C884" s="18">
        <f>IF(B884="","",IFERROR(INDEX(Jugadores!$C$2:$C$501,MATCH(B884,Jugadores!$A$2:$A$501,0)),"⚠ ID no existe"))</f>
        <v/>
      </c>
      <c r="D884" s="19" t="n"/>
      <c r="E884" s="19" t="n"/>
      <c r="F884" s="16">
        <f>IF(OR(B884="",D884=""),"",IFERROR(INDEX('Tabla XP'!$B$2:$B$12,MATCH(D884,'Tabla XP'!$A$2:$A$12,0))*IF(E884="",1,E884),0))</f>
        <v/>
      </c>
      <c r="G884" s="19" t="n"/>
      <c r="H884" s="19" t="n"/>
    </row>
    <row r="885">
      <c r="A885" s="22" t="n"/>
      <c r="B885" s="19" t="n"/>
      <c r="C885" s="18">
        <f>IF(B885="","",IFERROR(INDEX(Jugadores!$C$2:$C$501,MATCH(B885,Jugadores!$A$2:$A$501,0)),"⚠ ID no existe"))</f>
        <v/>
      </c>
      <c r="D885" s="19" t="n"/>
      <c r="E885" s="19" t="n"/>
      <c r="F885" s="16">
        <f>IF(OR(B885="",D885=""),"",IFERROR(INDEX('Tabla XP'!$B$2:$B$12,MATCH(D885,'Tabla XP'!$A$2:$A$12,0))*IF(E885="",1,E885),0))</f>
        <v/>
      </c>
      <c r="G885" s="19" t="n"/>
      <c r="H885" s="19" t="n"/>
    </row>
    <row r="886">
      <c r="A886" s="22" t="n"/>
      <c r="B886" s="19" t="n"/>
      <c r="C886" s="18">
        <f>IF(B886="","",IFERROR(INDEX(Jugadores!$C$2:$C$501,MATCH(B886,Jugadores!$A$2:$A$501,0)),"⚠ ID no existe"))</f>
        <v/>
      </c>
      <c r="D886" s="19" t="n"/>
      <c r="E886" s="19" t="n"/>
      <c r="F886" s="16">
        <f>IF(OR(B886="",D886=""),"",IFERROR(INDEX('Tabla XP'!$B$2:$B$12,MATCH(D886,'Tabla XP'!$A$2:$A$12,0))*IF(E886="",1,E886),0))</f>
        <v/>
      </c>
      <c r="G886" s="19" t="n"/>
      <c r="H886" s="19" t="n"/>
    </row>
    <row r="887">
      <c r="A887" s="22" t="n"/>
      <c r="B887" s="19" t="n"/>
      <c r="C887" s="18">
        <f>IF(B887="","",IFERROR(INDEX(Jugadores!$C$2:$C$501,MATCH(B887,Jugadores!$A$2:$A$501,0)),"⚠ ID no existe"))</f>
        <v/>
      </c>
      <c r="D887" s="19" t="n"/>
      <c r="E887" s="19" t="n"/>
      <c r="F887" s="16">
        <f>IF(OR(B887="",D887=""),"",IFERROR(INDEX('Tabla XP'!$B$2:$B$12,MATCH(D887,'Tabla XP'!$A$2:$A$12,0))*IF(E887="",1,E887),0))</f>
        <v/>
      </c>
      <c r="G887" s="19" t="n"/>
      <c r="H887" s="19" t="n"/>
    </row>
    <row r="888">
      <c r="A888" s="22" t="n"/>
      <c r="B888" s="19" t="n"/>
      <c r="C888" s="18">
        <f>IF(B888="","",IFERROR(INDEX(Jugadores!$C$2:$C$501,MATCH(B888,Jugadores!$A$2:$A$501,0)),"⚠ ID no existe"))</f>
        <v/>
      </c>
      <c r="D888" s="19" t="n"/>
      <c r="E888" s="19" t="n"/>
      <c r="F888" s="16">
        <f>IF(OR(B888="",D888=""),"",IFERROR(INDEX('Tabla XP'!$B$2:$B$12,MATCH(D888,'Tabla XP'!$A$2:$A$12,0))*IF(E888="",1,E888),0))</f>
        <v/>
      </c>
      <c r="G888" s="19" t="n"/>
      <c r="H888" s="19" t="n"/>
    </row>
    <row r="889">
      <c r="A889" s="22" t="n"/>
      <c r="B889" s="19" t="n"/>
      <c r="C889" s="18">
        <f>IF(B889="","",IFERROR(INDEX(Jugadores!$C$2:$C$501,MATCH(B889,Jugadores!$A$2:$A$501,0)),"⚠ ID no existe"))</f>
        <v/>
      </c>
      <c r="D889" s="19" t="n"/>
      <c r="E889" s="19" t="n"/>
      <c r="F889" s="16">
        <f>IF(OR(B889="",D889=""),"",IFERROR(INDEX('Tabla XP'!$B$2:$B$12,MATCH(D889,'Tabla XP'!$A$2:$A$12,0))*IF(E889="",1,E889),0))</f>
        <v/>
      </c>
      <c r="G889" s="19" t="n"/>
      <c r="H889" s="19" t="n"/>
    </row>
    <row r="890">
      <c r="A890" s="22" t="n"/>
      <c r="B890" s="19" t="n"/>
      <c r="C890" s="18">
        <f>IF(B890="","",IFERROR(INDEX(Jugadores!$C$2:$C$501,MATCH(B890,Jugadores!$A$2:$A$501,0)),"⚠ ID no existe"))</f>
        <v/>
      </c>
      <c r="D890" s="19" t="n"/>
      <c r="E890" s="19" t="n"/>
      <c r="F890" s="16">
        <f>IF(OR(B890="",D890=""),"",IFERROR(INDEX('Tabla XP'!$B$2:$B$12,MATCH(D890,'Tabla XP'!$A$2:$A$12,0))*IF(E890="",1,E890),0))</f>
        <v/>
      </c>
      <c r="G890" s="19" t="n"/>
      <c r="H890" s="19" t="n"/>
    </row>
    <row r="891">
      <c r="A891" s="22" t="n"/>
      <c r="B891" s="19" t="n"/>
      <c r="C891" s="18">
        <f>IF(B891="","",IFERROR(INDEX(Jugadores!$C$2:$C$501,MATCH(B891,Jugadores!$A$2:$A$501,0)),"⚠ ID no existe"))</f>
        <v/>
      </c>
      <c r="D891" s="19" t="n"/>
      <c r="E891" s="19" t="n"/>
      <c r="F891" s="16">
        <f>IF(OR(B891="",D891=""),"",IFERROR(INDEX('Tabla XP'!$B$2:$B$12,MATCH(D891,'Tabla XP'!$A$2:$A$12,0))*IF(E891="",1,E891),0))</f>
        <v/>
      </c>
      <c r="G891" s="19" t="n"/>
      <c r="H891" s="19" t="n"/>
    </row>
    <row r="892">
      <c r="A892" s="22" t="n"/>
      <c r="B892" s="19" t="n"/>
      <c r="C892" s="18">
        <f>IF(B892="","",IFERROR(INDEX(Jugadores!$C$2:$C$501,MATCH(B892,Jugadores!$A$2:$A$501,0)),"⚠ ID no existe"))</f>
        <v/>
      </c>
      <c r="D892" s="19" t="n"/>
      <c r="E892" s="19" t="n"/>
      <c r="F892" s="16">
        <f>IF(OR(B892="",D892=""),"",IFERROR(INDEX('Tabla XP'!$B$2:$B$12,MATCH(D892,'Tabla XP'!$A$2:$A$12,0))*IF(E892="",1,E892),0))</f>
        <v/>
      </c>
      <c r="G892" s="19" t="n"/>
      <c r="H892" s="19" t="n"/>
    </row>
    <row r="893">
      <c r="A893" s="22" t="n"/>
      <c r="B893" s="19" t="n"/>
      <c r="C893" s="18">
        <f>IF(B893="","",IFERROR(INDEX(Jugadores!$C$2:$C$501,MATCH(B893,Jugadores!$A$2:$A$501,0)),"⚠ ID no existe"))</f>
        <v/>
      </c>
      <c r="D893" s="19" t="n"/>
      <c r="E893" s="19" t="n"/>
      <c r="F893" s="16">
        <f>IF(OR(B893="",D893=""),"",IFERROR(INDEX('Tabla XP'!$B$2:$B$12,MATCH(D893,'Tabla XP'!$A$2:$A$12,0))*IF(E893="",1,E893),0))</f>
        <v/>
      </c>
      <c r="G893" s="19" t="n"/>
      <c r="H893" s="19" t="n"/>
    </row>
    <row r="894">
      <c r="A894" s="22" t="n"/>
      <c r="B894" s="19" t="n"/>
      <c r="C894" s="18">
        <f>IF(B894="","",IFERROR(INDEX(Jugadores!$C$2:$C$501,MATCH(B894,Jugadores!$A$2:$A$501,0)),"⚠ ID no existe"))</f>
        <v/>
      </c>
      <c r="D894" s="19" t="n"/>
      <c r="E894" s="19" t="n"/>
      <c r="F894" s="16">
        <f>IF(OR(B894="",D894=""),"",IFERROR(INDEX('Tabla XP'!$B$2:$B$12,MATCH(D894,'Tabla XP'!$A$2:$A$12,0))*IF(E894="",1,E894),0))</f>
        <v/>
      </c>
      <c r="G894" s="19" t="n"/>
      <c r="H894" s="19" t="n"/>
    </row>
    <row r="895">
      <c r="A895" s="22" t="n"/>
      <c r="B895" s="19" t="n"/>
      <c r="C895" s="18">
        <f>IF(B895="","",IFERROR(INDEX(Jugadores!$C$2:$C$501,MATCH(B895,Jugadores!$A$2:$A$501,0)),"⚠ ID no existe"))</f>
        <v/>
      </c>
      <c r="D895" s="19" t="n"/>
      <c r="E895" s="19" t="n"/>
      <c r="F895" s="16">
        <f>IF(OR(B895="",D895=""),"",IFERROR(INDEX('Tabla XP'!$B$2:$B$12,MATCH(D895,'Tabla XP'!$A$2:$A$12,0))*IF(E895="",1,E895),0))</f>
        <v/>
      </c>
      <c r="G895" s="19" t="n"/>
      <c r="H895" s="19" t="n"/>
    </row>
    <row r="896">
      <c r="A896" s="22" t="n"/>
      <c r="B896" s="19" t="n"/>
      <c r="C896" s="18">
        <f>IF(B896="","",IFERROR(INDEX(Jugadores!$C$2:$C$501,MATCH(B896,Jugadores!$A$2:$A$501,0)),"⚠ ID no existe"))</f>
        <v/>
      </c>
      <c r="D896" s="19" t="n"/>
      <c r="E896" s="19" t="n"/>
      <c r="F896" s="16">
        <f>IF(OR(B896="",D896=""),"",IFERROR(INDEX('Tabla XP'!$B$2:$B$12,MATCH(D896,'Tabla XP'!$A$2:$A$12,0))*IF(E896="",1,E896),0))</f>
        <v/>
      </c>
      <c r="G896" s="19" t="n"/>
      <c r="H896" s="19" t="n"/>
    </row>
    <row r="897">
      <c r="A897" s="22" t="n"/>
      <c r="B897" s="19" t="n"/>
      <c r="C897" s="18">
        <f>IF(B897="","",IFERROR(INDEX(Jugadores!$C$2:$C$501,MATCH(B897,Jugadores!$A$2:$A$501,0)),"⚠ ID no existe"))</f>
        <v/>
      </c>
      <c r="D897" s="19" t="n"/>
      <c r="E897" s="19" t="n"/>
      <c r="F897" s="16">
        <f>IF(OR(B897="",D897=""),"",IFERROR(INDEX('Tabla XP'!$B$2:$B$12,MATCH(D897,'Tabla XP'!$A$2:$A$12,0))*IF(E897="",1,E897),0))</f>
        <v/>
      </c>
      <c r="G897" s="19" t="n"/>
      <c r="H897" s="19" t="n"/>
    </row>
    <row r="898">
      <c r="A898" s="22" t="n"/>
      <c r="B898" s="19" t="n"/>
      <c r="C898" s="18">
        <f>IF(B898="","",IFERROR(INDEX(Jugadores!$C$2:$C$501,MATCH(B898,Jugadores!$A$2:$A$501,0)),"⚠ ID no existe"))</f>
        <v/>
      </c>
      <c r="D898" s="19" t="n"/>
      <c r="E898" s="19" t="n"/>
      <c r="F898" s="16">
        <f>IF(OR(B898="",D898=""),"",IFERROR(INDEX('Tabla XP'!$B$2:$B$12,MATCH(D898,'Tabla XP'!$A$2:$A$12,0))*IF(E898="",1,E898),0))</f>
        <v/>
      </c>
      <c r="G898" s="19" t="n"/>
      <c r="H898" s="19" t="n"/>
    </row>
    <row r="899">
      <c r="A899" s="22" t="n"/>
      <c r="B899" s="19" t="n"/>
      <c r="C899" s="18">
        <f>IF(B899="","",IFERROR(INDEX(Jugadores!$C$2:$C$501,MATCH(B899,Jugadores!$A$2:$A$501,0)),"⚠ ID no existe"))</f>
        <v/>
      </c>
      <c r="D899" s="19" t="n"/>
      <c r="E899" s="19" t="n"/>
      <c r="F899" s="16">
        <f>IF(OR(B899="",D899=""),"",IFERROR(INDEX('Tabla XP'!$B$2:$B$12,MATCH(D899,'Tabla XP'!$A$2:$A$12,0))*IF(E899="",1,E899),0))</f>
        <v/>
      </c>
      <c r="G899" s="19" t="n"/>
      <c r="H899" s="19" t="n"/>
    </row>
    <row r="900">
      <c r="A900" s="22" t="n"/>
      <c r="B900" s="19" t="n"/>
      <c r="C900" s="18">
        <f>IF(B900="","",IFERROR(INDEX(Jugadores!$C$2:$C$501,MATCH(B900,Jugadores!$A$2:$A$501,0)),"⚠ ID no existe"))</f>
        <v/>
      </c>
      <c r="D900" s="19" t="n"/>
      <c r="E900" s="19" t="n"/>
      <c r="F900" s="16">
        <f>IF(OR(B900="",D900=""),"",IFERROR(INDEX('Tabla XP'!$B$2:$B$12,MATCH(D900,'Tabla XP'!$A$2:$A$12,0))*IF(E900="",1,E900),0))</f>
        <v/>
      </c>
      <c r="G900" s="19" t="n"/>
      <c r="H900" s="19" t="n"/>
    </row>
    <row r="901">
      <c r="A901" s="22" t="n"/>
      <c r="B901" s="19" t="n"/>
      <c r="C901" s="18">
        <f>IF(B901="","",IFERROR(INDEX(Jugadores!$C$2:$C$501,MATCH(B901,Jugadores!$A$2:$A$501,0)),"⚠ ID no existe"))</f>
        <v/>
      </c>
      <c r="D901" s="19" t="n"/>
      <c r="E901" s="19" t="n"/>
      <c r="F901" s="16">
        <f>IF(OR(B901="",D901=""),"",IFERROR(INDEX('Tabla XP'!$B$2:$B$12,MATCH(D901,'Tabla XP'!$A$2:$A$12,0))*IF(E901="",1,E901),0))</f>
        <v/>
      </c>
      <c r="G901" s="19" t="n"/>
      <c r="H901" s="19" t="n"/>
    </row>
    <row r="902">
      <c r="A902" s="22" t="n"/>
      <c r="B902" s="19" t="n"/>
      <c r="C902" s="18">
        <f>IF(B902="","",IFERROR(INDEX(Jugadores!$C$2:$C$501,MATCH(B902,Jugadores!$A$2:$A$501,0)),"⚠ ID no existe"))</f>
        <v/>
      </c>
      <c r="D902" s="19" t="n"/>
      <c r="E902" s="19" t="n"/>
      <c r="F902" s="16">
        <f>IF(OR(B902="",D902=""),"",IFERROR(INDEX('Tabla XP'!$B$2:$B$12,MATCH(D902,'Tabla XP'!$A$2:$A$12,0))*IF(E902="",1,E902),0))</f>
        <v/>
      </c>
      <c r="G902" s="19" t="n"/>
      <c r="H902" s="19" t="n"/>
    </row>
    <row r="903">
      <c r="A903" s="22" t="n"/>
      <c r="B903" s="19" t="n"/>
      <c r="C903" s="18">
        <f>IF(B903="","",IFERROR(INDEX(Jugadores!$C$2:$C$501,MATCH(B903,Jugadores!$A$2:$A$501,0)),"⚠ ID no existe"))</f>
        <v/>
      </c>
      <c r="D903" s="19" t="n"/>
      <c r="E903" s="19" t="n"/>
      <c r="F903" s="16">
        <f>IF(OR(B903="",D903=""),"",IFERROR(INDEX('Tabla XP'!$B$2:$B$12,MATCH(D903,'Tabla XP'!$A$2:$A$12,0))*IF(E903="",1,E903),0))</f>
        <v/>
      </c>
      <c r="G903" s="19" t="n"/>
      <c r="H903" s="19" t="n"/>
    </row>
    <row r="904">
      <c r="A904" s="22" t="n"/>
      <c r="B904" s="19" t="n"/>
      <c r="C904" s="18">
        <f>IF(B904="","",IFERROR(INDEX(Jugadores!$C$2:$C$501,MATCH(B904,Jugadores!$A$2:$A$501,0)),"⚠ ID no existe"))</f>
        <v/>
      </c>
      <c r="D904" s="19" t="n"/>
      <c r="E904" s="19" t="n"/>
      <c r="F904" s="16">
        <f>IF(OR(B904="",D904=""),"",IFERROR(INDEX('Tabla XP'!$B$2:$B$12,MATCH(D904,'Tabla XP'!$A$2:$A$12,0))*IF(E904="",1,E904),0))</f>
        <v/>
      </c>
      <c r="G904" s="19" t="n"/>
      <c r="H904" s="19" t="n"/>
    </row>
    <row r="905">
      <c r="A905" s="22" t="n"/>
      <c r="B905" s="19" t="n"/>
      <c r="C905" s="18">
        <f>IF(B905="","",IFERROR(INDEX(Jugadores!$C$2:$C$501,MATCH(B905,Jugadores!$A$2:$A$501,0)),"⚠ ID no existe"))</f>
        <v/>
      </c>
      <c r="D905" s="19" t="n"/>
      <c r="E905" s="19" t="n"/>
      <c r="F905" s="16">
        <f>IF(OR(B905="",D905=""),"",IFERROR(INDEX('Tabla XP'!$B$2:$B$12,MATCH(D905,'Tabla XP'!$A$2:$A$12,0))*IF(E905="",1,E905),0))</f>
        <v/>
      </c>
      <c r="G905" s="19" t="n"/>
      <c r="H905" s="19" t="n"/>
    </row>
    <row r="906">
      <c r="A906" s="22" t="n"/>
      <c r="B906" s="19" t="n"/>
      <c r="C906" s="18">
        <f>IF(B906="","",IFERROR(INDEX(Jugadores!$C$2:$C$501,MATCH(B906,Jugadores!$A$2:$A$501,0)),"⚠ ID no existe"))</f>
        <v/>
      </c>
      <c r="D906" s="19" t="n"/>
      <c r="E906" s="19" t="n"/>
      <c r="F906" s="16">
        <f>IF(OR(B906="",D906=""),"",IFERROR(INDEX('Tabla XP'!$B$2:$B$12,MATCH(D906,'Tabla XP'!$A$2:$A$12,0))*IF(E906="",1,E906),0))</f>
        <v/>
      </c>
      <c r="G906" s="19" t="n"/>
      <c r="H906" s="19" t="n"/>
    </row>
    <row r="907">
      <c r="A907" s="22" t="n"/>
      <c r="B907" s="19" t="n"/>
      <c r="C907" s="18">
        <f>IF(B907="","",IFERROR(INDEX(Jugadores!$C$2:$C$501,MATCH(B907,Jugadores!$A$2:$A$501,0)),"⚠ ID no existe"))</f>
        <v/>
      </c>
      <c r="D907" s="19" t="n"/>
      <c r="E907" s="19" t="n"/>
      <c r="F907" s="16">
        <f>IF(OR(B907="",D907=""),"",IFERROR(INDEX('Tabla XP'!$B$2:$B$12,MATCH(D907,'Tabla XP'!$A$2:$A$12,0))*IF(E907="",1,E907),0))</f>
        <v/>
      </c>
      <c r="G907" s="19" t="n"/>
      <c r="H907" s="19" t="n"/>
    </row>
    <row r="908">
      <c r="A908" s="22" t="n"/>
      <c r="B908" s="19" t="n"/>
      <c r="C908" s="18">
        <f>IF(B908="","",IFERROR(INDEX(Jugadores!$C$2:$C$501,MATCH(B908,Jugadores!$A$2:$A$501,0)),"⚠ ID no existe"))</f>
        <v/>
      </c>
      <c r="D908" s="19" t="n"/>
      <c r="E908" s="19" t="n"/>
      <c r="F908" s="16">
        <f>IF(OR(B908="",D908=""),"",IFERROR(INDEX('Tabla XP'!$B$2:$B$12,MATCH(D908,'Tabla XP'!$A$2:$A$12,0))*IF(E908="",1,E908),0))</f>
        <v/>
      </c>
      <c r="G908" s="19" t="n"/>
      <c r="H908" s="19" t="n"/>
    </row>
    <row r="909">
      <c r="A909" s="22" t="n"/>
      <c r="B909" s="19" t="n"/>
      <c r="C909" s="18">
        <f>IF(B909="","",IFERROR(INDEX(Jugadores!$C$2:$C$501,MATCH(B909,Jugadores!$A$2:$A$501,0)),"⚠ ID no existe"))</f>
        <v/>
      </c>
      <c r="D909" s="19" t="n"/>
      <c r="E909" s="19" t="n"/>
      <c r="F909" s="16">
        <f>IF(OR(B909="",D909=""),"",IFERROR(INDEX('Tabla XP'!$B$2:$B$12,MATCH(D909,'Tabla XP'!$A$2:$A$12,0))*IF(E909="",1,E909),0))</f>
        <v/>
      </c>
      <c r="G909" s="19" t="n"/>
      <c r="H909" s="19" t="n"/>
    </row>
    <row r="910">
      <c r="A910" s="22" t="n"/>
      <c r="B910" s="19" t="n"/>
      <c r="C910" s="18">
        <f>IF(B910="","",IFERROR(INDEX(Jugadores!$C$2:$C$501,MATCH(B910,Jugadores!$A$2:$A$501,0)),"⚠ ID no existe"))</f>
        <v/>
      </c>
      <c r="D910" s="19" t="n"/>
      <c r="E910" s="19" t="n"/>
      <c r="F910" s="16">
        <f>IF(OR(B910="",D910=""),"",IFERROR(INDEX('Tabla XP'!$B$2:$B$12,MATCH(D910,'Tabla XP'!$A$2:$A$12,0))*IF(E910="",1,E910),0))</f>
        <v/>
      </c>
      <c r="G910" s="19" t="n"/>
      <c r="H910" s="19" t="n"/>
    </row>
    <row r="911">
      <c r="A911" s="22" t="n"/>
      <c r="B911" s="19" t="n"/>
      <c r="C911" s="18">
        <f>IF(B911="","",IFERROR(INDEX(Jugadores!$C$2:$C$501,MATCH(B911,Jugadores!$A$2:$A$501,0)),"⚠ ID no existe"))</f>
        <v/>
      </c>
      <c r="D911" s="19" t="n"/>
      <c r="E911" s="19" t="n"/>
      <c r="F911" s="16">
        <f>IF(OR(B911="",D911=""),"",IFERROR(INDEX('Tabla XP'!$B$2:$B$12,MATCH(D911,'Tabla XP'!$A$2:$A$12,0))*IF(E911="",1,E911),0))</f>
        <v/>
      </c>
      <c r="G911" s="19" t="n"/>
      <c r="H911" s="19" t="n"/>
    </row>
    <row r="912">
      <c r="A912" s="22" t="n"/>
      <c r="B912" s="19" t="n"/>
      <c r="C912" s="18">
        <f>IF(B912="","",IFERROR(INDEX(Jugadores!$C$2:$C$501,MATCH(B912,Jugadores!$A$2:$A$501,0)),"⚠ ID no existe"))</f>
        <v/>
      </c>
      <c r="D912" s="19" t="n"/>
      <c r="E912" s="19" t="n"/>
      <c r="F912" s="16">
        <f>IF(OR(B912="",D912=""),"",IFERROR(INDEX('Tabla XP'!$B$2:$B$12,MATCH(D912,'Tabla XP'!$A$2:$A$12,0))*IF(E912="",1,E912),0))</f>
        <v/>
      </c>
      <c r="G912" s="19" t="n"/>
      <c r="H912" s="19" t="n"/>
    </row>
    <row r="913">
      <c r="A913" s="22" t="n"/>
      <c r="B913" s="19" t="n"/>
      <c r="C913" s="18">
        <f>IF(B913="","",IFERROR(INDEX(Jugadores!$C$2:$C$501,MATCH(B913,Jugadores!$A$2:$A$501,0)),"⚠ ID no existe"))</f>
        <v/>
      </c>
      <c r="D913" s="19" t="n"/>
      <c r="E913" s="19" t="n"/>
      <c r="F913" s="16">
        <f>IF(OR(B913="",D913=""),"",IFERROR(INDEX('Tabla XP'!$B$2:$B$12,MATCH(D913,'Tabla XP'!$A$2:$A$12,0))*IF(E913="",1,E913),0))</f>
        <v/>
      </c>
      <c r="G913" s="19" t="n"/>
      <c r="H913" s="19" t="n"/>
    </row>
    <row r="914">
      <c r="A914" s="22" t="n"/>
      <c r="B914" s="19" t="n"/>
      <c r="C914" s="18">
        <f>IF(B914="","",IFERROR(INDEX(Jugadores!$C$2:$C$501,MATCH(B914,Jugadores!$A$2:$A$501,0)),"⚠ ID no existe"))</f>
        <v/>
      </c>
      <c r="D914" s="19" t="n"/>
      <c r="E914" s="19" t="n"/>
      <c r="F914" s="16">
        <f>IF(OR(B914="",D914=""),"",IFERROR(INDEX('Tabla XP'!$B$2:$B$12,MATCH(D914,'Tabla XP'!$A$2:$A$12,0))*IF(E914="",1,E914),0))</f>
        <v/>
      </c>
      <c r="G914" s="19" t="n"/>
      <c r="H914" s="19" t="n"/>
    </row>
    <row r="915">
      <c r="A915" s="22" t="n"/>
      <c r="B915" s="19" t="n"/>
      <c r="C915" s="18">
        <f>IF(B915="","",IFERROR(INDEX(Jugadores!$C$2:$C$501,MATCH(B915,Jugadores!$A$2:$A$501,0)),"⚠ ID no existe"))</f>
        <v/>
      </c>
      <c r="D915" s="19" t="n"/>
      <c r="E915" s="19" t="n"/>
      <c r="F915" s="16">
        <f>IF(OR(B915="",D915=""),"",IFERROR(INDEX('Tabla XP'!$B$2:$B$12,MATCH(D915,'Tabla XP'!$A$2:$A$12,0))*IF(E915="",1,E915),0))</f>
        <v/>
      </c>
      <c r="G915" s="19" t="n"/>
      <c r="H915" s="19" t="n"/>
    </row>
    <row r="916">
      <c r="A916" s="22" t="n"/>
      <c r="B916" s="19" t="n"/>
      <c r="C916" s="18">
        <f>IF(B916="","",IFERROR(INDEX(Jugadores!$C$2:$C$501,MATCH(B916,Jugadores!$A$2:$A$501,0)),"⚠ ID no existe"))</f>
        <v/>
      </c>
      <c r="D916" s="19" t="n"/>
      <c r="E916" s="19" t="n"/>
      <c r="F916" s="16">
        <f>IF(OR(B916="",D916=""),"",IFERROR(INDEX('Tabla XP'!$B$2:$B$12,MATCH(D916,'Tabla XP'!$A$2:$A$12,0))*IF(E916="",1,E916),0))</f>
        <v/>
      </c>
      <c r="G916" s="19" t="n"/>
      <c r="H916" s="19" t="n"/>
    </row>
    <row r="917">
      <c r="A917" s="22" t="n"/>
      <c r="B917" s="19" t="n"/>
      <c r="C917" s="18">
        <f>IF(B917="","",IFERROR(INDEX(Jugadores!$C$2:$C$501,MATCH(B917,Jugadores!$A$2:$A$501,0)),"⚠ ID no existe"))</f>
        <v/>
      </c>
      <c r="D917" s="19" t="n"/>
      <c r="E917" s="19" t="n"/>
      <c r="F917" s="16">
        <f>IF(OR(B917="",D917=""),"",IFERROR(INDEX('Tabla XP'!$B$2:$B$12,MATCH(D917,'Tabla XP'!$A$2:$A$12,0))*IF(E917="",1,E917),0))</f>
        <v/>
      </c>
      <c r="G917" s="19" t="n"/>
      <c r="H917" s="19" t="n"/>
    </row>
    <row r="918">
      <c r="A918" s="22" t="n"/>
      <c r="B918" s="19" t="n"/>
      <c r="C918" s="18">
        <f>IF(B918="","",IFERROR(INDEX(Jugadores!$C$2:$C$501,MATCH(B918,Jugadores!$A$2:$A$501,0)),"⚠ ID no existe"))</f>
        <v/>
      </c>
      <c r="D918" s="19" t="n"/>
      <c r="E918" s="19" t="n"/>
      <c r="F918" s="16">
        <f>IF(OR(B918="",D918=""),"",IFERROR(INDEX('Tabla XP'!$B$2:$B$12,MATCH(D918,'Tabla XP'!$A$2:$A$12,0))*IF(E918="",1,E918),0))</f>
        <v/>
      </c>
      <c r="G918" s="19" t="n"/>
      <c r="H918" s="19" t="n"/>
    </row>
    <row r="919">
      <c r="A919" s="22" t="n"/>
      <c r="B919" s="19" t="n"/>
      <c r="C919" s="18">
        <f>IF(B919="","",IFERROR(INDEX(Jugadores!$C$2:$C$501,MATCH(B919,Jugadores!$A$2:$A$501,0)),"⚠ ID no existe"))</f>
        <v/>
      </c>
      <c r="D919" s="19" t="n"/>
      <c r="E919" s="19" t="n"/>
      <c r="F919" s="16">
        <f>IF(OR(B919="",D919=""),"",IFERROR(INDEX('Tabla XP'!$B$2:$B$12,MATCH(D919,'Tabla XP'!$A$2:$A$12,0))*IF(E919="",1,E919),0))</f>
        <v/>
      </c>
      <c r="G919" s="19" t="n"/>
      <c r="H919" s="19" t="n"/>
    </row>
    <row r="920">
      <c r="A920" s="22" t="n"/>
      <c r="B920" s="19" t="n"/>
      <c r="C920" s="18">
        <f>IF(B920="","",IFERROR(INDEX(Jugadores!$C$2:$C$501,MATCH(B920,Jugadores!$A$2:$A$501,0)),"⚠ ID no existe"))</f>
        <v/>
      </c>
      <c r="D920" s="19" t="n"/>
      <c r="E920" s="19" t="n"/>
      <c r="F920" s="16">
        <f>IF(OR(B920="",D920=""),"",IFERROR(INDEX('Tabla XP'!$B$2:$B$12,MATCH(D920,'Tabla XP'!$A$2:$A$12,0))*IF(E920="",1,E920),0))</f>
        <v/>
      </c>
      <c r="G920" s="19" t="n"/>
      <c r="H920" s="19" t="n"/>
    </row>
    <row r="921">
      <c r="A921" s="22" t="n"/>
      <c r="B921" s="19" t="n"/>
      <c r="C921" s="18">
        <f>IF(B921="","",IFERROR(INDEX(Jugadores!$C$2:$C$501,MATCH(B921,Jugadores!$A$2:$A$501,0)),"⚠ ID no existe"))</f>
        <v/>
      </c>
      <c r="D921" s="19" t="n"/>
      <c r="E921" s="19" t="n"/>
      <c r="F921" s="16">
        <f>IF(OR(B921="",D921=""),"",IFERROR(INDEX('Tabla XP'!$B$2:$B$12,MATCH(D921,'Tabla XP'!$A$2:$A$12,0))*IF(E921="",1,E921),0))</f>
        <v/>
      </c>
      <c r="G921" s="19" t="n"/>
      <c r="H921" s="19" t="n"/>
    </row>
    <row r="922">
      <c r="A922" s="22" t="n"/>
      <c r="B922" s="19" t="n"/>
      <c r="C922" s="18">
        <f>IF(B922="","",IFERROR(INDEX(Jugadores!$C$2:$C$501,MATCH(B922,Jugadores!$A$2:$A$501,0)),"⚠ ID no existe"))</f>
        <v/>
      </c>
      <c r="D922" s="19" t="n"/>
      <c r="E922" s="19" t="n"/>
      <c r="F922" s="16">
        <f>IF(OR(B922="",D922=""),"",IFERROR(INDEX('Tabla XP'!$B$2:$B$12,MATCH(D922,'Tabla XP'!$A$2:$A$12,0))*IF(E922="",1,E922),0))</f>
        <v/>
      </c>
      <c r="G922" s="19" t="n"/>
      <c r="H922" s="19" t="n"/>
    </row>
    <row r="923">
      <c r="A923" s="22" t="n"/>
      <c r="B923" s="19" t="n"/>
      <c r="C923" s="18">
        <f>IF(B923="","",IFERROR(INDEX(Jugadores!$C$2:$C$501,MATCH(B923,Jugadores!$A$2:$A$501,0)),"⚠ ID no existe"))</f>
        <v/>
      </c>
      <c r="D923" s="19" t="n"/>
      <c r="E923" s="19" t="n"/>
      <c r="F923" s="16">
        <f>IF(OR(B923="",D923=""),"",IFERROR(INDEX('Tabla XP'!$B$2:$B$12,MATCH(D923,'Tabla XP'!$A$2:$A$12,0))*IF(E923="",1,E923),0))</f>
        <v/>
      </c>
      <c r="G923" s="19" t="n"/>
      <c r="H923" s="19" t="n"/>
    </row>
    <row r="924">
      <c r="A924" s="22" t="n"/>
      <c r="B924" s="19" t="n"/>
      <c r="C924" s="18">
        <f>IF(B924="","",IFERROR(INDEX(Jugadores!$C$2:$C$501,MATCH(B924,Jugadores!$A$2:$A$501,0)),"⚠ ID no existe"))</f>
        <v/>
      </c>
      <c r="D924" s="19" t="n"/>
      <c r="E924" s="19" t="n"/>
      <c r="F924" s="16">
        <f>IF(OR(B924="",D924=""),"",IFERROR(INDEX('Tabla XP'!$B$2:$B$12,MATCH(D924,'Tabla XP'!$A$2:$A$12,0))*IF(E924="",1,E924),0))</f>
        <v/>
      </c>
      <c r="G924" s="19" t="n"/>
      <c r="H924" s="19" t="n"/>
    </row>
    <row r="925">
      <c r="A925" s="22" t="n"/>
      <c r="B925" s="19" t="n"/>
      <c r="C925" s="18">
        <f>IF(B925="","",IFERROR(INDEX(Jugadores!$C$2:$C$501,MATCH(B925,Jugadores!$A$2:$A$501,0)),"⚠ ID no existe"))</f>
        <v/>
      </c>
      <c r="D925" s="19" t="n"/>
      <c r="E925" s="19" t="n"/>
      <c r="F925" s="16">
        <f>IF(OR(B925="",D925=""),"",IFERROR(INDEX('Tabla XP'!$B$2:$B$12,MATCH(D925,'Tabla XP'!$A$2:$A$12,0))*IF(E925="",1,E925),0))</f>
        <v/>
      </c>
      <c r="G925" s="19" t="n"/>
      <c r="H925" s="19" t="n"/>
    </row>
    <row r="926">
      <c r="A926" s="22" t="n"/>
      <c r="B926" s="19" t="n"/>
      <c r="C926" s="18">
        <f>IF(B926="","",IFERROR(INDEX(Jugadores!$C$2:$C$501,MATCH(B926,Jugadores!$A$2:$A$501,0)),"⚠ ID no existe"))</f>
        <v/>
      </c>
      <c r="D926" s="19" t="n"/>
      <c r="E926" s="19" t="n"/>
      <c r="F926" s="16">
        <f>IF(OR(B926="",D926=""),"",IFERROR(INDEX('Tabla XP'!$B$2:$B$12,MATCH(D926,'Tabla XP'!$A$2:$A$12,0))*IF(E926="",1,E926),0))</f>
        <v/>
      </c>
      <c r="G926" s="19" t="n"/>
      <c r="H926" s="19" t="n"/>
    </row>
    <row r="927">
      <c r="A927" s="22" t="n"/>
      <c r="B927" s="19" t="n"/>
      <c r="C927" s="18">
        <f>IF(B927="","",IFERROR(INDEX(Jugadores!$C$2:$C$501,MATCH(B927,Jugadores!$A$2:$A$501,0)),"⚠ ID no existe"))</f>
        <v/>
      </c>
      <c r="D927" s="19" t="n"/>
      <c r="E927" s="19" t="n"/>
      <c r="F927" s="16">
        <f>IF(OR(B927="",D927=""),"",IFERROR(INDEX('Tabla XP'!$B$2:$B$12,MATCH(D927,'Tabla XP'!$A$2:$A$12,0))*IF(E927="",1,E927),0))</f>
        <v/>
      </c>
      <c r="G927" s="19" t="n"/>
      <c r="H927" s="19" t="n"/>
    </row>
    <row r="928">
      <c r="A928" s="22" t="n"/>
      <c r="B928" s="19" t="n"/>
      <c r="C928" s="18">
        <f>IF(B928="","",IFERROR(INDEX(Jugadores!$C$2:$C$501,MATCH(B928,Jugadores!$A$2:$A$501,0)),"⚠ ID no existe"))</f>
        <v/>
      </c>
      <c r="D928" s="19" t="n"/>
      <c r="E928" s="19" t="n"/>
      <c r="F928" s="16">
        <f>IF(OR(B928="",D928=""),"",IFERROR(INDEX('Tabla XP'!$B$2:$B$12,MATCH(D928,'Tabla XP'!$A$2:$A$12,0))*IF(E928="",1,E928),0))</f>
        <v/>
      </c>
      <c r="G928" s="19" t="n"/>
      <c r="H928" s="19" t="n"/>
    </row>
    <row r="929">
      <c r="A929" s="22" t="n"/>
      <c r="B929" s="19" t="n"/>
      <c r="C929" s="18">
        <f>IF(B929="","",IFERROR(INDEX(Jugadores!$C$2:$C$501,MATCH(B929,Jugadores!$A$2:$A$501,0)),"⚠ ID no existe"))</f>
        <v/>
      </c>
      <c r="D929" s="19" t="n"/>
      <c r="E929" s="19" t="n"/>
      <c r="F929" s="16">
        <f>IF(OR(B929="",D929=""),"",IFERROR(INDEX('Tabla XP'!$B$2:$B$12,MATCH(D929,'Tabla XP'!$A$2:$A$12,0))*IF(E929="",1,E929),0))</f>
        <v/>
      </c>
      <c r="G929" s="19" t="n"/>
      <c r="H929" s="19" t="n"/>
    </row>
    <row r="930">
      <c r="A930" s="22" t="n"/>
      <c r="B930" s="19" t="n"/>
      <c r="C930" s="18">
        <f>IF(B930="","",IFERROR(INDEX(Jugadores!$C$2:$C$501,MATCH(B930,Jugadores!$A$2:$A$501,0)),"⚠ ID no existe"))</f>
        <v/>
      </c>
      <c r="D930" s="19" t="n"/>
      <c r="E930" s="19" t="n"/>
      <c r="F930" s="16">
        <f>IF(OR(B930="",D930=""),"",IFERROR(INDEX('Tabla XP'!$B$2:$B$12,MATCH(D930,'Tabla XP'!$A$2:$A$12,0))*IF(E930="",1,E930),0))</f>
        <v/>
      </c>
      <c r="G930" s="19" t="n"/>
      <c r="H930" s="19" t="n"/>
    </row>
    <row r="931">
      <c r="A931" s="22" t="n"/>
      <c r="B931" s="19" t="n"/>
      <c r="C931" s="18">
        <f>IF(B931="","",IFERROR(INDEX(Jugadores!$C$2:$C$501,MATCH(B931,Jugadores!$A$2:$A$501,0)),"⚠ ID no existe"))</f>
        <v/>
      </c>
      <c r="D931" s="19" t="n"/>
      <c r="E931" s="19" t="n"/>
      <c r="F931" s="16">
        <f>IF(OR(B931="",D931=""),"",IFERROR(INDEX('Tabla XP'!$B$2:$B$12,MATCH(D931,'Tabla XP'!$A$2:$A$12,0))*IF(E931="",1,E931),0))</f>
        <v/>
      </c>
      <c r="G931" s="19" t="n"/>
      <c r="H931" s="19" t="n"/>
    </row>
    <row r="932">
      <c r="A932" s="22" t="n"/>
      <c r="B932" s="19" t="n"/>
      <c r="C932" s="18">
        <f>IF(B932="","",IFERROR(INDEX(Jugadores!$C$2:$C$501,MATCH(B932,Jugadores!$A$2:$A$501,0)),"⚠ ID no existe"))</f>
        <v/>
      </c>
      <c r="D932" s="19" t="n"/>
      <c r="E932" s="19" t="n"/>
      <c r="F932" s="16">
        <f>IF(OR(B932="",D932=""),"",IFERROR(INDEX('Tabla XP'!$B$2:$B$12,MATCH(D932,'Tabla XP'!$A$2:$A$12,0))*IF(E932="",1,E932),0))</f>
        <v/>
      </c>
      <c r="G932" s="19" t="n"/>
      <c r="H932" s="19" t="n"/>
    </row>
    <row r="933">
      <c r="A933" s="22" t="n"/>
      <c r="B933" s="19" t="n"/>
      <c r="C933" s="18">
        <f>IF(B933="","",IFERROR(INDEX(Jugadores!$C$2:$C$501,MATCH(B933,Jugadores!$A$2:$A$501,0)),"⚠ ID no existe"))</f>
        <v/>
      </c>
      <c r="D933" s="19" t="n"/>
      <c r="E933" s="19" t="n"/>
      <c r="F933" s="16">
        <f>IF(OR(B933="",D933=""),"",IFERROR(INDEX('Tabla XP'!$B$2:$B$12,MATCH(D933,'Tabla XP'!$A$2:$A$12,0))*IF(E933="",1,E933),0))</f>
        <v/>
      </c>
      <c r="G933" s="19" t="n"/>
      <c r="H933" s="19" t="n"/>
    </row>
    <row r="934">
      <c r="A934" s="22" t="n"/>
      <c r="B934" s="19" t="n"/>
      <c r="C934" s="18">
        <f>IF(B934="","",IFERROR(INDEX(Jugadores!$C$2:$C$501,MATCH(B934,Jugadores!$A$2:$A$501,0)),"⚠ ID no existe"))</f>
        <v/>
      </c>
      <c r="D934" s="19" t="n"/>
      <c r="E934" s="19" t="n"/>
      <c r="F934" s="16">
        <f>IF(OR(B934="",D934=""),"",IFERROR(INDEX('Tabla XP'!$B$2:$B$12,MATCH(D934,'Tabla XP'!$A$2:$A$12,0))*IF(E934="",1,E934),0))</f>
        <v/>
      </c>
      <c r="G934" s="19" t="n"/>
      <c r="H934" s="19" t="n"/>
    </row>
    <row r="935">
      <c r="A935" s="22" t="n"/>
      <c r="B935" s="19" t="n"/>
      <c r="C935" s="18">
        <f>IF(B935="","",IFERROR(INDEX(Jugadores!$C$2:$C$501,MATCH(B935,Jugadores!$A$2:$A$501,0)),"⚠ ID no existe"))</f>
        <v/>
      </c>
      <c r="D935" s="19" t="n"/>
      <c r="E935" s="19" t="n"/>
      <c r="F935" s="16">
        <f>IF(OR(B935="",D935=""),"",IFERROR(INDEX('Tabla XP'!$B$2:$B$12,MATCH(D935,'Tabla XP'!$A$2:$A$12,0))*IF(E935="",1,E935),0))</f>
        <v/>
      </c>
      <c r="G935" s="19" t="n"/>
      <c r="H935" s="19" t="n"/>
    </row>
    <row r="936">
      <c r="A936" s="22" t="n"/>
      <c r="B936" s="19" t="n"/>
      <c r="C936" s="18">
        <f>IF(B936="","",IFERROR(INDEX(Jugadores!$C$2:$C$501,MATCH(B936,Jugadores!$A$2:$A$501,0)),"⚠ ID no existe"))</f>
        <v/>
      </c>
      <c r="D936" s="19" t="n"/>
      <c r="E936" s="19" t="n"/>
      <c r="F936" s="16">
        <f>IF(OR(B936="",D936=""),"",IFERROR(INDEX('Tabla XP'!$B$2:$B$12,MATCH(D936,'Tabla XP'!$A$2:$A$12,0))*IF(E936="",1,E936),0))</f>
        <v/>
      </c>
      <c r="G936" s="19" t="n"/>
      <c r="H936" s="19" t="n"/>
    </row>
    <row r="937">
      <c r="A937" s="22" t="n"/>
      <c r="B937" s="19" t="n"/>
      <c r="C937" s="18">
        <f>IF(B937="","",IFERROR(INDEX(Jugadores!$C$2:$C$501,MATCH(B937,Jugadores!$A$2:$A$501,0)),"⚠ ID no existe"))</f>
        <v/>
      </c>
      <c r="D937" s="19" t="n"/>
      <c r="E937" s="19" t="n"/>
      <c r="F937" s="16">
        <f>IF(OR(B937="",D937=""),"",IFERROR(INDEX('Tabla XP'!$B$2:$B$12,MATCH(D937,'Tabla XP'!$A$2:$A$12,0))*IF(E937="",1,E937),0))</f>
        <v/>
      </c>
      <c r="G937" s="19" t="n"/>
      <c r="H937" s="19" t="n"/>
    </row>
    <row r="938">
      <c r="A938" s="22" t="n"/>
      <c r="B938" s="19" t="n"/>
      <c r="C938" s="18">
        <f>IF(B938="","",IFERROR(INDEX(Jugadores!$C$2:$C$501,MATCH(B938,Jugadores!$A$2:$A$501,0)),"⚠ ID no existe"))</f>
        <v/>
      </c>
      <c r="D938" s="19" t="n"/>
      <c r="E938" s="19" t="n"/>
      <c r="F938" s="16">
        <f>IF(OR(B938="",D938=""),"",IFERROR(INDEX('Tabla XP'!$B$2:$B$12,MATCH(D938,'Tabla XP'!$A$2:$A$12,0))*IF(E938="",1,E938),0))</f>
        <v/>
      </c>
      <c r="G938" s="19" t="n"/>
      <c r="H938" s="19" t="n"/>
    </row>
    <row r="939">
      <c r="A939" s="22" t="n"/>
      <c r="B939" s="19" t="n"/>
      <c r="C939" s="18">
        <f>IF(B939="","",IFERROR(INDEX(Jugadores!$C$2:$C$501,MATCH(B939,Jugadores!$A$2:$A$501,0)),"⚠ ID no existe"))</f>
        <v/>
      </c>
      <c r="D939" s="19" t="n"/>
      <c r="E939" s="19" t="n"/>
      <c r="F939" s="16">
        <f>IF(OR(B939="",D939=""),"",IFERROR(INDEX('Tabla XP'!$B$2:$B$12,MATCH(D939,'Tabla XP'!$A$2:$A$12,0))*IF(E939="",1,E939),0))</f>
        <v/>
      </c>
      <c r="G939" s="19" t="n"/>
      <c r="H939" s="19" t="n"/>
    </row>
    <row r="940">
      <c r="A940" s="22" t="n"/>
      <c r="B940" s="19" t="n"/>
      <c r="C940" s="18">
        <f>IF(B940="","",IFERROR(INDEX(Jugadores!$C$2:$C$501,MATCH(B940,Jugadores!$A$2:$A$501,0)),"⚠ ID no existe"))</f>
        <v/>
      </c>
      <c r="D940" s="19" t="n"/>
      <c r="E940" s="19" t="n"/>
      <c r="F940" s="16">
        <f>IF(OR(B940="",D940=""),"",IFERROR(INDEX('Tabla XP'!$B$2:$B$12,MATCH(D940,'Tabla XP'!$A$2:$A$12,0))*IF(E940="",1,E940),0))</f>
        <v/>
      </c>
      <c r="G940" s="19" t="n"/>
      <c r="H940" s="19" t="n"/>
    </row>
    <row r="941">
      <c r="A941" s="22" t="n"/>
      <c r="B941" s="19" t="n"/>
      <c r="C941" s="18">
        <f>IF(B941="","",IFERROR(INDEX(Jugadores!$C$2:$C$501,MATCH(B941,Jugadores!$A$2:$A$501,0)),"⚠ ID no existe"))</f>
        <v/>
      </c>
      <c r="D941" s="19" t="n"/>
      <c r="E941" s="19" t="n"/>
      <c r="F941" s="16">
        <f>IF(OR(B941="",D941=""),"",IFERROR(INDEX('Tabla XP'!$B$2:$B$12,MATCH(D941,'Tabla XP'!$A$2:$A$12,0))*IF(E941="",1,E941),0))</f>
        <v/>
      </c>
      <c r="G941" s="19" t="n"/>
      <c r="H941" s="19" t="n"/>
    </row>
    <row r="942">
      <c r="A942" s="22" t="n"/>
      <c r="B942" s="19" t="n"/>
      <c r="C942" s="18">
        <f>IF(B942="","",IFERROR(INDEX(Jugadores!$C$2:$C$501,MATCH(B942,Jugadores!$A$2:$A$501,0)),"⚠ ID no existe"))</f>
        <v/>
      </c>
      <c r="D942" s="19" t="n"/>
      <c r="E942" s="19" t="n"/>
      <c r="F942" s="16">
        <f>IF(OR(B942="",D942=""),"",IFERROR(INDEX('Tabla XP'!$B$2:$B$12,MATCH(D942,'Tabla XP'!$A$2:$A$12,0))*IF(E942="",1,E942),0))</f>
        <v/>
      </c>
      <c r="G942" s="19" t="n"/>
      <c r="H942" s="19" t="n"/>
    </row>
    <row r="943">
      <c r="A943" s="22" t="n"/>
      <c r="B943" s="19" t="n"/>
      <c r="C943" s="18">
        <f>IF(B943="","",IFERROR(INDEX(Jugadores!$C$2:$C$501,MATCH(B943,Jugadores!$A$2:$A$501,0)),"⚠ ID no existe"))</f>
        <v/>
      </c>
      <c r="D943" s="19" t="n"/>
      <c r="E943" s="19" t="n"/>
      <c r="F943" s="16">
        <f>IF(OR(B943="",D943=""),"",IFERROR(INDEX('Tabla XP'!$B$2:$B$12,MATCH(D943,'Tabla XP'!$A$2:$A$12,0))*IF(E943="",1,E943),0))</f>
        <v/>
      </c>
      <c r="G943" s="19" t="n"/>
      <c r="H943" s="19" t="n"/>
    </row>
    <row r="944">
      <c r="A944" s="22" t="n"/>
      <c r="B944" s="19" t="n"/>
      <c r="C944" s="18">
        <f>IF(B944="","",IFERROR(INDEX(Jugadores!$C$2:$C$501,MATCH(B944,Jugadores!$A$2:$A$501,0)),"⚠ ID no existe"))</f>
        <v/>
      </c>
      <c r="D944" s="19" t="n"/>
      <c r="E944" s="19" t="n"/>
      <c r="F944" s="16">
        <f>IF(OR(B944="",D944=""),"",IFERROR(INDEX('Tabla XP'!$B$2:$B$12,MATCH(D944,'Tabla XP'!$A$2:$A$12,0))*IF(E944="",1,E944),0))</f>
        <v/>
      </c>
      <c r="G944" s="19" t="n"/>
      <c r="H944" s="19" t="n"/>
    </row>
    <row r="945">
      <c r="A945" s="22" t="n"/>
      <c r="B945" s="19" t="n"/>
      <c r="C945" s="18">
        <f>IF(B945="","",IFERROR(INDEX(Jugadores!$C$2:$C$501,MATCH(B945,Jugadores!$A$2:$A$501,0)),"⚠ ID no existe"))</f>
        <v/>
      </c>
      <c r="D945" s="19" t="n"/>
      <c r="E945" s="19" t="n"/>
      <c r="F945" s="16">
        <f>IF(OR(B945="",D945=""),"",IFERROR(INDEX('Tabla XP'!$B$2:$B$12,MATCH(D945,'Tabla XP'!$A$2:$A$12,0))*IF(E945="",1,E945),0))</f>
        <v/>
      </c>
      <c r="G945" s="19" t="n"/>
      <c r="H945" s="19" t="n"/>
    </row>
    <row r="946">
      <c r="A946" s="22" t="n"/>
      <c r="B946" s="19" t="n"/>
      <c r="C946" s="18">
        <f>IF(B946="","",IFERROR(INDEX(Jugadores!$C$2:$C$501,MATCH(B946,Jugadores!$A$2:$A$501,0)),"⚠ ID no existe"))</f>
        <v/>
      </c>
      <c r="D946" s="19" t="n"/>
      <c r="E946" s="19" t="n"/>
      <c r="F946" s="16">
        <f>IF(OR(B946="",D946=""),"",IFERROR(INDEX('Tabla XP'!$B$2:$B$12,MATCH(D946,'Tabla XP'!$A$2:$A$12,0))*IF(E946="",1,E946),0))</f>
        <v/>
      </c>
      <c r="G946" s="19" t="n"/>
      <c r="H946" s="19" t="n"/>
    </row>
    <row r="947">
      <c r="A947" s="22" t="n"/>
      <c r="B947" s="19" t="n"/>
      <c r="C947" s="18">
        <f>IF(B947="","",IFERROR(INDEX(Jugadores!$C$2:$C$501,MATCH(B947,Jugadores!$A$2:$A$501,0)),"⚠ ID no existe"))</f>
        <v/>
      </c>
      <c r="D947" s="19" t="n"/>
      <c r="E947" s="19" t="n"/>
      <c r="F947" s="16">
        <f>IF(OR(B947="",D947=""),"",IFERROR(INDEX('Tabla XP'!$B$2:$B$12,MATCH(D947,'Tabla XP'!$A$2:$A$12,0))*IF(E947="",1,E947),0))</f>
        <v/>
      </c>
      <c r="G947" s="19" t="n"/>
      <c r="H947" s="19" t="n"/>
    </row>
    <row r="948">
      <c r="A948" s="22" t="n"/>
      <c r="B948" s="19" t="n"/>
      <c r="C948" s="18">
        <f>IF(B948="","",IFERROR(INDEX(Jugadores!$C$2:$C$501,MATCH(B948,Jugadores!$A$2:$A$501,0)),"⚠ ID no existe"))</f>
        <v/>
      </c>
      <c r="D948" s="19" t="n"/>
      <c r="E948" s="19" t="n"/>
      <c r="F948" s="16">
        <f>IF(OR(B948="",D948=""),"",IFERROR(INDEX('Tabla XP'!$B$2:$B$12,MATCH(D948,'Tabla XP'!$A$2:$A$12,0))*IF(E948="",1,E948),0))</f>
        <v/>
      </c>
      <c r="G948" s="19" t="n"/>
      <c r="H948" s="19" t="n"/>
    </row>
    <row r="949">
      <c r="A949" s="22" t="n"/>
      <c r="B949" s="19" t="n"/>
      <c r="C949" s="18">
        <f>IF(B949="","",IFERROR(INDEX(Jugadores!$C$2:$C$501,MATCH(B949,Jugadores!$A$2:$A$501,0)),"⚠ ID no existe"))</f>
        <v/>
      </c>
      <c r="D949" s="19" t="n"/>
      <c r="E949" s="19" t="n"/>
      <c r="F949" s="16">
        <f>IF(OR(B949="",D949=""),"",IFERROR(INDEX('Tabla XP'!$B$2:$B$12,MATCH(D949,'Tabla XP'!$A$2:$A$12,0))*IF(E949="",1,E949),0))</f>
        <v/>
      </c>
      <c r="G949" s="19" t="n"/>
      <c r="H949" s="19" t="n"/>
    </row>
    <row r="950">
      <c r="A950" s="22" t="n"/>
      <c r="B950" s="19" t="n"/>
      <c r="C950" s="18">
        <f>IF(B950="","",IFERROR(INDEX(Jugadores!$C$2:$C$501,MATCH(B950,Jugadores!$A$2:$A$501,0)),"⚠ ID no existe"))</f>
        <v/>
      </c>
      <c r="D950" s="19" t="n"/>
      <c r="E950" s="19" t="n"/>
      <c r="F950" s="16">
        <f>IF(OR(B950="",D950=""),"",IFERROR(INDEX('Tabla XP'!$B$2:$B$12,MATCH(D950,'Tabla XP'!$A$2:$A$12,0))*IF(E950="",1,E950),0))</f>
        <v/>
      </c>
      <c r="G950" s="19" t="n"/>
      <c r="H950" s="19" t="n"/>
    </row>
    <row r="951">
      <c r="A951" s="22" t="n"/>
      <c r="B951" s="19" t="n"/>
      <c r="C951" s="18">
        <f>IF(B951="","",IFERROR(INDEX(Jugadores!$C$2:$C$501,MATCH(B951,Jugadores!$A$2:$A$501,0)),"⚠ ID no existe"))</f>
        <v/>
      </c>
      <c r="D951" s="19" t="n"/>
      <c r="E951" s="19" t="n"/>
      <c r="F951" s="16">
        <f>IF(OR(B951="",D951=""),"",IFERROR(INDEX('Tabla XP'!$B$2:$B$12,MATCH(D951,'Tabla XP'!$A$2:$A$12,0))*IF(E951="",1,E951),0))</f>
        <v/>
      </c>
      <c r="G951" s="19" t="n"/>
      <c r="H951" s="19" t="n"/>
    </row>
    <row r="952">
      <c r="A952" s="22" t="n"/>
      <c r="B952" s="19" t="n"/>
      <c r="C952" s="18">
        <f>IF(B952="","",IFERROR(INDEX(Jugadores!$C$2:$C$501,MATCH(B952,Jugadores!$A$2:$A$501,0)),"⚠ ID no existe"))</f>
        <v/>
      </c>
      <c r="D952" s="19" t="n"/>
      <c r="E952" s="19" t="n"/>
      <c r="F952" s="16">
        <f>IF(OR(B952="",D952=""),"",IFERROR(INDEX('Tabla XP'!$B$2:$B$12,MATCH(D952,'Tabla XP'!$A$2:$A$12,0))*IF(E952="",1,E952),0))</f>
        <v/>
      </c>
      <c r="G952" s="19" t="n"/>
      <c r="H952" s="19" t="n"/>
    </row>
    <row r="953">
      <c r="A953" s="22" t="n"/>
      <c r="B953" s="19" t="n"/>
      <c r="C953" s="18">
        <f>IF(B953="","",IFERROR(INDEX(Jugadores!$C$2:$C$501,MATCH(B953,Jugadores!$A$2:$A$501,0)),"⚠ ID no existe"))</f>
        <v/>
      </c>
      <c r="D953" s="19" t="n"/>
      <c r="E953" s="19" t="n"/>
      <c r="F953" s="16">
        <f>IF(OR(B953="",D953=""),"",IFERROR(INDEX('Tabla XP'!$B$2:$B$12,MATCH(D953,'Tabla XP'!$A$2:$A$12,0))*IF(E953="",1,E953),0))</f>
        <v/>
      </c>
      <c r="G953" s="19" t="n"/>
      <c r="H953" s="19" t="n"/>
    </row>
    <row r="954">
      <c r="A954" s="22" t="n"/>
      <c r="B954" s="19" t="n"/>
      <c r="C954" s="18">
        <f>IF(B954="","",IFERROR(INDEX(Jugadores!$C$2:$C$501,MATCH(B954,Jugadores!$A$2:$A$501,0)),"⚠ ID no existe"))</f>
        <v/>
      </c>
      <c r="D954" s="19" t="n"/>
      <c r="E954" s="19" t="n"/>
      <c r="F954" s="16">
        <f>IF(OR(B954="",D954=""),"",IFERROR(INDEX('Tabla XP'!$B$2:$B$12,MATCH(D954,'Tabla XP'!$A$2:$A$12,0))*IF(E954="",1,E954),0))</f>
        <v/>
      </c>
      <c r="G954" s="19" t="n"/>
      <c r="H954" s="19" t="n"/>
    </row>
    <row r="955">
      <c r="A955" s="22" t="n"/>
      <c r="B955" s="19" t="n"/>
      <c r="C955" s="18">
        <f>IF(B955="","",IFERROR(INDEX(Jugadores!$C$2:$C$501,MATCH(B955,Jugadores!$A$2:$A$501,0)),"⚠ ID no existe"))</f>
        <v/>
      </c>
      <c r="D955" s="19" t="n"/>
      <c r="E955" s="19" t="n"/>
      <c r="F955" s="16">
        <f>IF(OR(B955="",D955=""),"",IFERROR(INDEX('Tabla XP'!$B$2:$B$12,MATCH(D955,'Tabla XP'!$A$2:$A$12,0))*IF(E955="",1,E955),0))</f>
        <v/>
      </c>
      <c r="G955" s="19" t="n"/>
      <c r="H955" s="19" t="n"/>
    </row>
    <row r="956">
      <c r="A956" s="22" t="n"/>
      <c r="B956" s="19" t="n"/>
      <c r="C956" s="18">
        <f>IF(B956="","",IFERROR(INDEX(Jugadores!$C$2:$C$501,MATCH(B956,Jugadores!$A$2:$A$501,0)),"⚠ ID no existe"))</f>
        <v/>
      </c>
      <c r="D956" s="19" t="n"/>
      <c r="E956" s="19" t="n"/>
      <c r="F956" s="16">
        <f>IF(OR(B956="",D956=""),"",IFERROR(INDEX('Tabla XP'!$B$2:$B$12,MATCH(D956,'Tabla XP'!$A$2:$A$12,0))*IF(E956="",1,E956),0))</f>
        <v/>
      </c>
      <c r="G956" s="19" t="n"/>
      <c r="H956" s="19" t="n"/>
    </row>
    <row r="957">
      <c r="A957" s="22" t="n"/>
      <c r="B957" s="19" t="n"/>
      <c r="C957" s="18">
        <f>IF(B957="","",IFERROR(INDEX(Jugadores!$C$2:$C$501,MATCH(B957,Jugadores!$A$2:$A$501,0)),"⚠ ID no existe"))</f>
        <v/>
      </c>
      <c r="D957" s="19" t="n"/>
      <c r="E957" s="19" t="n"/>
      <c r="F957" s="16">
        <f>IF(OR(B957="",D957=""),"",IFERROR(INDEX('Tabla XP'!$B$2:$B$12,MATCH(D957,'Tabla XP'!$A$2:$A$12,0))*IF(E957="",1,E957),0))</f>
        <v/>
      </c>
      <c r="G957" s="19" t="n"/>
      <c r="H957" s="19" t="n"/>
    </row>
    <row r="958">
      <c r="A958" s="22" t="n"/>
      <c r="B958" s="19" t="n"/>
      <c r="C958" s="18">
        <f>IF(B958="","",IFERROR(INDEX(Jugadores!$C$2:$C$501,MATCH(B958,Jugadores!$A$2:$A$501,0)),"⚠ ID no existe"))</f>
        <v/>
      </c>
      <c r="D958" s="19" t="n"/>
      <c r="E958" s="19" t="n"/>
      <c r="F958" s="16">
        <f>IF(OR(B958="",D958=""),"",IFERROR(INDEX('Tabla XP'!$B$2:$B$12,MATCH(D958,'Tabla XP'!$A$2:$A$12,0))*IF(E958="",1,E958),0))</f>
        <v/>
      </c>
      <c r="G958" s="19" t="n"/>
      <c r="H958" s="19" t="n"/>
    </row>
    <row r="959">
      <c r="A959" s="22" t="n"/>
      <c r="B959" s="19" t="n"/>
      <c r="C959" s="18">
        <f>IF(B959="","",IFERROR(INDEX(Jugadores!$C$2:$C$501,MATCH(B959,Jugadores!$A$2:$A$501,0)),"⚠ ID no existe"))</f>
        <v/>
      </c>
      <c r="D959" s="19" t="n"/>
      <c r="E959" s="19" t="n"/>
      <c r="F959" s="16">
        <f>IF(OR(B959="",D959=""),"",IFERROR(INDEX('Tabla XP'!$B$2:$B$12,MATCH(D959,'Tabla XP'!$A$2:$A$12,0))*IF(E959="",1,E959),0))</f>
        <v/>
      </c>
      <c r="G959" s="19" t="n"/>
      <c r="H959" s="19" t="n"/>
    </row>
    <row r="960">
      <c r="A960" s="22" t="n"/>
      <c r="B960" s="19" t="n"/>
      <c r="C960" s="18">
        <f>IF(B960="","",IFERROR(INDEX(Jugadores!$C$2:$C$501,MATCH(B960,Jugadores!$A$2:$A$501,0)),"⚠ ID no existe"))</f>
        <v/>
      </c>
      <c r="D960" s="19" t="n"/>
      <c r="E960" s="19" t="n"/>
      <c r="F960" s="16">
        <f>IF(OR(B960="",D960=""),"",IFERROR(INDEX('Tabla XP'!$B$2:$B$12,MATCH(D960,'Tabla XP'!$A$2:$A$12,0))*IF(E960="",1,E960),0))</f>
        <v/>
      </c>
      <c r="G960" s="19" t="n"/>
      <c r="H960" s="19" t="n"/>
    </row>
    <row r="961">
      <c r="A961" s="22" t="n"/>
      <c r="B961" s="19" t="n"/>
      <c r="C961" s="18">
        <f>IF(B961="","",IFERROR(INDEX(Jugadores!$C$2:$C$501,MATCH(B961,Jugadores!$A$2:$A$501,0)),"⚠ ID no existe"))</f>
        <v/>
      </c>
      <c r="D961" s="19" t="n"/>
      <c r="E961" s="19" t="n"/>
      <c r="F961" s="16">
        <f>IF(OR(B961="",D961=""),"",IFERROR(INDEX('Tabla XP'!$B$2:$B$12,MATCH(D961,'Tabla XP'!$A$2:$A$12,0))*IF(E961="",1,E961),0))</f>
        <v/>
      </c>
      <c r="G961" s="19" t="n"/>
      <c r="H961" s="19" t="n"/>
    </row>
    <row r="962">
      <c r="A962" s="22" t="n"/>
      <c r="B962" s="19" t="n"/>
      <c r="C962" s="18">
        <f>IF(B962="","",IFERROR(INDEX(Jugadores!$C$2:$C$501,MATCH(B962,Jugadores!$A$2:$A$501,0)),"⚠ ID no existe"))</f>
        <v/>
      </c>
      <c r="D962" s="19" t="n"/>
      <c r="E962" s="19" t="n"/>
      <c r="F962" s="16">
        <f>IF(OR(B962="",D962=""),"",IFERROR(INDEX('Tabla XP'!$B$2:$B$12,MATCH(D962,'Tabla XP'!$A$2:$A$12,0))*IF(E962="",1,E962),0))</f>
        <v/>
      </c>
      <c r="G962" s="19" t="n"/>
      <c r="H962" s="19" t="n"/>
    </row>
    <row r="963">
      <c r="A963" s="22" t="n"/>
      <c r="B963" s="19" t="n"/>
      <c r="C963" s="18">
        <f>IF(B963="","",IFERROR(INDEX(Jugadores!$C$2:$C$501,MATCH(B963,Jugadores!$A$2:$A$501,0)),"⚠ ID no existe"))</f>
        <v/>
      </c>
      <c r="D963" s="19" t="n"/>
      <c r="E963" s="19" t="n"/>
      <c r="F963" s="16">
        <f>IF(OR(B963="",D963=""),"",IFERROR(INDEX('Tabla XP'!$B$2:$B$12,MATCH(D963,'Tabla XP'!$A$2:$A$12,0))*IF(E963="",1,E963),0))</f>
        <v/>
      </c>
      <c r="G963" s="19" t="n"/>
      <c r="H963" s="19" t="n"/>
    </row>
    <row r="964">
      <c r="A964" s="22" t="n"/>
      <c r="B964" s="19" t="n"/>
      <c r="C964" s="18">
        <f>IF(B964="","",IFERROR(INDEX(Jugadores!$C$2:$C$501,MATCH(B964,Jugadores!$A$2:$A$501,0)),"⚠ ID no existe"))</f>
        <v/>
      </c>
      <c r="D964" s="19" t="n"/>
      <c r="E964" s="19" t="n"/>
      <c r="F964" s="16">
        <f>IF(OR(B964="",D964=""),"",IFERROR(INDEX('Tabla XP'!$B$2:$B$12,MATCH(D964,'Tabla XP'!$A$2:$A$12,0))*IF(E964="",1,E964),0))</f>
        <v/>
      </c>
      <c r="G964" s="19" t="n"/>
      <c r="H964" s="19" t="n"/>
    </row>
    <row r="965">
      <c r="A965" s="22" t="n"/>
      <c r="B965" s="19" t="n"/>
      <c r="C965" s="18">
        <f>IF(B965="","",IFERROR(INDEX(Jugadores!$C$2:$C$501,MATCH(B965,Jugadores!$A$2:$A$501,0)),"⚠ ID no existe"))</f>
        <v/>
      </c>
      <c r="D965" s="19" t="n"/>
      <c r="E965" s="19" t="n"/>
      <c r="F965" s="16">
        <f>IF(OR(B965="",D965=""),"",IFERROR(INDEX('Tabla XP'!$B$2:$B$12,MATCH(D965,'Tabla XP'!$A$2:$A$12,0))*IF(E965="",1,E965),0))</f>
        <v/>
      </c>
      <c r="G965" s="19" t="n"/>
      <c r="H965" s="19" t="n"/>
    </row>
    <row r="966">
      <c r="A966" s="22" t="n"/>
      <c r="B966" s="19" t="n"/>
      <c r="C966" s="18">
        <f>IF(B966="","",IFERROR(INDEX(Jugadores!$C$2:$C$501,MATCH(B966,Jugadores!$A$2:$A$501,0)),"⚠ ID no existe"))</f>
        <v/>
      </c>
      <c r="D966" s="19" t="n"/>
      <c r="E966" s="19" t="n"/>
      <c r="F966" s="16">
        <f>IF(OR(B966="",D966=""),"",IFERROR(INDEX('Tabla XP'!$B$2:$B$12,MATCH(D966,'Tabla XP'!$A$2:$A$12,0))*IF(E966="",1,E966),0))</f>
        <v/>
      </c>
      <c r="G966" s="19" t="n"/>
      <c r="H966" s="19" t="n"/>
    </row>
    <row r="967">
      <c r="A967" s="22" t="n"/>
      <c r="B967" s="19" t="n"/>
      <c r="C967" s="18">
        <f>IF(B967="","",IFERROR(INDEX(Jugadores!$C$2:$C$501,MATCH(B967,Jugadores!$A$2:$A$501,0)),"⚠ ID no existe"))</f>
        <v/>
      </c>
      <c r="D967" s="19" t="n"/>
      <c r="E967" s="19" t="n"/>
      <c r="F967" s="16">
        <f>IF(OR(B967="",D967=""),"",IFERROR(INDEX('Tabla XP'!$B$2:$B$12,MATCH(D967,'Tabla XP'!$A$2:$A$12,0))*IF(E967="",1,E967),0))</f>
        <v/>
      </c>
      <c r="G967" s="19" t="n"/>
      <c r="H967" s="19" t="n"/>
    </row>
    <row r="968">
      <c r="A968" s="22" t="n"/>
      <c r="B968" s="19" t="n"/>
      <c r="C968" s="18">
        <f>IF(B968="","",IFERROR(INDEX(Jugadores!$C$2:$C$501,MATCH(B968,Jugadores!$A$2:$A$501,0)),"⚠ ID no existe"))</f>
        <v/>
      </c>
      <c r="D968" s="19" t="n"/>
      <c r="E968" s="19" t="n"/>
      <c r="F968" s="16">
        <f>IF(OR(B968="",D968=""),"",IFERROR(INDEX('Tabla XP'!$B$2:$B$12,MATCH(D968,'Tabla XP'!$A$2:$A$12,0))*IF(E968="",1,E968),0))</f>
        <v/>
      </c>
      <c r="G968" s="19" t="n"/>
      <c r="H968" s="19" t="n"/>
    </row>
    <row r="969">
      <c r="A969" s="22" t="n"/>
      <c r="B969" s="19" t="n"/>
      <c r="C969" s="18">
        <f>IF(B969="","",IFERROR(INDEX(Jugadores!$C$2:$C$501,MATCH(B969,Jugadores!$A$2:$A$501,0)),"⚠ ID no existe"))</f>
        <v/>
      </c>
      <c r="D969" s="19" t="n"/>
      <c r="E969" s="19" t="n"/>
      <c r="F969" s="16">
        <f>IF(OR(B969="",D969=""),"",IFERROR(INDEX('Tabla XP'!$B$2:$B$12,MATCH(D969,'Tabla XP'!$A$2:$A$12,0))*IF(E969="",1,E969),0))</f>
        <v/>
      </c>
      <c r="G969" s="19" t="n"/>
      <c r="H969" s="19" t="n"/>
    </row>
    <row r="970">
      <c r="A970" s="22" t="n"/>
      <c r="B970" s="19" t="n"/>
      <c r="C970" s="18">
        <f>IF(B970="","",IFERROR(INDEX(Jugadores!$C$2:$C$501,MATCH(B970,Jugadores!$A$2:$A$501,0)),"⚠ ID no existe"))</f>
        <v/>
      </c>
      <c r="D970" s="19" t="n"/>
      <c r="E970" s="19" t="n"/>
      <c r="F970" s="16">
        <f>IF(OR(B970="",D970=""),"",IFERROR(INDEX('Tabla XP'!$B$2:$B$12,MATCH(D970,'Tabla XP'!$A$2:$A$12,0))*IF(E970="",1,E970),0))</f>
        <v/>
      </c>
      <c r="G970" s="19" t="n"/>
      <c r="H970" s="19" t="n"/>
    </row>
    <row r="971">
      <c r="A971" s="22" t="n"/>
      <c r="B971" s="19" t="n"/>
      <c r="C971" s="18">
        <f>IF(B971="","",IFERROR(INDEX(Jugadores!$C$2:$C$501,MATCH(B971,Jugadores!$A$2:$A$501,0)),"⚠ ID no existe"))</f>
        <v/>
      </c>
      <c r="D971" s="19" t="n"/>
      <c r="E971" s="19" t="n"/>
      <c r="F971" s="16">
        <f>IF(OR(B971="",D971=""),"",IFERROR(INDEX('Tabla XP'!$B$2:$B$12,MATCH(D971,'Tabla XP'!$A$2:$A$12,0))*IF(E971="",1,E971),0))</f>
        <v/>
      </c>
      <c r="G971" s="19" t="n"/>
      <c r="H971" s="19" t="n"/>
    </row>
    <row r="972">
      <c r="A972" s="22" t="n"/>
      <c r="B972" s="19" t="n"/>
      <c r="C972" s="18">
        <f>IF(B972="","",IFERROR(INDEX(Jugadores!$C$2:$C$501,MATCH(B972,Jugadores!$A$2:$A$501,0)),"⚠ ID no existe"))</f>
        <v/>
      </c>
      <c r="D972" s="19" t="n"/>
      <c r="E972" s="19" t="n"/>
      <c r="F972" s="16">
        <f>IF(OR(B972="",D972=""),"",IFERROR(INDEX('Tabla XP'!$B$2:$B$12,MATCH(D972,'Tabla XP'!$A$2:$A$12,0))*IF(E972="",1,E972),0))</f>
        <v/>
      </c>
      <c r="G972" s="19" t="n"/>
      <c r="H972" s="19" t="n"/>
    </row>
    <row r="973">
      <c r="A973" s="22" t="n"/>
      <c r="B973" s="19" t="n"/>
      <c r="C973" s="18">
        <f>IF(B973="","",IFERROR(INDEX(Jugadores!$C$2:$C$501,MATCH(B973,Jugadores!$A$2:$A$501,0)),"⚠ ID no existe"))</f>
        <v/>
      </c>
      <c r="D973" s="19" t="n"/>
      <c r="E973" s="19" t="n"/>
      <c r="F973" s="16">
        <f>IF(OR(B973="",D973=""),"",IFERROR(INDEX('Tabla XP'!$B$2:$B$12,MATCH(D973,'Tabla XP'!$A$2:$A$12,0))*IF(E973="",1,E973),0))</f>
        <v/>
      </c>
      <c r="G973" s="19" t="n"/>
      <c r="H973" s="19" t="n"/>
    </row>
    <row r="974">
      <c r="A974" s="22" t="n"/>
      <c r="B974" s="19" t="n"/>
      <c r="C974" s="18">
        <f>IF(B974="","",IFERROR(INDEX(Jugadores!$C$2:$C$501,MATCH(B974,Jugadores!$A$2:$A$501,0)),"⚠ ID no existe"))</f>
        <v/>
      </c>
      <c r="D974" s="19" t="n"/>
      <c r="E974" s="19" t="n"/>
      <c r="F974" s="16">
        <f>IF(OR(B974="",D974=""),"",IFERROR(INDEX('Tabla XP'!$B$2:$B$12,MATCH(D974,'Tabla XP'!$A$2:$A$12,0))*IF(E974="",1,E974),0))</f>
        <v/>
      </c>
      <c r="G974" s="19" t="n"/>
      <c r="H974" s="19" t="n"/>
    </row>
    <row r="975">
      <c r="A975" s="22" t="n"/>
      <c r="B975" s="19" t="n"/>
      <c r="C975" s="18">
        <f>IF(B975="","",IFERROR(INDEX(Jugadores!$C$2:$C$501,MATCH(B975,Jugadores!$A$2:$A$501,0)),"⚠ ID no existe"))</f>
        <v/>
      </c>
      <c r="D975" s="19" t="n"/>
      <c r="E975" s="19" t="n"/>
      <c r="F975" s="16">
        <f>IF(OR(B975="",D975=""),"",IFERROR(INDEX('Tabla XP'!$B$2:$B$12,MATCH(D975,'Tabla XP'!$A$2:$A$12,0))*IF(E975="",1,E975),0))</f>
        <v/>
      </c>
      <c r="G975" s="19" t="n"/>
      <c r="H975" s="19" t="n"/>
    </row>
    <row r="976">
      <c r="A976" s="22" t="n"/>
      <c r="B976" s="19" t="n"/>
      <c r="C976" s="18">
        <f>IF(B976="","",IFERROR(INDEX(Jugadores!$C$2:$C$501,MATCH(B976,Jugadores!$A$2:$A$501,0)),"⚠ ID no existe"))</f>
        <v/>
      </c>
      <c r="D976" s="19" t="n"/>
      <c r="E976" s="19" t="n"/>
      <c r="F976" s="16">
        <f>IF(OR(B976="",D976=""),"",IFERROR(INDEX('Tabla XP'!$B$2:$B$12,MATCH(D976,'Tabla XP'!$A$2:$A$12,0))*IF(E976="",1,E976),0))</f>
        <v/>
      </c>
      <c r="G976" s="19" t="n"/>
      <c r="H976" s="19" t="n"/>
    </row>
    <row r="977">
      <c r="A977" s="22" t="n"/>
      <c r="B977" s="19" t="n"/>
      <c r="C977" s="18">
        <f>IF(B977="","",IFERROR(INDEX(Jugadores!$C$2:$C$501,MATCH(B977,Jugadores!$A$2:$A$501,0)),"⚠ ID no existe"))</f>
        <v/>
      </c>
      <c r="D977" s="19" t="n"/>
      <c r="E977" s="19" t="n"/>
      <c r="F977" s="16">
        <f>IF(OR(B977="",D977=""),"",IFERROR(INDEX('Tabla XP'!$B$2:$B$12,MATCH(D977,'Tabla XP'!$A$2:$A$12,0))*IF(E977="",1,E977),0))</f>
        <v/>
      </c>
      <c r="G977" s="19" t="n"/>
      <c r="H977" s="19" t="n"/>
    </row>
    <row r="978">
      <c r="A978" s="22" t="n"/>
      <c r="B978" s="19" t="n"/>
      <c r="C978" s="18">
        <f>IF(B978="","",IFERROR(INDEX(Jugadores!$C$2:$C$501,MATCH(B978,Jugadores!$A$2:$A$501,0)),"⚠ ID no existe"))</f>
        <v/>
      </c>
      <c r="D978" s="19" t="n"/>
      <c r="E978" s="19" t="n"/>
      <c r="F978" s="16">
        <f>IF(OR(B978="",D978=""),"",IFERROR(INDEX('Tabla XP'!$B$2:$B$12,MATCH(D978,'Tabla XP'!$A$2:$A$12,0))*IF(E978="",1,E978),0))</f>
        <v/>
      </c>
      <c r="G978" s="19" t="n"/>
      <c r="H978" s="19" t="n"/>
    </row>
    <row r="979">
      <c r="A979" s="22" t="n"/>
      <c r="B979" s="19" t="n"/>
      <c r="C979" s="18">
        <f>IF(B979="","",IFERROR(INDEX(Jugadores!$C$2:$C$501,MATCH(B979,Jugadores!$A$2:$A$501,0)),"⚠ ID no existe"))</f>
        <v/>
      </c>
      <c r="D979" s="19" t="n"/>
      <c r="E979" s="19" t="n"/>
      <c r="F979" s="16">
        <f>IF(OR(B979="",D979=""),"",IFERROR(INDEX('Tabla XP'!$B$2:$B$12,MATCH(D979,'Tabla XP'!$A$2:$A$12,0))*IF(E979="",1,E979),0))</f>
        <v/>
      </c>
      <c r="G979" s="19" t="n"/>
      <c r="H979" s="19" t="n"/>
    </row>
    <row r="980">
      <c r="A980" s="22" t="n"/>
      <c r="B980" s="19" t="n"/>
      <c r="C980" s="18">
        <f>IF(B980="","",IFERROR(INDEX(Jugadores!$C$2:$C$501,MATCH(B980,Jugadores!$A$2:$A$501,0)),"⚠ ID no existe"))</f>
        <v/>
      </c>
      <c r="D980" s="19" t="n"/>
      <c r="E980" s="19" t="n"/>
      <c r="F980" s="16">
        <f>IF(OR(B980="",D980=""),"",IFERROR(INDEX('Tabla XP'!$B$2:$B$12,MATCH(D980,'Tabla XP'!$A$2:$A$12,0))*IF(E980="",1,E980),0))</f>
        <v/>
      </c>
      <c r="G980" s="19" t="n"/>
      <c r="H980" s="19" t="n"/>
    </row>
    <row r="981">
      <c r="A981" s="22" t="n"/>
      <c r="B981" s="19" t="n"/>
      <c r="C981" s="18">
        <f>IF(B981="","",IFERROR(INDEX(Jugadores!$C$2:$C$501,MATCH(B981,Jugadores!$A$2:$A$501,0)),"⚠ ID no existe"))</f>
        <v/>
      </c>
      <c r="D981" s="19" t="n"/>
      <c r="E981" s="19" t="n"/>
      <c r="F981" s="16">
        <f>IF(OR(B981="",D981=""),"",IFERROR(INDEX('Tabla XP'!$B$2:$B$12,MATCH(D981,'Tabla XP'!$A$2:$A$12,0))*IF(E981="",1,E981),0))</f>
        <v/>
      </c>
      <c r="G981" s="19" t="n"/>
      <c r="H981" s="19" t="n"/>
    </row>
    <row r="982">
      <c r="A982" s="22" t="n"/>
      <c r="B982" s="19" t="n"/>
      <c r="C982" s="18">
        <f>IF(B982="","",IFERROR(INDEX(Jugadores!$C$2:$C$501,MATCH(B982,Jugadores!$A$2:$A$501,0)),"⚠ ID no existe"))</f>
        <v/>
      </c>
      <c r="D982" s="19" t="n"/>
      <c r="E982" s="19" t="n"/>
      <c r="F982" s="16">
        <f>IF(OR(B982="",D982=""),"",IFERROR(INDEX('Tabla XP'!$B$2:$B$12,MATCH(D982,'Tabla XP'!$A$2:$A$12,0))*IF(E982="",1,E982),0))</f>
        <v/>
      </c>
      <c r="G982" s="19" t="n"/>
      <c r="H982" s="19" t="n"/>
    </row>
    <row r="983">
      <c r="A983" s="22" t="n"/>
      <c r="B983" s="19" t="n"/>
      <c r="C983" s="18">
        <f>IF(B983="","",IFERROR(INDEX(Jugadores!$C$2:$C$501,MATCH(B983,Jugadores!$A$2:$A$501,0)),"⚠ ID no existe"))</f>
        <v/>
      </c>
      <c r="D983" s="19" t="n"/>
      <c r="E983" s="19" t="n"/>
      <c r="F983" s="16">
        <f>IF(OR(B983="",D983=""),"",IFERROR(INDEX('Tabla XP'!$B$2:$B$12,MATCH(D983,'Tabla XP'!$A$2:$A$12,0))*IF(E983="",1,E983),0))</f>
        <v/>
      </c>
      <c r="G983" s="19" t="n"/>
      <c r="H983" s="19" t="n"/>
    </row>
    <row r="984">
      <c r="A984" s="22" t="n"/>
      <c r="B984" s="19" t="n"/>
      <c r="C984" s="18">
        <f>IF(B984="","",IFERROR(INDEX(Jugadores!$C$2:$C$501,MATCH(B984,Jugadores!$A$2:$A$501,0)),"⚠ ID no existe"))</f>
        <v/>
      </c>
      <c r="D984" s="19" t="n"/>
      <c r="E984" s="19" t="n"/>
      <c r="F984" s="16">
        <f>IF(OR(B984="",D984=""),"",IFERROR(INDEX('Tabla XP'!$B$2:$B$12,MATCH(D984,'Tabla XP'!$A$2:$A$12,0))*IF(E984="",1,E984),0))</f>
        <v/>
      </c>
      <c r="G984" s="19" t="n"/>
      <c r="H984" s="19" t="n"/>
    </row>
    <row r="985">
      <c r="A985" s="22" t="n"/>
      <c r="B985" s="19" t="n"/>
      <c r="C985" s="18">
        <f>IF(B985="","",IFERROR(INDEX(Jugadores!$C$2:$C$501,MATCH(B985,Jugadores!$A$2:$A$501,0)),"⚠ ID no existe"))</f>
        <v/>
      </c>
      <c r="D985" s="19" t="n"/>
      <c r="E985" s="19" t="n"/>
      <c r="F985" s="16">
        <f>IF(OR(B985="",D985=""),"",IFERROR(INDEX('Tabla XP'!$B$2:$B$12,MATCH(D985,'Tabla XP'!$A$2:$A$12,0))*IF(E985="",1,E985),0))</f>
        <v/>
      </c>
      <c r="G985" s="19" t="n"/>
      <c r="H985" s="19" t="n"/>
    </row>
    <row r="986">
      <c r="A986" s="22" t="n"/>
      <c r="B986" s="19" t="n"/>
      <c r="C986" s="18">
        <f>IF(B986="","",IFERROR(INDEX(Jugadores!$C$2:$C$501,MATCH(B986,Jugadores!$A$2:$A$501,0)),"⚠ ID no existe"))</f>
        <v/>
      </c>
      <c r="D986" s="19" t="n"/>
      <c r="E986" s="19" t="n"/>
      <c r="F986" s="16">
        <f>IF(OR(B986="",D986=""),"",IFERROR(INDEX('Tabla XP'!$B$2:$B$12,MATCH(D986,'Tabla XP'!$A$2:$A$12,0))*IF(E986="",1,E986),0))</f>
        <v/>
      </c>
      <c r="G986" s="19" t="n"/>
      <c r="H986" s="19" t="n"/>
    </row>
    <row r="987">
      <c r="A987" s="22" t="n"/>
      <c r="B987" s="19" t="n"/>
      <c r="C987" s="18">
        <f>IF(B987="","",IFERROR(INDEX(Jugadores!$C$2:$C$501,MATCH(B987,Jugadores!$A$2:$A$501,0)),"⚠ ID no existe"))</f>
        <v/>
      </c>
      <c r="D987" s="19" t="n"/>
      <c r="E987" s="19" t="n"/>
      <c r="F987" s="16">
        <f>IF(OR(B987="",D987=""),"",IFERROR(INDEX('Tabla XP'!$B$2:$B$12,MATCH(D987,'Tabla XP'!$A$2:$A$12,0))*IF(E987="",1,E987),0))</f>
        <v/>
      </c>
      <c r="G987" s="19" t="n"/>
      <c r="H987" s="19" t="n"/>
    </row>
    <row r="988">
      <c r="A988" s="22" t="n"/>
      <c r="B988" s="19" t="n"/>
      <c r="C988" s="18">
        <f>IF(B988="","",IFERROR(INDEX(Jugadores!$C$2:$C$501,MATCH(B988,Jugadores!$A$2:$A$501,0)),"⚠ ID no existe"))</f>
        <v/>
      </c>
      <c r="D988" s="19" t="n"/>
      <c r="E988" s="19" t="n"/>
      <c r="F988" s="16">
        <f>IF(OR(B988="",D988=""),"",IFERROR(INDEX('Tabla XP'!$B$2:$B$12,MATCH(D988,'Tabla XP'!$A$2:$A$12,0))*IF(E988="",1,E988),0))</f>
        <v/>
      </c>
      <c r="G988" s="19" t="n"/>
      <c r="H988" s="19" t="n"/>
    </row>
    <row r="989">
      <c r="A989" s="22" t="n"/>
      <c r="B989" s="19" t="n"/>
      <c r="C989" s="18">
        <f>IF(B989="","",IFERROR(INDEX(Jugadores!$C$2:$C$501,MATCH(B989,Jugadores!$A$2:$A$501,0)),"⚠ ID no existe"))</f>
        <v/>
      </c>
      <c r="D989" s="19" t="n"/>
      <c r="E989" s="19" t="n"/>
      <c r="F989" s="16">
        <f>IF(OR(B989="",D989=""),"",IFERROR(INDEX('Tabla XP'!$B$2:$B$12,MATCH(D989,'Tabla XP'!$A$2:$A$12,0))*IF(E989="",1,E989),0))</f>
        <v/>
      </c>
      <c r="G989" s="19" t="n"/>
      <c r="H989" s="19" t="n"/>
    </row>
    <row r="990">
      <c r="A990" s="22" t="n"/>
      <c r="B990" s="19" t="n"/>
      <c r="C990" s="18">
        <f>IF(B990="","",IFERROR(INDEX(Jugadores!$C$2:$C$501,MATCH(B990,Jugadores!$A$2:$A$501,0)),"⚠ ID no existe"))</f>
        <v/>
      </c>
      <c r="D990" s="19" t="n"/>
      <c r="E990" s="19" t="n"/>
      <c r="F990" s="16">
        <f>IF(OR(B990="",D990=""),"",IFERROR(INDEX('Tabla XP'!$B$2:$B$12,MATCH(D990,'Tabla XP'!$A$2:$A$12,0))*IF(E990="",1,E990),0))</f>
        <v/>
      </c>
      <c r="G990" s="19" t="n"/>
      <c r="H990" s="19" t="n"/>
    </row>
    <row r="991">
      <c r="A991" s="22" t="n"/>
      <c r="B991" s="19" t="n"/>
      <c r="C991" s="18">
        <f>IF(B991="","",IFERROR(INDEX(Jugadores!$C$2:$C$501,MATCH(B991,Jugadores!$A$2:$A$501,0)),"⚠ ID no existe"))</f>
        <v/>
      </c>
      <c r="D991" s="19" t="n"/>
      <c r="E991" s="19" t="n"/>
      <c r="F991" s="16">
        <f>IF(OR(B991="",D991=""),"",IFERROR(INDEX('Tabla XP'!$B$2:$B$12,MATCH(D991,'Tabla XP'!$A$2:$A$12,0))*IF(E991="",1,E991),0))</f>
        <v/>
      </c>
      <c r="G991" s="19" t="n"/>
      <c r="H991" s="19" t="n"/>
    </row>
    <row r="992">
      <c r="A992" s="22" t="n"/>
      <c r="B992" s="19" t="n"/>
      <c r="C992" s="18">
        <f>IF(B992="","",IFERROR(INDEX(Jugadores!$C$2:$C$501,MATCH(B992,Jugadores!$A$2:$A$501,0)),"⚠ ID no existe"))</f>
        <v/>
      </c>
      <c r="D992" s="19" t="n"/>
      <c r="E992" s="19" t="n"/>
      <c r="F992" s="16">
        <f>IF(OR(B992="",D992=""),"",IFERROR(INDEX('Tabla XP'!$B$2:$B$12,MATCH(D992,'Tabla XP'!$A$2:$A$12,0))*IF(E992="",1,E992),0))</f>
        <v/>
      </c>
      <c r="G992" s="19" t="n"/>
      <c r="H992" s="19" t="n"/>
    </row>
    <row r="993">
      <c r="A993" s="22" t="n"/>
      <c r="B993" s="19" t="n"/>
      <c r="C993" s="18">
        <f>IF(B993="","",IFERROR(INDEX(Jugadores!$C$2:$C$501,MATCH(B993,Jugadores!$A$2:$A$501,0)),"⚠ ID no existe"))</f>
        <v/>
      </c>
      <c r="D993" s="19" t="n"/>
      <c r="E993" s="19" t="n"/>
      <c r="F993" s="16">
        <f>IF(OR(B993="",D993=""),"",IFERROR(INDEX('Tabla XP'!$B$2:$B$12,MATCH(D993,'Tabla XP'!$A$2:$A$12,0))*IF(E993="",1,E993),0))</f>
        <v/>
      </c>
      <c r="G993" s="19" t="n"/>
      <c r="H993" s="19" t="n"/>
    </row>
    <row r="994">
      <c r="A994" s="22" t="n"/>
      <c r="B994" s="19" t="n"/>
      <c r="C994" s="18">
        <f>IF(B994="","",IFERROR(INDEX(Jugadores!$C$2:$C$501,MATCH(B994,Jugadores!$A$2:$A$501,0)),"⚠ ID no existe"))</f>
        <v/>
      </c>
      <c r="D994" s="19" t="n"/>
      <c r="E994" s="19" t="n"/>
      <c r="F994" s="16">
        <f>IF(OR(B994="",D994=""),"",IFERROR(INDEX('Tabla XP'!$B$2:$B$12,MATCH(D994,'Tabla XP'!$A$2:$A$12,0))*IF(E994="",1,E994),0))</f>
        <v/>
      </c>
      <c r="G994" s="19" t="n"/>
      <c r="H994" s="19" t="n"/>
    </row>
    <row r="995">
      <c r="A995" s="22" t="n"/>
      <c r="B995" s="19" t="n"/>
      <c r="C995" s="18">
        <f>IF(B995="","",IFERROR(INDEX(Jugadores!$C$2:$C$501,MATCH(B995,Jugadores!$A$2:$A$501,0)),"⚠ ID no existe"))</f>
        <v/>
      </c>
      <c r="D995" s="19" t="n"/>
      <c r="E995" s="19" t="n"/>
      <c r="F995" s="16">
        <f>IF(OR(B995="",D995=""),"",IFERROR(INDEX('Tabla XP'!$B$2:$B$12,MATCH(D995,'Tabla XP'!$A$2:$A$12,0))*IF(E995="",1,E995),0))</f>
        <v/>
      </c>
      <c r="G995" s="19" t="n"/>
      <c r="H995" s="19" t="n"/>
    </row>
    <row r="996">
      <c r="A996" s="22" t="n"/>
      <c r="B996" s="19" t="n"/>
      <c r="C996" s="18">
        <f>IF(B996="","",IFERROR(INDEX(Jugadores!$C$2:$C$501,MATCH(B996,Jugadores!$A$2:$A$501,0)),"⚠ ID no existe"))</f>
        <v/>
      </c>
      <c r="D996" s="19" t="n"/>
      <c r="E996" s="19" t="n"/>
      <c r="F996" s="16">
        <f>IF(OR(B996="",D996=""),"",IFERROR(INDEX('Tabla XP'!$B$2:$B$12,MATCH(D996,'Tabla XP'!$A$2:$A$12,0))*IF(E996="",1,E996),0))</f>
        <v/>
      </c>
      <c r="G996" s="19" t="n"/>
      <c r="H996" s="19" t="n"/>
    </row>
    <row r="997">
      <c r="A997" s="22" t="n"/>
      <c r="B997" s="19" t="n"/>
      <c r="C997" s="18">
        <f>IF(B997="","",IFERROR(INDEX(Jugadores!$C$2:$C$501,MATCH(B997,Jugadores!$A$2:$A$501,0)),"⚠ ID no existe"))</f>
        <v/>
      </c>
      <c r="D997" s="19" t="n"/>
      <c r="E997" s="19" t="n"/>
      <c r="F997" s="16">
        <f>IF(OR(B997="",D997=""),"",IFERROR(INDEX('Tabla XP'!$B$2:$B$12,MATCH(D997,'Tabla XP'!$A$2:$A$12,0))*IF(E997="",1,E997),0))</f>
        <v/>
      </c>
      <c r="G997" s="19" t="n"/>
      <c r="H997" s="19" t="n"/>
    </row>
    <row r="998">
      <c r="A998" s="22" t="n"/>
      <c r="B998" s="19" t="n"/>
      <c r="C998" s="18">
        <f>IF(B998="","",IFERROR(INDEX(Jugadores!$C$2:$C$501,MATCH(B998,Jugadores!$A$2:$A$501,0)),"⚠ ID no existe"))</f>
        <v/>
      </c>
      <c r="D998" s="19" t="n"/>
      <c r="E998" s="19" t="n"/>
      <c r="F998" s="16">
        <f>IF(OR(B998="",D998=""),"",IFERROR(INDEX('Tabla XP'!$B$2:$B$12,MATCH(D998,'Tabla XP'!$A$2:$A$12,0))*IF(E998="",1,E998),0))</f>
        <v/>
      </c>
      <c r="G998" s="19" t="n"/>
      <c r="H998" s="19" t="n"/>
    </row>
    <row r="999">
      <c r="A999" s="22" t="n"/>
      <c r="B999" s="19" t="n"/>
      <c r="C999" s="18">
        <f>IF(B999="","",IFERROR(INDEX(Jugadores!$C$2:$C$501,MATCH(B999,Jugadores!$A$2:$A$501,0)),"⚠ ID no existe"))</f>
        <v/>
      </c>
      <c r="D999" s="19" t="n"/>
      <c r="E999" s="19" t="n"/>
      <c r="F999" s="16">
        <f>IF(OR(B999="",D999=""),"",IFERROR(INDEX('Tabla XP'!$B$2:$B$12,MATCH(D999,'Tabla XP'!$A$2:$A$12,0))*IF(E999="",1,E999),0))</f>
        <v/>
      </c>
      <c r="G999" s="19" t="n"/>
      <c r="H999" s="19" t="n"/>
    </row>
    <row r="1000">
      <c r="A1000" s="22" t="n"/>
      <c r="B1000" s="19" t="n"/>
      <c r="C1000" s="18">
        <f>IF(B1000="","",IFERROR(INDEX(Jugadores!$C$2:$C$501,MATCH(B1000,Jugadores!$A$2:$A$501,0)),"⚠ ID no existe"))</f>
        <v/>
      </c>
      <c r="D1000" s="19" t="n"/>
      <c r="E1000" s="19" t="n"/>
      <c r="F1000" s="16">
        <f>IF(OR(B1000="",D1000=""),"",IFERROR(INDEX('Tabla XP'!$B$2:$B$12,MATCH(D1000,'Tabla XP'!$A$2:$A$12,0))*IF(E1000="",1,E1000),0))</f>
        <v/>
      </c>
      <c r="G1000" s="19" t="n"/>
      <c r="H1000" s="19" t="n"/>
    </row>
    <row r="1001">
      <c r="A1001" s="22" t="n"/>
      <c r="B1001" s="19" t="n"/>
      <c r="C1001" s="18">
        <f>IF(B1001="","",IFERROR(INDEX(Jugadores!$C$2:$C$501,MATCH(B1001,Jugadores!$A$2:$A$501,0)),"⚠ ID no existe"))</f>
        <v/>
      </c>
      <c r="D1001" s="19" t="n"/>
      <c r="E1001" s="19" t="n"/>
      <c r="F1001" s="16">
        <f>IF(OR(B1001="",D1001=""),"",IFERROR(INDEX('Tabla XP'!$B$2:$B$12,MATCH(D1001,'Tabla XP'!$A$2:$A$12,0))*IF(E1001="",1,E1001),0))</f>
        <v/>
      </c>
      <c r="G1001" s="19" t="n"/>
      <c r="H1001" s="19" t="n"/>
    </row>
    <row r="1002">
      <c r="A1002" s="22" t="n"/>
      <c r="B1002" s="19" t="n"/>
      <c r="C1002" s="18">
        <f>IF(B1002="","",IFERROR(INDEX(Jugadores!$C$2:$C$501,MATCH(B1002,Jugadores!$A$2:$A$501,0)),"⚠ ID no existe"))</f>
        <v/>
      </c>
      <c r="D1002" s="19" t="n"/>
      <c r="E1002" s="19" t="n"/>
      <c r="F1002" s="16">
        <f>IF(OR(B1002="",D1002=""),"",IFERROR(INDEX('Tabla XP'!$B$2:$B$12,MATCH(D1002,'Tabla XP'!$A$2:$A$12,0))*IF(E1002="",1,E1002),0))</f>
        <v/>
      </c>
      <c r="G1002" s="19" t="n"/>
      <c r="H1002" s="19" t="n"/>
    </row>
    <row r="1003">
      <c r="A1003" s="22" t="n"/>
      <c r="B1003" s="19" t="n"/>
      <c r="C1003" s="18">
        <f>IF(B1003="","",IFERROR(INDEX(Jugadores!$C$2:$C$501,MATCH(B1003,Jugadores!$A$2:$A$501,0)),"⚠ ID no existe"))</f>
        <v/>
      </c>
      <c r="D1003" s="19" t="n"/>
      <c r="E1003" s="19" t="n"/>
      <c r="F1003" s="16">
        <f>IF(OR(B1003="",D1003=""),"",IFERROR(INDEX('Tabla XP'!$B$2:$B$12,MATCH(D1003,'Tabla XP'!$A$2:$A$12,0))*IF(E1003="",1,E1003),0))</f>
        <v/>
      </c>
      <c r="G1003" s="19" t="n"/>
      <c r="H1003" s="19" t="n"/>
    </row>
    <row r="1004">
      <c r="A1004" s="22" t="n"/>
      <c r="B1004" s="19" t="n"/>
      <c r="C1004" s="18">
        <f>IF(B1004="","",IFERROR(INDEX(Jugadores!$C$2:$C$501,MATCH(B1004,Jugadores!$A$2:$A$501,0)),"⚠ ID no existe"))</f>
        <v/>
      </c>
      <c r="D1004" s="19" t="n"/>
      <c r="E1004" s="19" t="n"/>
      <c r="F1004" s="16">
        <f>IF(OR(B1004="",D1004=""),"",IFERROR(INDEX('Tabla XP'!$B$2:$B$12,MATCH(D1004,'Tabla XP'!$A$2:$A$12,0))*IF(E1004="",1,E1004),0))</f>
        <v/>
      </c>
      <c r="G1004" s="19" t="n"/>
      <c r="H1004" s="19" t="n"/>
    </row>
    <row r="1005">
      <c r="A1005" s="22" t="n"/>
      <c r="B1005" s="19" t="n"/>
      <c r="C1005" s="18">
        <f>IF(B1005="","",IFERROR(INDEX(Jugadores!$C$2:$C$501,MATCH(B1005,Jugadores!$A$2:$A$501,0)),"⚠ ID no existe"))</f>
        <v/>
      </c>
      <c r="D1005" s="19" t="n"/>
      <c r="E1005" s="19" t="n"/>
      <c r="F1005" s="16">
        <f>IF(OR(B1005="",D1005=""),"",IFERROR(INDEX('Tabla XP'!$B$2:$B$12,MATCH(D1005,'Tabla XP'!$A$2:$A$12,0))*IF(E1005="",1,E1005),0))</f>
        <v/>
      </c>
      <c r="G1005" s="19" t="n"/>
      <c r="H1005" s="19" t="n"/>
    </row>
    <row r="1006">
      <c r="A1006" s="22" t="n"/>
      <c r="B1006" s="19" t="n"/>
      <c r="C1006" s="18">
        <f>IF(B1006="","",IFERROR(INDEX(Jugadores!$C$2:$C$501,MATCH(B1006,Jugadores!$A$2:$A$501,0)),"⚠ ID no existe"))</f>
        <v/>
      </c>
      <c r="D1006" s="19" t="n"/>
      <c r="E1006" s="19" t="n"/>
      <c r="F1006" s="16">
        <f>IF(OR(B1006="",D1006=""),"",IFERROR(INDEX('Tabla XP'!$B$2:$B$12,MATCH(D1006,'Tabla XP'!$A$2:$A$12,0))*IF(E1006="",1,E1006),0))</f>
        <v/>
      </c>
      <c r="G1006" s="19" t="n"/>
      <c r="H1006" s="19" t="n"/>
    </row>
    <row r="1007">
      <c r="A1007" s="22" t="n"/>
      <c r="B1007" s="19" t="n"/>
      <c r="C1007" s="18">
        <f>IF(B1007="","",IFERROR(INDEX(Jugadores!$C$2:$C$501,MATCH(B1007,Jugadores!$A$2:$A$501,0)),"⚠ ID no existe"))</f>
        <v/>
      </c>
      <c r="D1007" s="19" t="n"/>
      <c r="E1007" s="19" t="n"/>
      <c r="F1007" s="16">
        <f>IF(OR(B1007="",D1007=""),"",IFERROR(INDEX('Tabla XP'!$B$2:$B$12,MATCH(D1007,'Tabla XP'!$A$2:$A$12,0))*IF(E1007="",1,E1007),0))</f>
        <v/>
      </c>
      <c r="G1007" s="19" t="n"/>
      <c r="H1007" s="19" t="n"/>
    </row>
    <row r="1008">
      <c r="A1008" s="22" t="n"/>
      <c r="B1008" s="19" t="n"/>
      <c r="C1008" s="18">
        <f>IF(B1008="","",IFERROR(INDEX(Jugadores!$C$2:$C$501,MATCH(B1008,Jugadores!$A$2:$A$501,0)),"⚠ ID no existe"))</f>
        <v/>
      </c>
      <c r="D1008" s="19" t="n"/>
      <c r="E1008" s="19" t="n"/>
      <c r="F1008" s="16">
        <f>IF(OR(B1008="",D1008=""),"",IFERROR(INDEX('Tabla XP'!$B$2:$B$12,MATCH(D1008,'Tabla XP'!$A$2:$A$12,0))*IF(E1008="",1,E1008),0))</f>
        <v/>
      </c>
      <c r="G1008" s="19" t="n"/>
      <c r="H1008" s="19" t="n"/>
    </row>
    <row r="1009">
      <c r="A1009" s="22" t="n"/>
      <c r="B1009" s="19" t="n"/>
      <c r="C1009" s="18">
        <f>IF(B1009="","",IFERROR(INDEX(Jugadores!$C$2:$C$501,MATCH(B1009,Jugadores!$A$2:$A$501,0)),"⚠ ID no existe"))</f>
        <v/>
      </c>
      <c r="D1009" s="19" t="n"/>
      <c r="E1009" s="19" t="n"/>
      <c r="F1009" s="16">
        <f>IF(OR(B1009="",D1009=""),"",IFERROR(INDEX('Tabla XP'!$B$2:$B$12,MATCH(D1009,'Tabla XP'!$A$2:$A$12,0))*IF(E1009="",1,E1009),0))</f>
        <v/>
      </c>
      <c r="G1009" s="19" t="n"/>
      <c r="H1009" s="19" t="n"/>
    </row>
    <row r="1010">
      <c r="A1010" s="22" t="n"/>
      <c r="B1010" s="19" t="n"/>
      <c r="C1010" s="18">
        <f>IF(B1010="","",IFERROR(INDEX(Jugadores!$C$2:$C$501,MATCH(B1010,Jugadores!$A$2:$A$501,0)),"⚠ ID no existe"))</f>
        <v/>
      </c>
      <c r="D1010" s="19" t="n"/>
      <c r="E1010" s="19" t="n"/>
      <c r="F1010" s="16">
        <f>IF(OR(B1010="",D1010=""),"",IFERROR(INDEX('Tabla XP'!$B$2:$B$12,MATCH(D1010,'Tabla XP'!$A$2:$A$12,0))*IF(E1010="",1,E1010),0))</f>
        <v/>
      </c>
      <c r="G1010" s="19" t="n"/>
      <c r="H1010" s="19" t="n"/>
    </row>
    <row r="1011">
      <c r="A1011" s="22" t="n"/>
      <c r="B1011" s="19" t="n"/>
      <c r="C1011" s="18">
        <f>IF(B1011="","",IFERROR(INDEX(Jugadores!$C$2:$C$501,MATCH(B1011,Jugadores!$A$2:$A$501,0)),"⚠ ID no existe"))</f>
        <v/>
      </c>
      <c r="D1011" s="19" t="n"/>
      <c r="E1011" s="19" t="n"/>
      <c r="F1011" s="16">
        <f>IF(OR(B1011="",D1011=""),"",IFERROR(INDEX('Tabla XP'!$B$2:$B$12,MATCH(D1011,'Tabla XP'!$A$2:$A$12,0))*IF(E1011="",1,E1011),0))</f>
        <v/>
      </c>
      <c r="G1011" s="19" t="n"/>
      <c r="H1011" s="19" t="n"/>
    </row>
    <row r="1012">
      <c r="A1012" s="22" t="n"/>
      <c r="B1012" s="19" t="n"/>
      <c r="C1012" s="18">
        <f>IF(B1012="","",IFERROR(INDEX(Jugadores!$C$2:$C$501,MATCH(B1012,Jugadores!$A$2:$A$501,0)),"⚠ ID no existe"))</f>
        <v/>
      </c>
      <c r="D1012" s="19" t="n"/>
      <c r="E1012" s="19" t="n"/>
      <c r="F1012" s="16">
        <f>IF(OR(B1012="",D1012=""),"",IFERROR(INDEX('Tabla XP'!$B$2:$B$12,MATCH(D1012,'Tabla XP'!$A$2:$A$12,0))*IF(E1012="",1,E1012),0))</f>
        <v/>
      </c>
      <c r="G1012" s="19" t="n"/>
      <c r="H1012" s="19" t="n"/>
    </row>
    <row r="1013">
      <c r="A1013" s="22" t="n"/>
      <c r="B1013" s="19" t="n"/>
      <c r="C1013" s="18">
        <f>IF(B1013="","",IFERROR(INDEX(Jugadores!$C$2:$C$501,MATCH(B1013,Jugadores!$A$2:$A$501,0)),"⚠ ID no existe"))</f>
        <v/>
      </c>
      <c r="D1013" s="19" t="n"/>
      <c r="E1013" s="19" t="n"/>
      <c r="F1013" s="16">
        <f>IF(OR(B1013="",D1013=""),"",IFERROR(INDEX('Tabla XP'!$B$2:$B$12,MATCH(D1013,'Tabla XP'!$A$2:$A$12,0))*IF(E1013="",1,E1013),0))</f>
        <v/>
      </c>
      <c r="G1013" s="19" t="n"/>
      <c r="H1013" s="19" t="n"/>
    </row>
    <row r="1014">
      <c r="A1014" s="22" t="n"/>
      <c r="B1014" s="19" t="n"/>
      <c r="C1014" s="18">
        <f>IF(B1014="","",IFERROR(INDEX(Jugadores!$C$2:$C$501,MATCH(B1014,Jugadores!$A$2:$A$501,0)),"⚠ ID no existe"))</f>
        <v/>
      </c>
      <c r="D1014" s="19" t="n"/>
      <c r="E1014" s="19" t="n"/>
      <c r="F1014" s="16">
        <f>IF(OR(B1014="",D1014=""),"",IFERROR(INDEX('Tabla XP'!$B$2:$B$12,MATCH(D1014,'Tabla XP'!$A$2:$A$12,0))*IF(E1014="",1,E1014),0))</f>
        <v/>
      </c>
      <c r="G1014" s="19" t="n"/>
      <c r="H1014" s="19" t="n"/>
    </row>
    <row r="1015">
      <c r="A1015" s="22" t="n"/>
      <c r="B1015" s="19" t="n"/>
      <c r="C1015" s="18">
        <f>IF(B1015="","",IFERROR(INDEX(Jugadores!$C$2:$C$501,MATCH(B1015,Jugadores!$A$2:$A$501,0)),"⚠ ID no existe"))</f>
        <v/>
      </c>
      <c r="D1015" s="19" t="n"/>
      <c r="E1015" s="19" t="n"/>
      <c r="F1015" s="16">
        <f>IF(OR(B1015="",D1015=""),"",IFERROR(INDEX('Tabla XP'!$B$2:$B$12,MATCH(D1015,'Tabla XP'!$A$2:$A$12,0))*IF(E1015="",1,E1015),0))</f>
        <v/>
      </c>
      <c r="G1015" s="19" t="n"/>
      <c r="H1015" s="19" t="n"/>
    </row>
    <row r="1016">
      <c r="A1016" s="22" t="n"/>
      <c r="B1016" s="19" t="n"/>
      <c r="C1016" s="18">
        <f>IF(B1016="","",IFERROR(INDEX(Jugadores!$C$2:$C$501,MATCH(B1016,Jugadores!$A$2:$A$501,0)),"⚠ ID no existe"))</f>
        <v/>
      </c>
      <c r="D1016" s="19" t="n"/>
      <c r="E1016" s="19" t="n"/>
      <c r="F1016" s="16">
        <f>IF(OR(B1016="",D1016=""),"",IFERROR(INDEX('Tabla XP'!$B$2:$B$12,MATCH(D1016,'Tabla XP'!$A$2:$A$12,0))*IF(E1016="",1,E1016),0))</f>
        <v/>
      </c>
      <c r="G1016" s="19" t="n"/>
      <c r="H1016" s="19" t="n"/>
    </row>
    <row r="1017">
      <c r="A1017" s="22" t="n"/>
      <c r="B1017" s="19" t="n"/>
      <c r="C1017" s="18">
        <f>IF(B1017="","",IFERROR(INDEX(Jugadores!$C$2:$C$501,MATCH(B1017,Jugadores!$A$2:$A$501,0)),"⚠ ID no existe"))</f>
        <v/>
      </c>
      <c r="D1017" s="19" t="n"/>
      <c r="E1017" s="19" t="n"/>
      <c r="F1017" s="16">
        <f>IF(OR(B1017="",D1017=""),"",IFERROR(INDEX('Tabla XP'!$B$2:$B$12,MATCH(D1017,'Tabla XP'!$A$2:$A$12,0))*IF(E1017="",1,E1017),0))</f>
        <v/>
      </c>
      <c r="G1017" s="19" t="n"/>
      <c r="H1017" s="19" t="n"/>
    </row>
    <row r="1018">
      <c r="A1018" s="22" t="n"/>
      <c r="B1018" s="19" t="n"/>
      <c r="C1018" s="18">
        <f>IF(B1018="","",IFERROR(INDEX(Jugadores!$C$2:$C$501,MATCH(B1018,Jugadores!$A$2:$A$501,0)),"⚠ ID no existe"))</f>
        <v/>
      </c>
      <c r="D1018" s="19" t="n"/>
      <c r="E1018" s="19" t="n"/>
      <c r="F1018" s="16">
        <f>IF(OR(B1018="",D1018=""),"",IFERROR(INDEX('Tabla XP'!$B$2:$B$12,MATCH(D1018,'Tabla XP'!$A$2:$A$12,0))*IF(E1018="",1,E1018),0))</f>
        <v/>
      </c>
      <c r="G1018" s="19" t="n"/>
      <c r="H1018" s="19" t="n"/>
    </row>
    <row r="1019">
      <c r="A1019" s="22" t="n"/>
      <c r="B1019" s="19" t="n"/>
      <c r="C1019" s="18">
        <f>IF(B1019="","",IFERROR(INDEX(Jugadores!$C$2:$C$501,MATCH(B1019,Jugadores!$A$2:$A$501,0)),"⚠ ID no existe"))</f>
        <v/>
      </c>
      <c r="D1019" s="19" t="n"/>
      <c r="E1019" s="19" t="n"/>
      <c r="F1019" s="16">
        <f>IF(OR(B1019="",D1019=""),"",IFERROR(INDEX('Tabla XP'!$B$2:$B$12,MATCH(D1019,'Tabla XP'!$A$2:$A$12,0))*IF(E1019="",1,E1019),0))</f>
        <v/>
      </c>
      <c r="G1019" s="19" t="n"/>
      <c r="H1019" s="19" t="n"/>
    </row>
    <row r="1020">
      <c r="A1020" s="22" t="n"/>
      <c r="B1020" s="19" t="n"/>
      <c r="C1020" s="18">
        <f>IF(B1020="","",IFERROR(INDEX(Jugadores!$C$2:$C$501,MATCH(B1020,Jugadores!$A$2:$A$501,0)),"⚠ ID no existe"))</f>
        <v/>
      </c>
      <c r="D1020" s="19" t="n"/>
      <c r="E1020" s="19" t="n"/>
      <c r="F1020" s="16">
        <f>IF(OR(B1020="",D1020=""),"",IFERROR(INDEX('Tabla XP'!$B$2:$B$12,MATCH(D1020,'Tabla XP'!$A$2:$A$12,0))*IF(E1020="",1,E1020),0))</f>
        <v/>
      </c>
      <c r="G1020" s="19" t="n"/>
      <c r="H1020" s="19" t="n"/>
    </row>
    <row r="1021">
      <c r="A1021" s="22" t="n"/>
      <c r="B1021" s="19" t="n"/>
      <c r="C1021" s="18">
        <f>IF(B1021="","",IFERROR(INDEX(Jugadores!$C$2:$C$501,MATCH(B1021,Jugadores!$A$2:$A$501,0)),"⚠ ID no existe"))</f>
        <v/>
      </c>
      <c r="D1021" s="19" t="n"/>
      <c r="E1021" s="19" t="n"/>
      <c r="F1021" s="16">
        <f>IF(OR(B1021="",D1021=""),"",IFERROR(INDEX('Tabla XP'!$B$2:$B$12,MATCH(D1021,'Tabla XP'!$A$2:$A$12,0))*IF(E1021="",1,E1021),0))</f>
        <v/>
      </c>
      <c r="G1021" s="19" t="n"/>
      <c r="H1021" s="19" t="n"/>
    </row>
    <row r="1022">
      <c r="A1022" s="22" t="n"/>
      <c r="B1022" s="19" t="n"/>
      <c r="C1022" s="18">
        <f>IF(B1022="","",IFERROR(INDEX(Jugadores!$C$2:$C$501,MATCH(B1022,Jugadores!$A$2:$A$501,0)),"⚠ ID no existe"))</f>
        <v/>
      </c>
      <c r="D1022" s="19" t="n"/>
      <c r="E1022" s="19" t="n"/>
      <c r="F1022" s="16">
        <f>IF(OR(B1022="",D1022=""),"",IFERROR(INDEX('Tabla XP'!$B$2:$B$12,MATCH(D1022,'Tabla XP'!$A$2:$A$12,0))*IF(E1022="",1,E1022),0))</f>
        <v/>
      </c>
      <c r="G1022" s="19" t="n"/>
      <c r="H1022" s="19" t="n"/>
    </row>
    <row r="1023">
      <c r="A1023" s="22" t="n"/>
      <c r="B1023" s="19" t="n"/>
      <c r="C1023" s="18">
        <f>IF(B1023="","",IFERROR(INDEX(Jugadores!$C$2:$C$501,MATCH(B1023,Jugadores!$A$2:$A$501,0)),"⚠ ID no existe"))</f>
        <v/>
      </c>
      <c r="D1023" s="19" t="n"/>
      <c r="E1023" s="19" t="n"/>
      <c r="F1023" s="16">
        <f>IF(OR(B1023="",D1023=""),"",IFERROR(INDEX('Tabla XP'!$B$2:$B$12,MATCH(D1023,'Tabla XP'!$A$2:$A$12,0))*IF(E1023="",1,E1023),0))</f>
        <v/>
      </c>
      <c r="G1023" s="19" t="n"/>
      <c r="H1023" s="19" t="n"/>
    </row>
    <row r="1024">
      <c r="A1024" s="22" t="n"/>
      <c r="B1024" s="19" t="n"/>
      <c r="C1024" s="18">
        <f>IF(B1024="","",IFERROR(INDEX(Jugadores!$C$2:$C$501,MATCH(B1024,Jugadores!$A$2:$A$501,0)),"⚠ ID no existe"))</f>
        <v/>
      </c>
      <c r="D1024" s="19" t="n"/>
      <c r="E1024" s="19" t="n"/>
      <c r="F1024" s="16">
        <f>IF(OR(B1024="",D1024=""),"",IFERROR(INDEX('Tabla XP'!$B$2:$B$12,MATCH(D1024,'Tabla XP'!$A$2:$A$12,0))*IF(E1024="",1,E1024),0))</f>
        <v/>
      </c>
      <c r="G1024" s="19" t="n"/>
      <c r="H1024" s="19" t="n"/>
    </row>
    <row r="1025">
      <c r="A1025" s="22" t="n"/>
      <c r="B1025" s="19" t="n"/>
      <c r="C1025" s="18">
        <f>IF(B1025="","",IFERROR(INDEX(Jugadores!$C$2:$C$501,MATCH(B1025,Jugadores!$A$2:$A$501,0)),"⚠ ID no existe"))</f>
        <v/>
      </c>
      <c r="D1025" s="19" t="n"/>
      <c r="E1025" s="19" t="n"/>
      <c r="F1025" s="16">
        <f>IF(OR(B1025="",D1025=""),"",IFERROR(INDEX('Tabla XP'!$B$2:$B$12,MATCH(D1025,'Tabla XP'!$A$2:$A$12,0))*IF(E1025="",1,E1025),0))</f>
        <v/>
      </c>
      <c r="G1025" s="19" t="n"/>
      <c r="H1025" s="19" t="n"/>
    </row>
    <row r="1026">
      <c r="A1026" s="22" t="n"/>
      <c r="B1026" s="19" t="n"/>
      <c r="C1026" s="18">
        <f>IF(B1026="","",IFERROR(INDEX(Jugadores!$C$2:$C$501,MATCH(B1026,Jugadores!$A$2:$A$501,0)),"⚠ ID no existe"))</f>
        <v/>
      </c>
      <c r="D1026" s="19" t="n"/>
      <c r="E1026" s="19" t="n"/>
      <c r="F1026" s="16">
        <f>IF(OR(B1026="",D1026=""),"",IFERROR(INDEX('Tabla XP'!$B$2:$B$12,MATCH(D1026,'Tabla XP'!$A$2:$A$12,0))*IF(E1026="",1,E1026),0))</f>
        <v/>
      </c>
      <c r="G1026" s="19" t="n"/>
      <c r="H1026" s="19" t="n"/>
    </row>
    <row r="1027">
      <c r="A1027" s="22" t="n"/>
      <c r="B1027" s="19" t="n"/>
      <c r="C1027" s="18">
        <f>IF(B1027="","",IFERROR(INDEX(Jugadores!$C$2:$C$501,MATCH(B1027,Jugadores!$A$2:$A$501,0)),"⚠ ID no existe"))</f>
        <v/>
      </c>
      <c r="D1027" s="19" t="n"/>
      <c r="E1027" s="19" t="n"/>
      <c r="F1027" s="16">
        <f>IF(OR(B1027="",D1027=""),"",IFERROR(INDEX('Tabla XP'!$B$2:$B$12,MATCH(D1027,'Tabla XP'!$A$2:$A$12,0))*IF(E1027="",1,E1027),0))</f>
        <v/>
      </c>
      <c r="G1027" s="19" t="n"/>
      <c r="H1027" s="19" t="n"/>
    </row>
    <row r="1028">
      <c r="A1028" s="22" t="n"/>
      <c r="B1028" s="19" t="n"/>
      <c r="C1028" s="18">
        <f>IF(B1028="","",IFERROR(INDEX(Jugadores!$C$2:$C$501,MATCH(B1028,Jugadores!$A$2:$A$501,0)),"⚠ ID no existe"))</f>
        <v/>
      </c>
      <c r="D1028" s="19" t="n"/>
      <c r="E1028" s="19" t="n"/>
      <c r="F1028" s="16">
        <f>IF(OR(B1028="",D1028=""),"",IFERROR(INDEX('Tabla XP'!$B$2:$B$12,MATCH(D1028,'Tabla XP'!$A$2:$A$12,0))*IF(E1028="",1,E1028),0))</f>
        <v/>
      </c>
      <c r="G1028" s="19" t="n"/>
      <c r="H1028" s="19" t="n"/>
    </row>
    <row r="1029">
      <c r="A1029" s="22" t="n"/>
      <c r="B1029" s="19" t="n"/>
      <c r="C1029" s="18">
        <f>IF(B1029="","",IFERROR(INDEX(Jugadores!$C$2:$C$501,MATCH(B1029,Jugadores!$A$2:$A$501,0)),"⚠ ID no existe"))</f>
        <v/>
      </c>
      <c r="D1029" s="19" t="n"/>
      <c r="E1029" s="19" t="n"/>
      <c r="F1029" s="16">
        <f>IF(OR(B1029="",D1029=""),"",IFERROR(INDEX('Tabla XP'!$B$2:$B$12,MATCH(D1029,'Tabla XP'!$A$2:$A$12,0))*IF(E1029="",1,E1029),0))</f>
        <v/>
      </c>
      <c r="G1029" s="19" t="n"/>
      <c r="H1029" s="19" t="n"/>
    </row>
    <row r="1030">
      <c r="A1030" s="22" t="n"/>
      <c r="B1030" s="19" t="n"/>
      <c r="C1030" s="18">
        <f>IF(B1030="","",IFERROR(INDEX(Jugadores!$C$2:$C$501,MATCH(B1030,Jugadores!$A$2:$A$501,0)),"⚠ ID no existe"))</f>
        <v/>
      </c>
      <c r="D1030" s="19" t="n"/>
      <c r="E1030" s="19" t="n"/>
      <c r="F1030" s="16">
        <f>IF(OR(B1030="",D1030=""),"",IFERROR(INDEX('Tabla XP'!$B$2:$B$12,MATCH(D1030,'Tabla XP'!$A$2:$A$12,0))*IF(E1030="",1,E1030),0))</f>
        <v/>
      </c>
      <c r="G1030" s="19" t="n"/>
      <c r="H1030" s="19" t="n"/>
    </row>
    <row r="1031">
      <c r="A1031" s="22" t="n"/>
      <c r="B1031" s="19" t="n"/>
      <c r="C1031" s="18">
        <f>IF(B1031="","",IFERROR(INDEX(Jugadores!$C$2:$C$501,MATCH(B1031,Jugadores!$A$2:$A$501,0)),"⚠ ID no existe"))</f>
        <v/>
      </c>
      <c r="D1031" s="19" t="n"/>
      <c r="E1031" s="19" t="n"/>
      <c r="F1031" s="16">
        <f>IF(OR(B1031="",D1031=""),"",IFERROR(INDEX('Tabla XP'!$B$2:$B$12,MATCH(D1031,'Tabla XP'!$A$2:$A$12,0))*IF(E1031="",1,E1031),0))</f>
        <v/>
      </c>
      <c r="G1031" s="19" t="n"/>
      <c r="H1031" s="19" t="n"/>
    </row>
    <row r="1032">
      <c r="A1032" s="22" t="n"/>
      <c r="B1032" s="19" t="n"/>
      <c r="C1032" s="18">
        <f>IF(B1032="","",IFERROR(INDEX(Jugadores!$C$2:$C$501,MATCH(B1032,Jugadores!$A$2:$A$501,0)),"⚠ ID no existe"))</f>
        <v/>
      </c>
      <c r="D1032" s="19" t="n"/>
      <c r="E1032" s="19" t="n"/>
      <c r="F1032" s="16">
        <f>IF(OR(B1032="",D1032=""),"",IFERROR(INDEX('Tabla XP'!$B$2:$B$12,MATCH(D1032,'Tabla XP'!$A$2:$A$12,0))*IF(E1032="",1,E1032),0))</f>
        <v/>
      </c>
      <c r="G1032" s="19" t="n"/>
      <c r="H1032" s="19" t="n"/>
    </row>
    <row r="1033">
      <c r="A1033" s="22" t="n"/>
      <c r="B1033" s="19" t="n"/>
      <c r="C1033" s="18">
        <f>IF(B1033="","",IFERROR(INDEX(Jugadores!$C$2:$C$501,MATCH(B1033,Jugadores!$A$2:$A$501,0)),"⚠ ID no existe"))</f>
        <v/>
      </c>
      <c r="D1033" s="19" t="n"/>
      <c r="E1033" s="19" t="n"/>
      <c r="F1033" s="16">
        <f>IF(OR(B1033="",D1033=""),"",IFERROR(INDEX('Tabla XP'!$B$2:$B$12,MATCH(D1033,'Tabla XP'!$A$2:$A$12,0))*IF(E1033="",1,E1033),0))</f>
        <v/>
      </c>
      <c r="G1033" s="19" t="n"/>
      <c r="H1033" s="19" t="n"/>
    </row>
    <row r="1034">
      <c r="A1034" s="22" t="n"/>
      <c r="B1034" s="19" t="n"/>
      <c r="C1034" s="18">
        <f>IF(B1034="","",IFERROR(INDEX(Jugadores!$C$2:$C$501,MATCH(B1034,Jugadores!$A$2:$A$501,0)),"⚠ ID no existe"))</f>
        <v/>
      </c>
      <c r="D1034" s="19" t="n"/>
      <c r="E1034" s="19" t="n"/>
      <c r="F1034" s="16">
        <f>IF(OR(B1034="",D1034=""),"",IFERROR(INDEX('Tabla XP'!$B$2:$B$12,MATCH(D1034,'Tabla XP'!$A$2:$A$12,0))*IF(E1034="",1,E1034),0))</f>
        <v/>
      </c>
      <c r="G1034" s="19" t="n"/>
      <c r="H1034" s="19" t="n"/>
    </row>
    <row r="1035">
      <c r="A1035" s="22" t="n"/>
      <c r="B1035" s="19" t="n"/>
      <c r="C1035" s="18">
        <f>IF(B1035="","",IFERROR(INDEX(Jugadores!$C$2:$C$501,MATCH(B1035,Jugadores!$A$2:$A$501,0)),"⚠ ID no existe"))</f>
        <v/>
      </c>
      <c r="D1035" s="19" t="n"/>
      <c r="E1035" s="19" t="n"/>
      <c r="F1035" s="16">
        <f>IF(OR(B1035="",D1035=""),"",IFERROR(INDEX('Tabla XP'!$B$2:$B$12,MATCH(D1035,'Tabla XP'!$A$2:$A$12,0))*IF(E1035="",1,E1035),0))</f>
        <v/>
      </c>
      <c r="G1035" s="19" t="n"/>
      <c r="H1035" s="19" t="n"/>
    </row>
    <row r="1036">
      <c r="A1036" s="22" t="n"/>
      <c r="B1036" s="19" t="n"/>
      <c r="C1036" s="18">
        <f>IF(B1036="","",IFERROR(INDEX(Jugadores!$C$2:$C$501,MATCH(B1036,Jugadores!$A$2:$A$501,0)),"⚠ ID no existe"))</f>
        <v/>
      </c>
      <c r="D1036" s="19" t="n"/>
      <c r="E1036" s="19" t="n"/>
      <c r="F1036" s="16">
        <f>IF(OR(B1036="",D1036=""),"",IFERROR(INDEX('Tabla XP'!$B$2:$B$12,MATCH(D1036,'Tabla XP'!$A$2:$A$12,0))*IF(E1036="",1,E1036),0))</f>
        <v/>
      </c>
      <c r="G1036" s="19" t="n"/>
      <c r="H1036" s="19" t="n"/>
    </row>
    <row r="1037">
      <c r="A1037" s="22" t="n"/>
      <c r="B1037" s="19" t="n"/>
      <c r="C1037" s="18">
        <f>IF(B1037="","",IFERROR(INDEX(Jugadores!$C$2:$C$501,MATCH(B1037,Jugadores!$A$2:$A$501,0)),"⚠ ID no existe"))</f>
        <v/>
      </c>
      <c r="D1037" s="19" t="n"/>
      <c r="E1037" s="19" t="n"/>
      <c r="F1037" s="16">
        <f>IF(OR(B1037="",D1037=""),"",IFERROR(INDEX('Tabla XP'!$B$2:$B$12,MATCH(D1037,'Tabla XP'!$A$2:$A$12,0))*IF(E1037="",1,E1037),0))</f>
        <v/>
      </c>
      <c r="G1037" s="19" t="n"/>
      <c r="H1037" s="19" t="n"/>
    </row>
    <row r="1038">
      <c r="A1038" s="22" t="n"/>
      <c r="B1038" s="19" t="n"/>
      <c r="C1038" s="18">
        <f>IF(B1038="","",IFERROR(INDEX(Jugadores!$C$2:$C$501,MATCH(B1038,Jugadores!$A$2:$A$501,0)),"⚠ ID no existe"))</f>
        <v/>
      </c>
      <c r="D1038" s="19" t="n"/>
      <c r="E1038" s="19" t="n"/>
      <c r="F1038" s="16">
        <f>IF(OR(B1038="",D1038=""),"",IFERROR(INDEX('Tabla XP'!$B$2:$B$12,MATCH(D1038,'Tabla XP'!$A$2:$A$12,0))*IF(E1038="",1,E1038),0))</f>
        <v/>
      </c>
      <c r="G1038" s="19" t="n"/>
      <c r="H1038" s="19" t="n"/>
    </row>
    <row r="1039">
      <c r="A1039" s="22" t="n"/>
      <c r="B1039" s="19" t="n"/>
      <c r="C1039" s="18">
        <f>IF(B1039="","",IFERROR(INDEX(Jugadores!$C$2:$C$501,MATCH(B1039,Jugadores!$A$2:$A$501,0)),"⚠ ID no existe"))</f>
        <v/>
      </c>
      <c r="D1039" s="19" t="n"/>
      <c r="E1039" s="19" t="n"/>
      <c r="F1039" s="16">
        <f>IF(OR(B1039="",D1039=""),"",IFERROR(INDEX('Tabla XP'!$B$2:$B$12,MATCH(D1039,'Tabla XP'!$A$2:$A$12,0))*IF(E1039="",1,E1039),0))</f>
        <v/>
      </c>
      <c r="G1039" s="19" t="n"/>
      <c r="H1039" s="19" t="n"/>
    </row>
    <row r="1040">
      <c r="A1040" s="22" t="n"/>
      <c r="B1040" s="19" t="n"/>
      <c r="C1040" s="18">
        <f>IF(B1040="","",IFERROR(INDEX(Jugadores!$C$2:$C$501,MATCH(B1040,Jugadores!$A$2:$A$501,0)),"⚠ ID no existe"))</f>
        <v/>
      </c>
      <c r="D1040" s="19" t="n"/>
      <c r="E1040" s="19" t="n"/>
      <c r="F1040" s="16">
        <f>IF(OR(B1040="",D1040=""),"",IFERROR(INDEX('Tabla XP'!$B$2:$B$12,MATCH(D1040,'Tabla XP'!$A$2:$A$12,0))*IF(E1040="",1,E1040),0))</f>
        <v/>
      </c>
      <c r="G1040" s="19" t="n"/>
      <c r="H1040" s="19" t="n"/>
    </row>
    <row r="1041">
      <c r="A1041" s="22" t="n"/>
      <c r="B1041" s="19" t="n"/>
      <c r="C1041" s="18">
        <f>IF(B1041="","",IFERROR(INDEX(Jugadores!$C$2:$C$501,MATCH(B1041,Jugadores!$A$2:$A$501,0)),"⚠ ID no existe"))</f>
        <v/>
      </c>
      <c r="D1041" s="19" t="n"/>
      <c r="E1041" s="19" t="n"/>
      <c r="F1041" s="16">
        <f>IF(OR(B1041="",D1041=""),"",IFERROR(INDEX('Tabla XP'!$B$2:$B$12,MATCH(D1041,'Tabla XP'!$A$2:$A$12,0))*IF(E1041="",1,E1041),0))</f>
        <v/>
      </c>
      <c r="G1041" s="19" t="n"/>
      <c r="H1041" s="19" t="n"/>
    </row>
    <row r="1042">
      <c r="A1042" s="22" t="n"/>
      <c r="B1042" s="19" t="n"/>
      <c r="C1042" s="18">
        <f>IF(B1042="","",IFERROR(INDEX(Jugadores!$C$2:$C$501,MATCH(B1042,Jugadores!$A$2:$A$501,0)),"⚠ ID no existe"))</f>
        <v/>
      </c>
      <c r="D1042" s="19" t="n"/>
      <c r="E1042" s="19" t="n"/>
      <c r="F1042" s="16">
        <f>IF(OR(B1042="",D1042=""),"",IFERROR(INDEX('Tabla XP'!$B$2:$B$12,MATCH(D1042,'Tabla XP'!$A$2:$A$12,0))*IF(E1042="",1,E1042),0))</f>
        <v/>
      </c>
      <c r="G1042" s="19" t="n"/>
      <c r="H1042" s="19" t="n"/>
    </row>
    <row r="1043">
      <c r="A1043" s="22" t="n"/>
      <c r="B1043" s="19" t="n"/>
      <c r="C1043" s="18">
        <f>IF(B1043="","",IFERROR(INDEX(Jugadores!$C$2:$C$501,MATCH(B1043,Jugadores!$A$2:$A$501,0)),"⚠ ID no existe"))</f>
        <v/>
      </c>
      <c r="D1043" s="19" t="n"/>
      <c r="E1043" s="19" t="n"/>
      <c r="F1043" s="16">
        <f>IF(OR(B1043="",D1043=""),"",IFERROR(INDEX('Tabla XP'!$B$2:$B$12,MATCH(D1043,'Tabla XP'!$A$2:$A$12,0))*IF(E1043="",1,E1043),0))</f>
        <v/>
      </c>
      <c r="G1043" s="19" t="n"/>
      <c r="H1043" s="19" t="n"/>
    </row>
    <row r="1044">
      <c r="A1044" s="22" t="n"/>
      <c r="B1044" s="19" t="n"/>
      <c r="C1044" s="18">
        <f>IF(B1044="","",IFERROR(INDEX(Jugadores!$C$2:$C$501,MATCH(B1044,Jugadores!$A$2:$A$501,0)),"⚠ ID no existe"))</f>
        <v/>
      </c>
      <c r="D1044" s="19" t="n"/>
      <c r="E1044" s="19" t="n"/>
      <c r="F1044" s="16">
        <f>IF(OR(B1044="",D1044=""),"",IFERROR(INDEX('Tabla XP'!$B$2:$B$12,MATCH(D1044,'Tabla XP'!$A$2:$A$12,0))*IF(E1044="",1,E1044),0))</f>
        <v/>
      </c>
      <c r="G1044" s="19" t="n"/>
      <c r="H1044" s="19" t="n"/>
    </row>
    <row r="1045">
      <c r="A1045" s="22" t="n"/>
      <c r="B1045" s="19" t="n"/>
      <c r="C1045" s="18">
        <f>IF(B1045="","",IFERROR(INDEX(Jugadores!$C$2:$C$501,MATCH(B1045,Jugadores!$A$2:$A$501,0)),"⚠ ID no existe"))</f>
        <v/>
      </c>
      <c r="D1045" s="19" t="n"/>
      <c r="E1045" s="19" t="n"/>
      <c r="F1045" s="16">
        <f>IF(OR(B1045="",D1045=""),"",IFERROR(INDEX('Tabla XP'!$B$2:$B$12,MATCH(D1045,'Tabla XP'!$A$2:$A$12,0))*IF(E1045="",1,E1045),0))</f>
        <v/>
      </c>
      <c r="G1045" s="19" t="n"/>
      <c r="H1045" s="19" t="n"/>
    </row>
    <row r="1046">
      <c r="A1046" s="22" t="n"/>
      <c r="B1046" s="19" t="n"/>
      <c r="C1046" s="18">
        <f>IF(B1046="","",IFERROR(INDEX(Jugadores!$C$2:$C$501,MATCH(B1046,Jugadores!$A$2:$A$501,0)),"⚠ ID no existe"))</f>
        <v/>
      </c>
      <c r="D1046" s="19" t="n"/>
      <c r="E1046" s="19" t="n"/>
      <c r="F1046" s="16">
        <f>IF(OR(B1046="",D1046=""),"",IFERROR(INDEX('Tabla XP'!$B$2:$B$12,MATCH(D1046,'Tabla XP'!$A$2:$A$12,0))*IF(E1046="",1,E1046),0))</f>
        <v/>
      </c>
      <c r="G1046" s="19" t="n"/>
      <c r="H1046" s="19" t="n"/>
    </row>
    <row r="1047">
      <c r="A1047" s="22" t="n"/>
      <c r="B1047" s="19" t="n"/>
      <c r="C1047" s="18">
        <f>IF(B1047="","",IFERROR(INDEX(Jugadores!$C$2:$C$501,MATCH(B1047,Jugadores!$A$2:$A$501,0)),"⚠ ID no existe"))</f>
        <v/>
      </c>
      <c r="D1047" s="19" t="n"/>
      <c r="E1047" s="19" t="n"/>
      <c r="F1047" s="16">
        <f>IF(OR(B1047="",D1047=""),"",IFERROR(INDEX('Tabla XP'!$B$2:$B$12,MATCH(D1047,'Tabla XP'!$A$2:$A$12,0))*IF(E1047="",1,E1047),0))</f>
        <v/>
      </c>
      <c r="G1047" s="19" t="n"/>
      <c r="H1047" s="19" t="n"/>
    </row>
    <row r="1048">
      <c r="A1048" s="22" t="n"/>
      <c r="B1048" s="19" t="n"/>
      <c r="C1048" s="18">
        <f>IF(B1048="","",IFERROR(INDEX(Jugadores!$C$2:$C$501,MATCH(B1048,Jugadores!$A$2:$A$501,0)),"⚠ ID no existe"))</f>
        <v/>
      </c>
      <c r="D1048" s="19" t="n"/>
      <c r="E1048" s="19" t="n"/>
      <c r="F1048" s="16">
        <f>IF(OR(B1048="",D1048=""),"",IFERROR(INDEX('Tabla XP'!$B$2:$B$12,MATCH(D1048,'Tabla XP'!$A$2:$A$12,0))*IF(E1048="",1,E1048),0))</f>
        <v/>
      </c>
      <c r="G1048" s="19" t="n"/>
      <c r="H1048" s="19" t="n"/>
    </row>
    <row r="1049">
      <c r="A1049" s="22" t="n"/>
      <c r="B1049" s="19" t="n"/>
      <c r="C1049" s="18">
        <f>IF(B1049="","",IFERROR(INDEX(Jugadores!$C$2:$C$501,MATCH(B1049,Jugadores!$A$2:$A$501,0)),"⚠ ID no existe"))</f>
        <v/>
      </c>
      <c r="D1049" s="19" t="n"/>
      <c r="E1049" s="19" t="n"/>
      <c r="F1049" s="16">
        <f>IF(OR(B1049="",D1049=""),"",IFERROR(INDEX('Tabla XP'!$B$2:$B$12,MATCH(D1049,'Tabla XP'!$A$2:$A$12,0))*IF(E1049="",1,E1049),0))</f>
        <v/>
      </c>
      <c r="G1049" s="19" t="n"/>
      <c r="H1049" s="19" t="n"/>
    </row>
    <row r="1050">
      <c r="A1050" s="22" t="n"/>
      <c r="B1050" s="19" t="n"/>
      <c r="C1050" s="18">
        <f>IF(B1050="","",IFERROR(INDEX(Jugadores!$C$2:$C$501,MATCH(B1050,Jugadores!$A$2:$A$501,0)),"⚠ ID no existe"))</f>
        <v/>
      </c>
      <c r="D1050" s="19" t="n"/>
      <c r="E1050" s="19" t="n"/>
      <c r="F1050" s="16">
        <f>IF(OR(B1050="",D1050=""),"",IFERROR(INDEX('Tabla XP'!$B$2:$B$12,MATCH(D1050,'Tabla XP'!$A$2:$A$12,0))*IF(E1050="",1,E1050),0))</f>
        <v/>
      </c>
      <c r="G1050" s="19" t="n"/>
      <c r="H1050" s="19" t="n"/>
    </row>
    <row r="1051">
      <c r="A1051" s="22" t="n"/>
      <c r="B1051" s="19" t="n"/>
      <c r="C1051" s="18">
        <f>IF(B1051="","",IFERROR(INDEX(Jugadores!$C$2:$C$501,MATCH(B1051,Jugadores!$A$2:$A$501,0)),"⚠ ID no existe"))</f>
        <v/>
      </c>
      <c r="D1051" s="19" t="n"/>
      <c r="E1051" s="19" t="n"/>
      <c r="F1051" s="16">
        <f>IF(OR(B1051="",D1051=""),"",IFERROR(INDEX('Tabla XP'!$B$2:$B$12,MATCH(D1051,'Tabla XP'!$A$2:$A$12,0))*IF(E1051="",1,E1051),0))</f>
        <v/>
      </c>
      <c r="G1051" s="19" t="n"/>
      <c r="H1051" s="19" t="n"/>
    </row>
    <row r="1052">
      <c r="A1052" s="22" t="n"/>
      <c r="B1052" s="19" t="n"/>
      <c r="C1052" s="18">
        <f>IF(B1052="","",IFERROR(INDEX(Jugadores!$C$2:$C$501,MATCH(B1052,Jugadores!$A$2:$A$501,0)),"⚠ ID no existe"))</f>
        <v/>
      </c>
      <c r="D1052" s="19" t="n"/>
      <c r="E1052" s="19" t="n"/>
      <c r="F1052" s="16">
        <f>IF(OR(B1052="",D1052=""),"",IFERROR(INDEX('Tabla XP'!$B$2:$B$12,MATCH(D1052,'Tabla XP'!$A$2:$A$12,0))*IF(E1052="",1,E1052),0))</f>
        <v/>
      </c>
      <c r="G1052" s="19" t="n"/>
      <c r="H1052" s="19" t="n"/>
    </row>
    <row r="1053">
      <c r="A1053" s="22" t="n"/>
      <c r="B1053" s="19" t="n"/>
      <c r="C1053" s="18">
        <f>IF(B1053="","",IFERROR(INDEX(Jugadores!$C$2:$C$501,MATCH(B1053,Jugadores!$A$2:$A$501,0)),"⚠ ID no existe"))</f>
        <v/>
      </c>
      <c r="D1053" s="19" t="n"/>
      <c r="E1053" s="19" t="n"/>
      <c r="F1053" s="16">
        <f>IF(OR(B1053="",D1053=""),"",IFERROR(INDEX('Tabla XP'!$B$2:$B$12,MATCH(D1053,'Tabla XP'!$A$2:$A$12,0))*IF(E1053="",1,E1053),0))</f>
        <v/>
      </c>
      <c r="G1053" s="19" t="n"/>
      <c r="H1053" s="19" t="n"/>
    </row>
    <row r="1054">
      <c r="A1054" s="22" t="n"/>
      <c r="B1054" s="19" t="n"/>
      <c r="C1054" s="18">
        <f>IF(B1054="","",IFERROR(INDEX(Jugadores!$C$2:$C$501,MATCH(B1054,Jugadores!$A$2:$A$501,0)),"⚠ ID no existe"))</f>
        <v/>
      </c>
      <c r="D1054" s="19" t="n"/>
      <c r="E1054" s="19" t="n"/>
      <c r="F1054" s="16">
        <f>IF(OR(B1054="",D1054=""),"",IFERROR(INDEX('Tabla XP'!$B$2:$B$12,MATCH(D1054,'Tabla XP'!$A$2:$A$12,0))*IF(E1054="",1,E1054),0))</f>
        <v/>
      </c>
      <c r="G1054" s="19" t="n"/>
      <c r="H1054" s="19" t="n"/>
    </row>
    <row r="1055">
      <c r="A1055" s="22" t="n"/>
      <c r="B1055" s="19" t="n"/>
      <c r="C1055" s="18">
        <f>IF(B1055="","",IFERROR(INDEX(Jugadores!$C$2:$C$501,MATCH(B1055,Jugadores!$A$2:$A$501,0)),"⚠ ID no existe"))</f>
        <v/>
      </c>
      <c r="D1055" s="19" t="n"/>
      <c r="E1055" s="19" t="n"/>
      <c r="F1055" s="16">
        <f>IF(OR(B1055="",D1055=""),"",IFERROR(INDEX('Tabla XP'!$B$2:$B$12,MATCH(D1055,'Tabla XP'!$A$2:$A$12,0))*IF(E1055="",1,E1055),0))</f>
        <v/>
      </c>
      <c r="G1055" s="19" t="n"/>
      <c r="H1055" s="19" t="n"/>
    </row>
    <row r="1056">
      <c r="A1056" s="22" t="n"/>
      <c r="B1056" s="19" t="n"/>
      <c r="C1056" s="18">
        <f>IF(B1056="","",IFERROR(INDEX(Jugadores!$C$2:$C$501,MATCH(B1056,Jugadores!$A$2:$A$501,0)),"⚠ ID no existe"))</f>
        <v/>
      </c>
      <c r="D1056" s="19" t="n"/>
      <c r="E1056" s="19" t="n"/>
      <c r="F1056" s="16">
        <f>IF(OR(B1056="",D1056=""),"",IFERROR(INDEX('Tabla XP'!$B$2:$B$12,MATCH(D1056,'Tabla XP'!$A$2:$A$12,0))*IF(E1056="",1,E1056),0))</f>
        <v/>
      </c>
      <c r="G1056" s="19" t="n"/>
      <c r="H1056" s="19" t="n"/>
    </row>
    <row r="1057">
      <c r="A1057" s="22" t="n"/>
      <c r="B1057" s="19" t="n"/>
      <c r="C1057" s="18">
        <f>IF(B1057="","",IFERROR(INDEX(Jugadores!$C$2:$C$501,MATCH(B1057,Jugadores!$A$2:$A$501,0)),"⚠ ID no existe"))</f>
        <v/>
      </c>
      <c r="D1057" s="19" t="n"/>
      <c r="E1057" s="19" t="n"/>
      <c r="F1057" s="16">
        <f>IF(OR(B1057="",D1057=""),"",IFERROR(INDEX('Tabla XP'!$B$2:$B$12,MATCH(D1057,'Tabla XP'!$A$2:$A$12,0))*IF(E1057="",1,E1057),0))</f>
        <v/>
      </c>
      <c r="G1057" s="19" t="n"/>
      <c r="H1057" s="19" t="n"/>
    </row>
    <row r="1058">
      <c r="A1058" s="22" t="n"/>
      <c r="B1058" s="19" t="n"/>
      <c r="C1058" s="18">
        <f>IF(B1058="","",IFERROR(INDEX(Jugadores!$C$2:$C$501,MATCH(B1058,Jugadores!$A$2:$A$501,0)),"⚠ ID no existe"))</f>
        <v/>
      </c>
      <c r="D1058" s="19" t="n"/>
      <c r="E1058" s="19" t="n"/>
      <c r="F1058" s="16">
        <f>IF(OR(B1058="",D1058=""),"",IFERROR(INDEX('Tabla XP'!$B$2:$B$12,MATCH(D1058,'Tabla XP'!$A$2:$A$12,0))*IF(E1058="",1,E1058),0))</f>
        <v/>
      </c>
      <c r="G1058" s="19" t="n"/>
      <c r="H1058" s="19" t="n"/>
    </row>
    <row r="1059">
      <c r="A1059" s="22" t="n"/>
      <c r="B1059" s="19" t="n"/>
      <c r="C1059" s="18">
        <f>IF(B1059="","",IFERROR(INDEX(Jugadores!$C$2:$C$501,MATCH(B1059,Jugadores!$A$2:$A$501,0)),"⚠ ID no existe"))</f>
        <v/>
      </c>
      <c r="D1059" s="19" t="n"/>
      <c r="E1059" s="19" t="n"/>
      <c r="F1059" s="16">
        <f>IF(OR(B1059="",D1059=""),"",IFERROR(INDEX('Tabla XP'!$B$2:$B$12,MATCH(D1059,'Tabla XP'!$A$2:$A$12,0))*IF(E1059="",1,E1059),0))</f>
        <v/>
      </c>
      <c r="G1059" s="19" t="n"/>
      <c r="H1059" s="19" t="n"/>
    </row>
    <row r="1060">
      <c r="A1060" s="22" t="n"/>
      <c r="B1060" s="19" t="n"/>
      <c r="C1060" s="18">
        <f>IF(B1060="","",IFERROR(INDEX(Jugadores!$C$2:$C$501,MATCH(B1060,Jugadores!$A$2:$A$501,0)),"⚠ ID no existe"))</f>
        <v/>
      </c>
      <c r="D1060" s="19" t="n"/>
      <c r="E1060" s="19" t="n"/>
      <c r="F1060" s="16">
        <f>IF(OR(B1060="",D1060=""),"",IFERROR(INDEX('Tabla XP'!$B$2:$B$12,MATCH(D1060,'Tabla XP'!$A$2:$A$12,0))*IF(E1060="",1,E1060),0))</f>
        <v/>
      </c>
      <c r="G1060" s="19" t="n"/>
      <c r="H1060" s="19" t="n"/>
    </row>
    <row r="1061">
      <c r="A1061" s="22" t="n"/>
      <c r="B1061" s="19" t="n"/>
      <c r="C1061" s="18">
        <f>IF(B1061="","",IFERROR(INDEX(Jugadores!$C$2:$C$501,MATCH(B1061,Jugadores!$A$2:$A$501,0)),"⚠ ID no existe"))</f>
        <v/>
      </c>
      <c r="D1061" s="19" t="n"/>
      <c r="E1061" s="19" t="n"/>
      <c r="F1061" s="16">
        <f>IF(OR(B1061="",D1061=""),"",IFERROR(INDEX('Tabla XP'!$B$2:$B$12,MATCH(D1061,'Tabla XP'!$A$2:$A$12,0))*IF(E1061="",1,E1061),0))</f>
        <v/>
      </c>
      <c r="G1061" s="19" t="n"/>
      <c r="H1061" s="19" t="n"/>
    </row>
    <row r="1062">
      <c r="A1062" s="22" t="n"/>
      <c r="B1062" s="19" t="n"/>
      <c r="C1062" s="18">
        <f>IF(B1062="","",IFERROR(INDEX(Jugadores!$C$2:$C$501,MATCH(B1062,Jugadores!$A$2:$A$501,0)),"⚠ ID no existe"))</f>
        <v/>
      </c>
      <c r="D1062" s="19" t="n"/>
      <c r="E1062" s="19" t="n"/>
      <c r="F1062" s="16">
        <f>IF(OR(B1062="",D1062=""),"",IFERROR(INDEX('Tabla XP'!$B$2:$B$12,MATCH(D1062,'Tabla XP'!$A$2:$A$12,0))*IF(E1062="",1,E1062),0))</f>
        <v/>
      </c>
      <c r="G1062" s="19" t="n"/>
      <c r="H1062" s="19" t="n"/>
    </row>
    <row r="1063">
      <c r="A1063" s="22" t="n"/>
      <c r="B1063" s="19" t="n"/>
      <c r="C1063" s="18">
        <f>IF(B1063="","",IFERROR(INDEX(Jugadores!$C$2:$C$501,MATCH(B1063,Jugadores!$A$2:$A$501,0)),"⚠ ID no existe"))</f>
        <v/>
      </c>
      <c r="D1063" s="19" t="n"/>
      <c r="E1063" s="19" t="n"/>
      <c r="F1063" s="16">
        <f>IF(OR(B1063="",D1063=""),"",IFERROR(INDEX('Tabla XP'!$B$2:$B$12,MATCH(D1063,'Tabla XP'!$A$2:$A$12,0))*IF(E1063="",1,E1063),0))</f>
        <v/>
      </c>
      <c r="G1063" s="19" t="n"/>
      <c r="H1063" s="19" t="n"/>
    </row>
    <row r="1064">
      <c r="A1064" s="22" t="n"/>
      <c r="B1064" s="19" t="n"/>
      <c r="C1064" s="18">
        <f>IF(B1064="","",IFERROR(INDEX(Jugadores!$C$2:$C$501,MATCH(B1064,Jugadores!$A$2:$A$501,0)),"⚠ ID no existe"))</f>
        <v/>
      </c>
      <c r="D1064" s="19" t="n"/>
      <c r="E1064" s="19" t="n"/>
      <c r="F1064" s="16">
        <f>IF(OR(B1064="",D1064=""),"",IFERROR(INDEX('Tabla XP'!$B$2:$B$12,MATCH(D1064,'Tabla XP'!$A$2:$A$12,0))*IF(E1064="",1,E1064),0))</f>
        <v/>
      </c>
      <c r="G1064" s="19" t="n"/>
      <c r="H1064" s="19" t="n"/>
    </row>
    <row r="1065">
      <c r="A1065" s="22" t="n"/>
      <c r="B1065" s="19" t="n"/>
      <c r="C1065" s="18">
        <f>IF(B1065="","",IFERROR(INDEX(Jugadores!$C$2:$C$501,MATCH(B1065,Jugadores!$A$2:$A$501,0)),"⚠ ID no existe"))</f>
        <v/>
      </c>
      <c r="D1065" s="19" t="n"/>
      <c r="E1065" s="19" t="n"/>
      <c r="F1065" s="16">
        <f>IF(OR(B1065="",D1065=""),"",IFERROR(INDEX('Tabla XP'!$B$2:$B$12,MATCH(D1065,'Tabla XP'!$A$2:$A$12,0))*IF(E1065="",1,E1065),0))</f>
        <v/>
      </c>
      <c r="G1065" s="19" t="n"/>
      <c r="H1065" s="19" t="n"/>
    </row>
    <row r="1066">
      <c r="A1066" s="22" t="n"/>
      <c r="B1066" s="19" t="n"/>
      <c r="C1066" s="18">
        <f>IF(B1066="","",IFERROR(INDEX(Jugadores!$C$2:$C$501,MATCH(B1066,Jugadores!$A$2:$A$501,0)),"⚠ ID no existe"))</f>
        <v/>
      </c>
      <c r="D1066" s="19" t="n"/>
      <c r="E1066" s="19" t="n"/>
      <c r="F1066" s="16">
        <f>IF(OR(B1066="",D1066=""),"",IFERROR(INDEX('Tabla XP'!$B$2:$B$12,MATCH(D1066,'Tabla XP'!$A$2:$A$12,0))*IF(E1066="",1,E1066),0))</f>
        <v/>
      </c>
      <c r="G1066" s="19" t="n"/>
      <c r="H1066" s="19" t="n"/>
    </row>
    <row r="1067">
      <c r="A1067" s="22" t="n"/>
      <c r="B1067" s="19" t="n"/>
      <c r="C1067" s="18">
        <f>IF(B1067="","",IFERROR(INDEX(Jugadores!$C$2:$C$501,MATCH(B1067,Jugadores!$A$2:$A$501,0)),"⚠ ID no existe"))</f>
        <v/>
      </c>
      <c r="D1067" s="19" t="n"/>
      <c r="E1067" s="19" t="n"/>
      <c r="F1067" s="16">
        <f>IF(OR(B1067="",D1067=""),"",IFERROR(INDEX('Tabla XP'!$B$2:$B$12,MATCH(D1067,'Tabla XP'!$A$2:$A$12,0))*IF(E1067="",1,E1067),0))</f>
        <v/>
      </c>
      <c r="G1067" s="19" t="n"/>
      <c r="H1067" s="19" t="n"/>
    </row>
    <row r="1068">
      <c r="A1068" s="22" t="n"/>
      <c r="B1068" s="19" t="n"/>
      <c r="C1068" s="18">
        <f>IF(B1068="","",IFERROR(INDEX(Jugadores!$C$2:$C$501,MATCH(B1068,Jugadores!$A$2:$A$501,0)),"⚠ ID no existe"))</f>
        <v/>
      </c>
      <c r="D1068" s="19" t="n"/>
      <c r="E1068" s="19" t="n"/>
      <c r="F1068" s="16">
        <f>IF(OR(B1068="",D1068=""),"",IFERROR(INDEX('Tabla XP'!$B$2:$B$12,MATCH(D1068,'Tabla XP'!$A$2:$A$12,0))*IF(E1068="",1,E1068),0))</f>
        <v/>
      </c>
      <c r="G1068" s="19" t="n"/>
      <c r="H1068" s="19" t="n"/>
    </row>
    <row r="1069">
      <c r="A1069" s="22" t="n"/>
      <c r="B1069" s="19" t="n"/>
      <c r="C1069" s="18">
        <f>IF(B1069="","",IFERROR(INDEX(Jugadores!$C$2:$C$501,MATCH(B1069,Jugadores!$A$2:$A$501,0)),"⚠ ID no existe"))</f>
        <v/>
      </c>
      <c r="D1069" s="19" t="n"/>
      <c r="E1069" s="19" t="n"/>
      <c r="F1069" s="16">
        <f>IF(OR(B1069="",D1069=""),"",IFERROR(INDEX('Tabla XP'!$B$2:$B$12,MATCH(D1069,'Tabla XP'!$A$2:$A$12,0))*IF(E1069="",1,E1069),0))</f>
        <v/>
      </c>
      <c r="G1069" s="19" t="n"/>
      <c r="H1069" s="19" t="n"/>
    </row>
    <row r="1070">
      <c r="A1070" s="22" t="n"/>
      <c r="B1070" s="19" t="n"/>
      <c r="C1070" s="18">
        <f>IF(B1070="","",IFERROR(INDEX(Jugadores!$C$2:$C$501,MATCH(B1070,Jugadores!$A$2:$A$501,0)),"⚠ ID no existe"))</f>
        <v/>
      </c>
      <c r="D1070" s="19" t="n"/>
      <c r="E1070" s="19" t="n"/>
      <c r="F1070" s="16">
        <f>IF(OR(B1070="",D1070=""),"",IFERROR(INDEX('Tabla XP'!$B$2:$B$12,MATCH(D1070,'Tabla XP'!$A$2:$A$12,0))*IF(E1070="",1,E1070),0))</f>
        <v/>
      </c>
      <c r="G1070" s="19" t="n"/>
      <c r="H1070" s="19" t="n"/>
    </row>
    <row r="1071">
      <c r="A1071" s="22" t="n"/>
      <c r="B1071" s="19" t="n"/>
      <c r="C1071" s="18">
        <f>IF(B1071="","",IFERROR(INDEX(Jugadores!$C$2:$C$501,MATCH(B1071,Jugadores!$A$2:$A$501,0)),"⚠ ID no existe"))</f>
        <v/>
      </c>
      <c r="D1071" s="19" t="n"/>
      <c r="E1071" s="19" t="n"/>
      <c r="F1071" s="16">
        <f>IF(OR(B1071="",D1071=""),"",IFERROR(INDEX('Tabla XP'!$B$2:$B$12,MATCH(D1071,'Tabla XP'!$A$2:$A$12,0))*IF(E1071="",1,E1071),0))</f>
        <v/>
      </c>
      <c r="G1071" s="19" t="n"/>
      <c r="H1071" s="19" t="n"/>
    </row>
    <row r="1072">
      <c r="A1072" s="22" t="n"/>
      <c r="B1072" s="19" t="n"/>
      <c r="C1072" s="18">
        <f>IF(B1072="","",IFERROR(INDEX(Jugadores!$C$2:$C$501,MATCH(B1072,Jugadores!$A$2:$A$501,0)),"⚠ ID no existe"))</f>
        <v/>
      </c>
      <c r="D1072" s="19" t="n"/>
      <c r="E1072" s="19" t="n"/>
      <c r="F1072" s="16">
        <f>IF(OR(B1072="",D1072=""),"",IFERROR(INDEX('Tabla XP'!$B$2:$B$12,MATCH(D1072,'Tabla XP'!$A$2:$A$12,0))*IF(E1072="",1,E1072),0))</f>
        <v/>
      </c>
      <c r="G1072" s="19" t="n"/>
      <c r="H1072" s="19" t="n"/>
    </row>
    <row r="1073">
      <c r="A1073" s="22" t="n"/>
      <c r="B1073" s="19" t="n"/>
      <c r="C1073" s="18">
        <f>IF(B1073="","",IFERROR(INDEX(Jugadores!$C$2:$C$501,MATCH(B1073,Jugadores!$A$2:$A$501,0)),"⚠ ID no existe"))</f>
        <v/>
      </c>
      <c r="D1073" s="19" t="n"/>
      <c r="E1073" s="19" t="n"/>
      <c r="F1073" s="16">
        <f>IF(OR(B1073="",D1073=""),"",IFERROR(INDEX('Tabla XP'!$B$2:$B$12,MATCH(D1073,'Tabla XP'!$A$2:$A$12,0))*IF(E1073="",1,E1073),0))</f>
        <v/>
      </c>
      <c r="G1073" s="19" t="n"/>
      <c r="H1073" s="19" t="n"/>
    </row>
    <row r="1074">
      <c r="A1074" s="22" t="n"/>
      <c r="B1074" s="19" t="n"/>
      <c r="C1074" s="18">
        <f>IF(B1074="","",IFERROR(INDEX(Jugadores!$C$2:$C$501,MATCH(B1074,Jugadores!$A$2:$A$501,0)),"⚠ ID no existe"))</f>
        <v/>
      </c>
      <c r="D1074" s="19" t="n"/>
      <c r="E1074" s="19" t="n"/>
      <c r="F1074" s="16">
        <f>IF(OR(B1074="",D1074=""),"",IFERROR(INDEX('Tabla XP'!$B$2:$B$12,MATCH(D1074,'Tabla XP'!$A$2:$A$12,0))*IF(E1074="",1,E1074),0))</f>
        <v/>
      </c>
      <c r="G1074" s="19" t="n"/>
      <c r="H1074" s="19" t="n"/>
    </row>
    <row r="1075">
      <c r="A1075" s="22" t="n"/>
      <c r="B1075" s="19" t="n"/>
      <c r="C1075" s="18">
        <f>IF(B1075="","",IFERROR(INDEX(Jugadores!$C$2:$C$501,MATCH(B1075,Jugadores!$A$2:$A$501,0)),"⚠ ID no existe"))</f>
        <v/>
      </c>
      <c r="D1075" s="19" t="n"/>
      <c r="E1075" s="19" t="n"/>
      <c r="F1075" s="16">
        <f>IF(OR(B1075="",D1075=""),"",IFERROR(INDEX('Tabla XP'!$B$2:$B$12,MATCH(D1075,'Tabla XP'!$A$2:$A$12,0))*IF(E1075="",1,E1075),0))</f>
        <v/>
      </c>
      <c r="G1075" s="19" t="n"/>
      <c r="H1075" s="19" t="n"/>
    </row>
    <row r="1076">
      <c r="A1076" s="22" t="n"/>
      <c r="B1076" s="19" t="n"/>
      <c r="C1076" s="18">
        <f>IF(B1076="","",IFERROR(INDEX(Jugadores!$C$2:$C$501,MATCH(B1076,Jugadores!$A$2:$A$501,0)),"⚠ ID no existe"))</f>
        <v/>
      </c>
      <c r="D1076" s="19" t="n"/>
      <c r="E1076" s="19" t="n"/>
      <c r="F1076" s="16">
        <f>IF(OR(B1076="",D1076=""),"",IFERROR(INDEX('Tabla XP'!$B$2:$B$12,MATCH(D1076,'Tabla XP'!$A$2:$A$12,0))*IF(E1076="",1,E1076),0))</f>
        <v/>
      </c>
      <c r="G1076" s="19" t="n"/>
      <c r="H1076" s="19" t="n"/>
    </row>
    <row r="1077">
      <c r="A1077" s="22" t="n"/>
      <c r="B1077" s="19" t="n"/>
      <c r="C1077" s="18">
        <f>IF(B1077="","",IFERROR(INDEX(Jugadores!$C$2:$C$501,MATCH(B1077,Jugadores!$A$2:$A$501,0)),"⚠ ID no existe"))</f>
        <v/>
      </c>
      <c r="D1077" s="19" t="n"/>
      <c r="E1077" s="19" t="n"/>
      <c r="F1077" s="16">
        <f>IF(OR(B1077="",D1077=""),"",IFERROR(INDEX('Tabla XP'!$B$2:$B$12,MATCH(D1077,'Tabla XP'!$A$2:$A$12,0))*IF(E1077="",1,E1077),0))</f>
        <v/>
      </c>
      <c r="G1077" s="19" t="n"/>
      <c r="H1077" s="19" t="n"/>
    </row>
    <row r="1078">
      <c r="A1078" s="22" t="n"/>
      <c r="B1078" s="19" t="n"/>
      <c r="C1078" s="18">
        <f>IF(B1078="","",IFERROR(INDEX(Jugadores!$C$2:$C$501,MATCH(B1078,Jugadores!$A$2:$A$501,0)),"⚠ ID no existe"))</f>
        <v/>
      </c>
      <c r="D1078" s="19" t="n"/>
      <c r="E1078" s="19" t="n"/>
      <c r="F1078" s="16">
        <f>IF(OR(B1078="",D1078=""),"",IFERROR(INDEX('Tabla XP'!$B$2:$B$12,MATCH(D1078,'Tabla XP'!$A$2:$A$12,0))*IF(E1078="",1,E1078),0))</f>
        <v/>
      </c>
      <c r="G1078" s="19" t="n"/>
      <c r="H1078" s="19" t="n"/>
    </row>
    <row r="1079">
      <c r="A1079" s="22" t="n"/>
      <c r="B1079" s="19" t="n"/>
      <c r="C1079" s="18">
        <f>IF(B1079="","",IFERROR(INDEX(Jugadores!$C$2:$C$501,MATCH(B1079,Jugadores!$A$2:$A$501,0)),"⚠ ID no existe"))</f>
        <v/>
      </c>
      <c r="D1079" s="19" t="n"/>
      <c r="E1079" s="19" t="n"/>
      <c r="F1079" s="16">
        <f>IF(OR(B1079="",D1079=""),"",IFERROR(INDEX('Tabla XP'!$B$2:$B$12,MATCH(D1079,'Tabla XP'!$A$2:$A$12,0))*IF(E1079="",1,E1079),0))</f>
        <v/>
      </c>
      <c r="G1079" s="19" t="n"/>
      <c r="H1079" s="19" t="n"/>
    </row>
    <row r="1080">
      <c r="A1080" s="22" t="n"/>
      <c r="B1080" s="19" t="n"/>
      <c r="C1080" s="18">
        <f>IF(B1080="","",IFERROR(INDEX(Jugadores!$C$2:$C$501,MATCH(B1080,Jugadores!$A$2:$A$501,0)),"⚠ ID no existe"))</f>
        <v/>
      </c>
      <c r="D1080" s="19" t="n"/>
      <c r="E1080" s="19" t="n"/>
      <c r="F1080" s="16">
        <f>IF(OR(B1080="",D1080=""),"",IFERROR(INDEX('Tabla XP'!$B$2:$B$12,MATCH(D1080,'Tabla XP'!$A$2:$A$12,0))*IF(E1080="",1,E1080),0))</f>
        <v/>
      </c>
      <c r="G1080" s="19" t="n"/>
      <c r="H1080" s="19" t="n"/>
    </row>
    <row r="1081">
      <c r="A1081" s="22" t="n"/>
      <c r="B1081" s="19" t="n"/>
      <c r="C1081" s="18">
        <f>IF(B1081="","",IFERROR(INDEX(Jugadores!$C$2:$C$501,MATCH(B1081,Jugadores!$A$2:$A$501,0)),"⚠ ID no existe"))</f>
        <v/>
      </c>
      <c r="D1081" s="19" t="n"/>
      <c r="E1081" s="19" t="n"/>
      <c r="F1081" s="16">
        <f>IF(OR(B1081="",D1081=""),"",IFERROR(INDEX('Tabla XP'!$B$2:$B$12,MATCH(D1081,'Tabla XP'!$A$2:$A$12,0))*IF(E1081="",1,E1081),0))</f>
        <v/>
      </c>
      <c r="G1081" s="19" t="n"/>
      <c r="H1081" s="19" t="n"/>
    </row>
    <row r="1082">
      <c r="A1082" s="22" t="n"/>
      <c r="B1082" s="19" t="n"/>
      <c r="C1082" s="18">
        <f>IF(B1082="","",IFERROR(INDEX(Jugadores!$C$2:$C$501,MATCH(B1082,Jugadores!$A$2:$A$501,0)),"⚠ ID no existe"))</f>
        <v/>
      </c>
      <c r="D1082" s="19" t="n"/>
      <c r="E1082" s="19" t="n"/>
      <c r="F1082" s="16">
        <f>IF(OR(B1082="",D1082=""),"",IFERROR(INDEX('Tabla XP'!$B$2:$B$12,MATCH(D1082,'Tabla XP'!$A$2:$A$12,0))*IF(E1082="",1,E1082),0))</f>
        <v/>
      </c>
      <c r="G1082" s="19" t="n"/>
      <c r="H1082" s="19" t="n"/>
    </row>
    <row r="1083">
      <c r="A1083" s="22" t="n"/>
      <c r="B1083" s="19" t="n"/>
      <c r="C1083" s="18">
        <f>IF(B1083="","",IFERROR(INDEX(Jugadores!$C$2:$C$501,MATCH(B1083,Jugadores!$A$2:$A$501,0)),"⚠ ID no existe"))</f>
        <v/>
      </c>
      <c r="D1083" s="19" t="n"/>
      <c r="E1083" s="19" t="n"/>
      <c r="F1083" s="16">
        <f>IF(OR(B1083="",D1083=""),"",IFERROR(INDEX('Tabla XP'!$B$2:$B$12,MATCH(D1083,'Tabla XP'!$A$2:$A$12,0))*IF(E1083="",1,E1083),0))</f>
        <v/>
      </c>
      <c r="G1083" s="19" t="n"/>
      <c r="H1083" s="19" t="n"/>
    </row>
    <row r="1084">
      <c r="A1084" s="22" t="n"/>
      <c r="B1084" s="19" t="n"/>
      <c r="C1084" s="18">
        <f>IF(B1084="","",IFERROR(INDEX(Jugadores!$C$2:$C$501,MATCH(B1084,Jugadores!$A$2:$A$501,0)),"⚠ ID no existe"))</f>
        <v/>
      </c>
      <c r="D1084" s="19" t="n"/>
      <c r="E1084" s="19" t="n"/>
      <c r="F1084" s="16">
        <f>IF(OR(B1084="",D1084=""),"",IFERROR(INDEX('Tabla XP'!$B$2:$B$12,MATCH(D1084,'Tabla XP'!$A$2:$A$12,0))*IF(E1084="",1,E1084),0))</f>
        <v/>
      </c>
      <c r="G1084" s="19" t="n"/>
      <c r="H1084" s="19" t="n"/>
    </row>
    <row r="1085">
      <c r="A1085" s="22" t="n"/>
      <c r="B1085" s="19" t="n"/>
      <c r="C1085" s="18">
        <f>IF(B1085="","",IFERROR(INDEX(Jugadores!$C$2:$C$501,MATCH(B1085,Jugadores!$A$2:$A$501,0)),"⚠ ID no existe"))</f>
        <v/>
      </c>
      <c r="D1085" s="19" t="n"/>
      <c r="E1085" s="19" t="n"/>
      <c r="F1085" s="16">
        <f>IF(OR(B1085="",D1085=""),"",IFERROR(INDEX('Tabla XP'!$B$2:$B$12,MATCH(D1085,'Tabla XP'!$A$2:$A$12,0))*IF(E1085="",1,E1085),0))</f>
        <v/>
      </c>
      <c r="G1085" s="19" t="n"/>
      <c r="H1085" s="19" t="n"/>
    </row>
    <row r="1086">
      <c r="A1086" s="22" t="n"/>
      <c r="B1086" s="19" t="n"/>
      <c r="C1086" s="18">
        <f>IF(B1086="","",IFERROR(INDEX(Jugadores!$C$2:$C$501,MATCH(B1086,Jugadores!$A$2:$A$501,0)),"⚠ ID no existe"))</f>
        <v/>
      </c>
      <c r="D1086" s="19" t="n"/>
      <c r="E1086" s="19" t="n"/>
      <c r="F1086" s="16">
        <f>IF(OR(B1086="",D1086=""),"",IFERROR(INDEX('Tabla XP'!$B$2:$B$12,MATCH(D1086,'Tabla XP'!$A$2:$A$12,0))*IF(E1086="",1,E1086),0))</f>
        <v/>
      </c>
      <c r="G1086" s="19" t="n"/>
      <c r="H1086" s="19" t="n"/>
    </row>
    <row r="1087">
      <c r="A1087" s="22" t="n"/>
      <c r="B1087" s="19" t="n"/>
      <c r="C1087" s="18">
        <f>IF(B1087="","",IFERROR(INDEX(Jugadores!$C$2:$C$501,MATCH(B1087,Jugadores!$A$2:$A$501,0)),"⚠ ID no existe"))</f>
        <v/>
      </c>
      <c r="D1087" s="19" t="n"/>
      <c r="E1087" s="19" t="n"/>
      <c r="F1087" s="16">
        <f>IF(OR(B1087="",D1087=""),"",IFERROR(INDEX('Tabla XP'!$B$2:$B$12,MATCH(D1087,'Tabla XP'!$A$2:$A$12,0))*IF(E1087="",1,E1087),0))</f>
        <v/>
      </c>
      <c r="G1087" s="19" t="n"/>
      <c r="H1087" s="19" t="n"/>
    </row>
    <row r="1088">
      <c r="A1088" s="22" t="n"/>
      <c r="B1088" s="19" t="n"/>
      <c r="C1088" s="18">
        <f>IF(B1088="","",IFERROR(INDEX(Jugadores!$C$2:$C$501,MATCH(B1088,Jugadores!$A$2:$A$501,0)),"⚠ ID no existe"))</f>
        <v/>
      </c>
      <c r="D1088" s="19" t="n"/>
      <c r="E1088" s="19" t="n"/>
      <c r="F1088" s="16">
        <f>IF(OR(B1088="",D1088=""),"",IFERROR(INDEX('Tabla XP'!$B$2:$B$12,MATCH(D1088,'Tabla XP'!$A$2:$A$12,0))*IF(E1088="",1,E1088),0))</f>
        <v/>
      </c>
      <c r="G1088" s="19" t="n"/>
      <c r="H1088" s="19" t="n"/>
    </row>
    <row r="1089">
      <c r="A1089" s="22" t="n"/>
      <c r="B1089" s="19" t="n"/>
      <c r="C1089" s="18">
        <f>IF(B1089="","",IFERROR(INDEX(Jugadores!$C$2:$C$501,MATCH(B1089,Jugadores!$A$2:$A$501,0)),"⚠ ID no existe"))</f>
        <v/>
      </c>
      <c r="D1089" s="19" t="n"/>
      <c r="E1089" s="19" t="n"/>
      <c r="F1089" s="16">
        <f>IF(OR(B1089="",D1089=""),"",IFERROR(INDEX('Tabla XP'!$B$2:$B$12,MATCH(D1089,'Tabla XP'!$A$2:$A$12,0))*IF(E1089="",1,E1089),0))</f>
        <v/>
      </c>
      <c r="G1089" s="19" t="n"/>
      <c r="H1089" s="19" t="n"/>
    </row>
    <row r="1090">
      <c r="A1090" s="22" t="n"/>
      <c r="B1090" s="19" t="n"/>
      <c r="C1090" s="18">
        <f>IF(B1090="","",IFERROR(INDEX(Jugadores!$C$2:$C$501,MATCH(B1090,Jugadores!$A$2:$A$501,0)),"⚠ ID no existe"))</f>
        <v/>
      </c>
      <c r="D1090" s="19" t="n"/>
      <c r="E1090" s="19" t="n"/>
      <c r="F1090" s="16">
        <f>IF(OR(B1090="",D1090=""),"",IFERROR(INDEX('Tabla XP'!$B$2:$B$12,MATCH(D1090,'Tabla XP'!$A$2:$A$12,0))*IF(E1090="",1,E1090),0))</f>
        <v/>
      </c>
      <c r="G1090" s="19" t="n"/>
      <c r="H1090" s="19" t="n"/>
    </row>
    <row r="1091">
      <c r="A1091" s="22" t="n"/>
      <c r="B1091" s="19" t="n"/>
      <c r="C1091" s="18">
        <f>IF(B1091="","",IFERROR(INDEX(Jugadores!$C$2:$C$501,MATCH(B1091,Jugadores!$A$2:$A$501,0)),"⚠ ID no existe"))</f>
        <v/>
      </c>
      <c r="D1091" s="19" t="n"/>
      <c r="E1091" s="19" t="n"/>
      <c r="F1091" s="16">
        <f>IF(OR(B1091="",D1091=""),"",IFERROR(INDEX('Tabla XP'!$B$2:$B$12,MATCH(D1091,'Tabla XP'!$A$2:$A$12,0))*IF(E1091="",1,E1091),0))</f>
        <v/>
      </c>
      <c r="G1091" s="19" t="n"/>
      <c r="H1091" s="19" t="n"/>
    </row>
    <row r="1092">
      <c r="A1092" s="22" t="n"/>
      <c r="B1092" s="19" t="n"/>
      <c r="C1092" s="18">
        <f>IF(B1092="","",IFERROR(INDEX(Jugadores!$C$2:$C$501,MATCH(B1092,Jugadores!$A$2:$A$501,0)),"⚠ ID no existe"))</f>
        <v/>
      </c>
      <c r="D1092" s="19" t="n"/>
      <c r="E1092" s="19" t="n"/>
      <c r="F1092" s="16">
        <f>IF(OR(B1092="",D1092=""),"",IFERROR(INDEX('Tabla XP'!$B$2:$B$12,MATCH(D1092,'Tabla XP'!$A$2:$A$12,0))*IF(E1092="",1,E1092),0))</f>
        <v/>
      </c>
      <c r="G1092" s="19" t="n"/>
      <c r="H1092" s="19" t="n"/>
    </row>
    <row r="1093">
      <c r="A1093" s="22" t="n"/>
      <c r="B1093" s="19" t="n"/>
      <c r="C1093" s="18">
        <f>IF(B1093="","",IFERROR(INDEX(Jugadores!$C$2:$C$501,MATCH(B1093,Jugadores!$A$2:$A$501,0)),"⚠ ID no existe"))</f>
        <v/>
      </c>
      <c r="D1093" s="19" t="n"/>
      <c r="E1093" s="19" t="n"/>
      <c r="F1093" s="16">
        <f>IF(OR(B1093="",D1093=""),"",IFERROR(INDEX('Tabla XP'!$B$2:$B$12,MATCH(D1093,'Tabla XP'!$A$2:$A$12,0))*IF(E1093="",1,E1093),0))</f>
        <v/>
      </c>
      <c r="G1093" s="19" t="n"/>
      <c r="H1093" s="19" t="n"/>
    </row>
    <row r="1094">
      <c r="A1094" s="22" t="n"/>
      <c r="B1094" s="19" t="n"/>
      <c r="C1094" s="18">
        <f>IF(B1094="","",IFERROR(INDEX(Jugadores!$C$2:$C$501,MATCH(B1094,Jugadores!$A$2:$A$501,0)),"⚠ ID no existe"))</f>
        <v/>
      </c>
      <c r="D1094" s="19" t="n"/>
      <c r="E1094" s="19" t="n"/>
      <c r="F1094" s="16">
        <f>IF(OR(B1094="",D1094=""),"",IFERROR(INDEX('Tabla XP'!$B$2:$B$12,MATCH(D1094,'Tabla XP'!$A$2:$A$12,0))*IF(E1094="",1,E1094),0))</f>
        <v/>
      </c>
      <c r="G1094" s="19" t="n"/>
      <c r="H1094" s="19" t="n"/>
    </row>
    <row r="1095">
      <c r="A1095" s="22" t="n"/>
      <c r="B1095" s="19" t="n"/>
      <c r="C1095" s="18">
        <f>IF(B1095="","",IFERROR(INDEX(Jugadores!$C$2:$C$501,MATCH(B1095,Jugadores!$A$2:$A$501,0)),"⚠ ID no existe"))</f>
        <v/>
      </c>
      <c r="D1095" s="19" t="n"/>
      <c r="E1095" s="19" t="n"/>
      <c r="F1095" s="16">
        <f>IF(OR(B1095="",D1095=""),"",IFERROR(INDEX('Tabla XP'!$B$2:$B$12,MATCH(D1095,'Tabla XP'!$A$2:$A$12,0))*IF(E1095="",1,E1095),0))</f>
        <v/>
      </c>
      <c r="G1095" s="19" t="n"/>
      <c r="H1095" s="19" t="n"/>
    </row>
    <row r="1096">
      <c r="A1096" s="22" t="n"/>
      <c r="B1096" s="19" t="n"/>
      <c r="C1096" s="18">
        <f>IF(B1096="","",IFERROR(INDEX(Jugadores!$C$2:$C$501,MATCH(B1096,Jugadores!$A$2:$A$501,0)),"⚠ ID no existe"))</f>
        <v/>
      </c>
      <c r="D1096" s="19" t="n"/>
      <c r="E1096" s="19" t="n"/>
      <c r="F1096" s="16">
        <f>IF(OR(B1096="",D1096=""),"",IFERROR(INDEX('Tabla XP'!$B$2:$B$12,MATCH(D1096,'Tabla XP'!$A$2:$A$12,0))*IF(E1096="",1,E1096),0))</f>
        <v/>
      </c>
      <c r="G1096" s="19" t="n"/>
      <c r="H1096" s="19" t="n"/>
    </row>
    <row r="1097">
      <c r="A1097" s="22" t="n"/>
      <c r="B1097" s="19" t="n"/>
      <c r="C1097" s="18">
        <f>IF(B1097="","",IFERROR(INDEX(Jugadores!$C$2:$C$501,MATCH(B1097,Jugadores!$A$2:$A$501,0)),"⚠ ID no existe"))</f>
        <v/>
      </c>
      <c r="D1097" s="19" t="n"/>
      <c r="E1097" s="19" t="n"/>
      <c r="F1097" s="16">
        <f>IF(OR(B1097="",D1097=""),"",IFERROR(INDEX('Tabla XP'!$B$2:$B$12,MATCH(D1097,'Tabla XP'!$A$2:$A$12,0))*IF(E1097="",1,E1097),0))</f>
        <v/>
      </c>
      <c r="G1097" s="19" t="n"/>
      <c r="H1097" s="19" t="n"/>
    </row>
    <row r="1098">
      <c r="A1098" s="22" t="n"/>
      <c r="B1098" s="19" t="n"/>
      <c r="C1098" s="18">
        <f>IF(B1098="","",IFERROR(INDEX(Jugadores!$C$2:$C$501,MATCH(B1098,Jugadores!$A$2:$A$501,0)),"⚠ ID no existe"))</f>
        <v/>
      </c>
      <c r="D1098" s="19" t="n"/>
      <c r="E1098" s="19" t="n"/>
      <c r="F1098" s="16">
        <f>IF(OR(B1098="",D1098=""),"",IFERROR(INDEX('Tabla XP'!$B$2:$B$12,MATCH(D1098,'Tabla XP'!$A$2:$A$12,0))*IF(E1098="",1,E1098),0))</f>
        <v/>
      </c>
      <c r="G1098" s="19" t="n"/>
      <c r="H1098" s="19" t="n"/>
    </row>
    <row r="1099">
      <c r="A1099" s="22" t="n"/>
      <c r="B1099" s="19" t="n"/>
      <c r="C1099" s="18">
        <f>IF(B1099="","",IFERROR(INDEX(Jugadores!$C$2:$C$501,MATCH(B1099,Jugadores!$A$2:$A$501,0)),"⚠ ID no existe"))</f>
        <v/>
      </c>
      <c r="D1099" s="19" t="n"/>
      <c r="E1099" s="19" t="n"/>
      <c r="F1099" s="16">
        <f>IF(OR(B1099="",D1099=""),"",IFERROR(INDEX('Tabla XP'!$B$2:$B$12,MATCH(D1099,'Tabla XP'!$A$2:$A$12,0))*IF(E1099="",1,E1099),0))</f>
        <v/>
      </c>
      <c r="G1099" s="19" t="n"/>
      <c r="H1099" s="19" t="n"/>
    </row>
    <row r="1100">
      <c r="A1100" s="22" t="n"/>
      <c r="B1100" s="19" t="n"/>
      <c r="C1100" s="18">
        <f>IF(B1100="","",IFERROR(INDEX(Jugadores!$C$2:$C$501,MATCH(B1100,Jugadores!$A$2:$A$501,0)),"⚠ ID no existe"))</f>
        <v/>
      </c>
      <c r="D1100" s="19" t="n"/>
      <c r="E1100" s="19" t="n"/>
      <c r="F1100" s="16">
        <f>IF(OR(B1100="",D1100=""),"",IFERROR(INDEX('Tabla XP'!$B$2:$B$12,MATCH(D1100,'Tabla XP'!$A$2:$A$12,0))*IF(E1100="",1,E1100),0))</f>
        <v/>
      </c>
      <c r="G1100" s="19" t="n"/>
      <c r="H1100" s="19" t="n"/>
    </row>
    <row r="1101">
      <c r="A1101" s="22" t="n"/>
      <c r="B1101" s="19" t="n"/>
      <c r="C1101" s="18">
        <f>IF(B1101="","",IFERROR(INDEX(Jugadores!$C$2:$C$501,MATCH(B1101,Jugadores!$A$2:$A$501,0)),"⚠ ID no existe"))</f>
        <v/>
      </c>
      <c r="D1101" s="19" t="n"/>
      <c r="E1101" s="19" t="n"/>
      <c r="F1101" s="16">
        <f>IF(OR(B1101="",D1101=""),"",IFERROR(INDEX('Tabla XP'!$B$2:$B$12,MATCH(D1101,'Tabla XP'!$A$2:$A$12,0))*IF(E1101="",1,E1101),0))</f>
        <v/>
      </c>
      <c r="G1101" s="19" t="n"/>
      <c r="H1101" s="19" t="n"/>
    </row>
    <row r="1102">
      <c r="A1102" s="22" t="n"/>
      <c r="B1102" s="19" t="n"/>
      <c r="C1102" s="18">
        <f>IF(B1102="","",IFERROR(INDEX(Jugadores!$C$2:$C$501,MATCH(B1102,Jugadores!$A$2:$A$501,0)),"⚠ ID no existe"))</f>
        <v/>
      </c>
      <c r="D1102" s="19" t="n"/>
      <c r="E1102" s="19" t="n"/>
      <c r="F1102" s="16">
        <f>IF(OR(B1102="",D1102=""),"",IFERROR(INDEX('Tabla XP'!$B$2:$B$12,MATCH(D1102,'Tabla XP'!$A$2:$A$12,0))*IF(E1102="",1,E1102),0))</f>
        <v/>
      </c>
      <c r="G1102" s="19" t="n"/>
      <c r="H1102" s="19" t="n"/>
    </row>
    <row r="1103">
      <c r="A1103" s="22" t="n"/>
      <c r="B1103" s="19" t="n"/>
      <c r="C1103" s="18">
        <f>IF(B1103="","",IFERROR(INDEX(Jugadores!$C$2:$C$501,MATCH(B1103,Jugadores!$A$2:$A$501,0)),"⚠ ID no existe"))</f>
        <v/>
      </c>
      <c r="D1103" s="19" t="n"/>
      <c r="E1103" s="19" t="n"/>
      <c r="F1103" s="16">
        <f>IF(OR(B1103="",D1103=""),"",IFERROR(INDEX('Tabla XP'!$B$2:$B$12,MATCH(D1103,'Tabla XP'!$A$2:$A$12,0))*IF(E1103="",1,E1103),0))</f>
        <v/>
      </c>
      <c r="G1103" s="19" t="n"/>
      <c r="H1103" s="19" t="n"/>
    </row>
    <row r="1104">
      <c r="A1104" s="22" t="n"/>
      <c r="B1104" s="19" t="n"/>
      <c r="C1104" s="18">
        <f>IF(B1104="","",IFERROR(INDEX(Jugadores!$C$2:$C$501,MATCH(B1104,Jugadores!$A$2:$A$501,0)),"⚠ ID no existe"))</f>
        <v/>
      </c>
      <c r="D1104" s="19" t="n"/>
      <c r="E1104" s="19" t="n"/>
      <c r="F1104" s="16">
        <f>IF(OR(B1104="",D1104=""),"",IFERROR(INDEX('Tabla XP'!$B$2:$B$12,MATCH(D1104,'Tabla XP'!$A$2:$A$12,0))*IF(E1104="",1,E1104),0))</f>
        <v/>
      </c>
      <c r="G1104" s="19" t="n"/>
      <c r="H1104" s="19" t="n"/>
    </row>
    <row r="1105">
      <c r="A1105" s="22" t="n"/>
      <c r="B1105" s="19" t="n"/>
      <c r="C1105" s="18">
        <f>IF(B1105="","",IFERROR(INDEX(Jugadores!$C$2:$C$501,MATCH(B1105,Jugadores!$A$2:$A$501,0)),"⚠ ID no existe"))</f>
        <v/>
      </c>
      <c r="D1105" s="19" t="n"/>
      <c r="E1105" s="19" t="n"/>
      <c r="F1105" s="16">
        <f>IF(OR(B1105="",D1105=""),"",IFERROR(INDEX('Tabla XP'!$B$2:$B$12,MATCH(D1105,'Tabla XP'!$A$2:$A$12,0))*IF(E1105="",1,E1105),0))</f>
        <v/>
      </c>
      <c r="G1105" s="19" t="n"/>
      <c r="H1105" s="19" t="n"/>
    </row>
    <row r="1106">
      <c r="A1106" s="22" t="n"/>
      <c r="B1106" s="19" t="n"/>
      <c r="C1106" s="18">
        <f>IF(B1106="","",IFERROR(INDEX(Jugadores!$C$2:$C$501,MATCH(B1106,Jugadores!$A$2:$A$501,0)),"⚠ ID no existe"))</f>
        <v/>
      </c>
      <c r="D1106" s="19" t="n"/>
      <c r="E1106" s="19" t="n"/>
      <c r="F1106" s="16">
        <f>IF(OR(B1106="",D1106=""),"",IFERROR(INDEX('Tabla XP'!$B$2:$B$12,MATCH(D1106,'Tabla XP'!$A$2:$A$12,0))*IF(E1106="",1,E1106),0))</f>
        <v/>
      </c>
      <c r="G1106" s="19" t="n"/>
      <c r="H1106" s="19" t="n"/>
    </row>
    <row r="1107">
      <c r="A1107" s="22" t="n"/>
      <c r="B1107" s="19" t="n"/>
      <c r="C1107" s="18">
        <f>IF(B1107="","",IFERROR(INDEX(Jugadores!$C$2:$C$501,MATCH(B1107,Jugadores!$A$2:$A$501,0)),"⚠ ID no existe"))</f>
        <v/>
      </c>
      <c r="D1107" s="19" t="n"/>
      <c r="E1107" s="19" t="n"/>
      <c r="F1107" s="16">
        <f>IF(OR(B1107="",D1107=""),"",IFERROR(INDEX('Tabla XP'!$B$2:$B$12,MATCH(D1107,'Tabla XP'!$A$2:$A$12,0))*IF(E1107="",1,E1107),0))</f>
        <v/>
      </c>
      <c r="G1107" s="19" t="n"/>
      <c r="H1107" s="19" t="n"/>
    </row>
    <row r="1108">
      <c r="A1108" s="22" t="n"/>
      <c r="B1108" s="19" t="n"/>
      <c r="C1108" s="18">
        <f>IF(B1108="","",IFERROR(INDEX(Jugadores!$C$2:$C$501,MATCH(B1108,Jugadores!$A$2:$A$501,0)),"⚠ ID no existe"))</f>
        <v/>
      </c>
      <c r="D1108" s="19" t="n"/>
      <c r="E1108" s="19" t="n"/>
      <c r="F1108" s="16">
        <f>IF(OR(B1108="",D1108=""),"",IFERROR(INDEX('Tabla XP'!$B$2:$B$12,MATCH(D1108,'Tabla XP'!$A$2:$A$12,0))*IF(E1108="",1,E1108),0))</f>
        <v/>
      </c>
      <c r="G1108" s="19" t="n"/>
      <c r="H1108" s="19" t="n"/>
    </row>
    <row r="1109">
      <c r="A1109" s="22" t="n"/>
      <c r="B1109" s="19" t="n"/>
      <c r="C1109" s="18">
        <f>IF(B1109="","",IFERROR(INDEX(Jugadores!$C$2:$C$501,MATCH(B1109,Jugadores!$A$2:$A$501,0)),"⚠ ID no existe"))</f>
        <v/>
      </c>
      <c r="D1109" s="19" t="n"/>
      <c r="E1109" s="19" t="n"/>
      <c r="F1109" s="16">
        <f>IF(OR(B1109="",D1109=""),"",IFERROR(INDEX('Tabla XP'!$B$2:$B$12,MATCH(D1109,'Tabla XP'!$A$2:$A$12,0))*IF(E1109="",1,E1109),0))</f>
        <v/>
      </c>
      <c r="G1109" s="19" t="n"/>
      <c r="H1109" s="19" t="n"/>
    </row>
    <row r="1110">
      <c r="A1110" s="22" t="n"/>
      <c r="B1110" s="19" t="n"/>
      <c r="C1110" s="18">
        <f>IF(B1110="","",IFERROR(INDEX(Jugadores!$C$2:$C$501,MATCH(B1110,Jugadores!$A$2:$A$501,0)),"⚠ ID no existe"))</f>
        <v/>
      </c>
      <c r="D1110" s="19" t="n"/>
      <c r="E1110" s="19" t="n"/>
      <c r="F1110" s="16">
        <f>IF(OR(B1110="",D1110=""),"",IFERROR(INDEX('Tabla XP'!$B$2:$B$12,MATCH(D1110,'Tabla XP'!$A$2:$A$12,0))*IF(E1110="",1,E1110),0))</f>
        <v/>
      </c>
      <c r="G1110" s="19" t="n"/>
      <c r="H1110" s="19" t="n"/>
    </row>
    <row r="1111">
      <c r="A1111" s="22" t="n"/>
      <c r="B1111" s="19" t="n"/>
      <c r="C1111" s="18">
        <f>IF(B1111="","",IFERROR(INDEX(Jugadores!$C$2:$C$501,MATCH(B1111,Jugadores!$A$2:$A$501,0)),"⚠ ID no existe"))</f>
        <v/>
      </c>
      <c r="D1111" s="19" t="n"/>
      <c r="E1111" s="19" t="n"/>
      <c r="F1111" s="16">
        <f>IF(OR(B1111="",D1111=""),"",IFERROR(INDEX('Tabla XP'!$B$2:$B$12,MATCH(D1111,'Tabla XP'!$A$2:$A$12,0))*IF(E1111="",1,E1111),0))</f>
        <v/>
      </c>
      <c r="G1111" s="19" t="n"/>
      <c r="H1111" s="19" t="n"/>
    </row>
    <row r="1112">
      <c r="A1112" s="22" t="n"/>
      <c r="B1112" s="19" t="n"/>
      <c r="C1112" s="18">
        <f>IF(B1112="","",IFERROR(INDEX(Jugadores!$C$2:$C$501,MATCH(B1112,Jugadores!$A$2:$A$501,0)),"⚠ ID no existe"))</f>
        <v/>
      </c>
      <c r="D1112" s="19" t="n"/>
      <c r="E1112" s="19" t="n"/>
      <c r="F1112" s="16">
        <f>IF(OR(B1112="",D1112=""),"",IFERROR(INDEX('Tabla XP'!$B$2:$B$12,MATCH(D1112,'Tabla XP'!$A$2:$A$12,0))*IF(E1112="",1,E1112),0))</f>
        <v/>
      </c>
      <c r="G1112" s="19" t="n"/>
      <c r="H1112" s="19" t="n"/>
    </row>
    <row r="1113">
      <c r="A1113" s="22" t="n"/>
      <c r="B1113" s="19" t="n"/>
      <c r="C1113" s="18">
        <f>IF(B1113="","",IFERROR(INDEX(Jugadores!$C$2:$C$501,MATCH(B1113,Jugadores!$A$2:$A$501,0)),"⚠ ID no existe"))</f>
        <v/>
      </c>
      <c r="D1113" s="19" t="n"/>
      <c r="E1113" s="19" t="n"/>
      <c r="F1113" s="16">
        <f>IF(OR(B1113="",D1113=""),"",IFERROR(INDEX('Tabla XP'!$B$2:$B$12,MATCH(D1113,'Tabla XP'!$A$2:$A$12,0))*IF(E1113="",1,E1113),0))</f>
        <v/>
      </c>
      <c r="G1113" s="19" t="n"/>
      <c r="H1113" s="19" t="n"/>
    </row>
    <row r="1114">
      <c r="A1114" s="22" t="n"/>
      <c r="B1114" s="19" t="n"/>
      <c r="C1114" s="18">
        <f>IF(B1114="","",IFERROR(INDEX(Jugadores!$C$2:$C$501,MATCH(B1114,Jugadores!$A$2:$A$501,0)),"⚠ ID no existe"))</f>
        <v/>
      </c>
      <c r="D1114" s="19" t="n"/>
      <c r="E1114" s="19" t="n"/>
      <c r="F1114" s="16">
        <f>IF(OR(B1114="",D1114=""),"",IFERROR(INDEX('Tabla XP'!$B$2:$B$12,MATCH(D1114,'Tabla XP'!$A$2:$A$12,0))*IF(E1114="",1,E1114),0))</f>
        <v/>
      </c>
      <c r="G1114" s="19" t="n"/>
      <c r="H1114" s="19" t="n"/>
    </row>
    <row r="1115">
      <c r="A1115" s="22" t="n"/>
      <c r="B1115" s="19" t="n"/>
      <c r="C1115" s="18">
        <f>IF(B1115="","",IFERROR(INDEX(Jugadores!$C$2:$C$501,MATCH(B1115,Jugadores!$A$2:$A$501,0)),"⚠ ID no existe"))</f>
        <v/>
      </c>
      <c r="D1115" s="19" t="n"/>
      <c r="E1115" s="19" t="n"/>
      <c r="F1115" s="16">
        <f>IF(OR(B1115="",D1115=""),"",IFERROR(INDEX('Tabla XP'!$B$2:$B$12,MATCH(D1115,'Tabla XP'!$A$2:$A$12,0))*IF(E1115="",1,E1115),0))</f>
        <v/>
      </c>
      <c r="G1115" s="19" t="n"/>
      <c r="H1115" s="19" t="n"/>
    </row>
    <row r="1116">
      <c r="A1116" s="22" t="n"/>
      <c r="B1116" s="19" t="n"/>
      <c r="C1116" s="18">
        <f>IF(B1116="","",IFERROR(INDEX(Jugadores!$C$2:$C$501,MATCH(B1116,Jugadores!$A$2:$A$501,0)),"⚠ ID no existe"))</f>
        <v/>
      </c>
      <c r="D1116" s="19" t="n"/>
      <c r="E1116" s="19" t="n"/>
      <c r="F1116" s="16">
        <f>IF(OR(B1116="",D1116=""),"",IFERROR(INDEX('Tabla XP'!$B$2:$B$12,MATCH(D1116,'Tabla XP'!$A$2:$A$12,0))*IF(E1116="",1,E1116),0))</f>
        <v/>
      </c>
      <c r="G1116" s="19" t="n"/>
      <c r="H1116" s="19" t="n"/>
    </row>
    <row r="1117">
      <c r="A1117" s="22" t="n"/>
      <c r="B1117" s="19" t="n"/>
      <c r="C1117" s="18">
        <f>IF(B1117="","",IFERROR(INDEX(Jugadores!$C$2:$C$501,MATCH(B1117,Jugadores!$A$2:$A$501,0)),"⚠ ID no existe"))</f>
        <v/>
      </c>
      <c r="D1117" s="19" t="n"/>
      <c r="E1117" s="19" t="n"/>
      <c r="F1117" s="16">
        <f>IF(OR(B1117="",D1117=""),"",IFERROR(INDEX('Tabla XP'!$B$2:$B$12,MATCH(D1117,'Tabla XP'!$A$2:$A$12,0))*IF(E1117="",1,E1117),0))</f>
        <v/>
      </c>
      <c r="G1117" s="19" t="n"/>
      <c r="H1117" s="19" t="n"/>
    </row>
    <row r="1118">
      <c r="A1118" s="22" t="n"/>
      <c r="B1118" s="19" t="n"/>
      <c r="C1118" s="18">
        <f>IF(B1118="","",IFERROR(INDEX(Jugadores!$C$2:$C$501,MATCH(B1118,Jugadores!$A$2:$A$501,0)),"⚠ ID no existe"))</f>
        <v/>
      </c>
      <c r="D1118" s="19" t="n"/>
      <c r="E1118" s="19" t="n"/>
      <c r="F1118" s="16">
        <f>IF(OR(B1118="",D1118=""),"",IFERROR(INDEX('Tabla XP'!$B$2:$B$12,MATCH(D1118,'Tabla XP'!$A$2:$A$12,0))*IF(E1118="",1,E1118),0))</f>
        <v/>
      </c>
      <c r="G1118" s="19" t="n"/>
      <c r="H1118" s="19" t="n"/>
    </row>
    <row r="1119">
      <c r="A1119" s="22" t="n"/>
      <c r="B1119" s="19" t="n"/>
      <c r="C1119" s="18">
        <f>IF(B1119="","",IFERROR(INDEX(Jugadores!$C$2:$C$501,MATCH(B1119,Jugadores!$A$2:$A$501,0)),"⚠ ID no existe"))</f>
        <v/>
      </c>
      <c r="D1119" s="19" t="n"/>
      <c r="E1119" s="19" t="n"/>
      <c r="F1119" s="16">
        <f>IF(OR(B1119="",D1119=""),"",IFERROR(INDEX('Tabla XP'!$B$2:$B$12,MATCH(D1119,'Tabla XP'!$A$2:$A$12,0))*IF(E1119="",1,E1119),0))</f>
        <v/>
      </c>
      <c r="G1119" s="19" t="n"/>
      <c r="H1119" s="19" t="n"/>
    </row>
    <row r="1120">
      <c r="A1120" s="22" t="n"/>
      <c r="B1120" s="19" t="n"/>
      <c r="C1120" s="18">
        <f>IF(B1120="","",IFERROR(INDEX(Jugadores!$C$2:$C$501,MATCH(B1120,Jugadores!$A$2:$A$501,0)),"⚠ ID no existe"))</f>
        <v/>
      </c>
      <c r="D1120" s="19" t="n"/>
      <c r="E1120" s="19" t="n"/>
      <c r="F1120" s="16">
        <f>IF(OR(B1120="",D1120=""),"",IFERROR(INDEX('Tabla XP'!$B$2:$B$12,MATCH(D1120,'Tabla XP'!$A$2:$A$12,0))*IF(E1120="",1,E1120),0))</f>
        <v/>
      </c>
      <c r="G1120" s="19" t="n"/>
      <c r="H1120" s="19" t="n"/>
    </row>
    <row r="1121">
      <c r="A1121" s="22" t="n"/>
      <c r="B1121" s="19" t="n"/>
      <c r="C1121" s="18">
        <f>IF(B1121="","",IFERROR(INDEX(Jugadores!$C$2:$C$501,MATCH(B1121,Jugadores!$A$2:$A$501,0)),"⚠ ID no existe"))</f>
        <v/>
      </c>
      <c r="D1121" s="19" t="n"/>
      <c r="E1121" s="19" t="n"/>
      <c r="F1121" s="16">
        <f>IF(OR(B1121="",D1121=""),"",IFERROR(INDEX('Tabla XP'!$B$2:$B$12,MATCH(D1121,'Tabla XP'!$A$2:$A$12,0))*IF(E1121="",1,E1121),0))</f>
        <v/>
      </c>
      <c r="G1121" s="19" t="n"/>
      <c r="H1121" s="19" t="n"/>
    </row>
    <row r="1122">
      <c r="A1122" s="22" t="n"/>
      <c r="B1122" s="19" t="n"/>
      <c r="C1122" s="18">
        <f>IF(B1122="","",IFERROR(INDEX(Jugadores!$C$2:$C$501,MATCH(B1122,Jugadores!$A$2:$A$501,0)),"⚠ ID no existe"))</f>
        <v/>
      </c>
      <c r="D1122" s="19" t="n"/>
      <c r="E1122" s="19" t="n"/>
      <c r="F1122" s="16">
        <f>IF(OR(B1122="",D1122=""),"",IFERROR(INDEX('Tabla XP'!$B$2:$B$12,MATCH(D1122,'Tabla XP'!$A$2:$A$12,0))*IF(E1122="",1,E1122),0))</f>
        <v/>
      </c>
      <c r="G1122" s="19" t="n"/>
      <c r="H1122" s="19" t="n"/>
    </row>
    <row r="1123">
      <c r="A1123" s="22" t="n"/>
      <c r="B1123" s="19" t="n"/>
      <c r="C1123" s="18">
        <f>IF(B1123="","",IFERROR(INDEX(Jugadores!$C$2:$C$501,MATCH(B1123,Jugadores!$A$2:$A$501,0)),"⚠ ID no existe"))</f>
        <v/>
      </c>
      <c r="D1123" s="19" t="n"/>
      <c r="E1123" s="19" t="n"/>
      <c r="F1123" s="16">
        <f>IF(OR(B1123="",D1123=""),"",IFERROR(INDEX('Tabla XP'!$B$2:$B$12,MATCH(D1123,'Tabla XP'!$A$2:$A$12,0))*IF(E1123="",1,E1123),0))</f>
        <v/>
      </c>
      <c r="G1123" s="19" t="n"/>
      <c r="H1123" s="19" t="n"/>
    </row>
    <row r="1124">
      <c r="A1124" s="22" t="n"/>
      <c r="B1124" s="19" t="n"/>
      <c r="C1124" s="18">
        <f>IF(B1124="","",IFERROR(INDEX(Jugadores!$C$2:$C$501,MATCH(B1124,Jugadores!$A$2:$A$501,0)),"⚠ ID no existe"))</f>
        <v/>
      </c>
      <c r="D1124" s="19" t="n"/>
      <c r="E1124" s="19" t="n"/>
      <c r="F1124" s="16">
        <f>IF(OR(B1124="",D1124=""),"",IFERROR(INDEX('Tabla XP'!$B$2:$B$12,MATCH(D1124,'Tabla XP'!$A$2:$A$12,0))*IF(E1124="",1,E1124),0))</f>
        <v/>
      </c>
      <c r="G1124" s="19" t="n"/>
      <c r="H1124" s="19" t="n"/>
    </row>
    <row r="1125">
      <c r="A1125" s="22" t="n"/>
      <c r="B1125" s="19" t="n"/>
      <c r="C1125" s="18">
        <f>IF(B1125="","",IFERROR(INDEX(Jugadores!$C$2:$C$501,MATCH(B1125,Jugadores!$A$2:$A$501,0)),"⚠ ID no existe"))</f>
        <v/>
      </c>
      <c r="D1125" s="19" t="n"/>
      <c r="E1125" s="19" t="n"/>
      <c r="F1125" s="16">
        <f>IF(OR(B1125="",D1125=""),"",IFERROR(INDEX('Tabla XP'!$B$2:$B$12,MATCH(D1125,'Tabla XP'!$A$2:$A$12,0))*IF(E1125="",1,E1125),0))</f>
        <v/>
      </c>
      <c r="G1125" s="19" t="n"/>
      <c r="H1125" s="19" t="n"/>
    </row>
    <row r="1126">
      <c r="A1126" s="22" t="n"/>
      <c r="B1126" s="19" t="n"/>
      <c r="C1126" s="18">
        <f>IF(B1126="","",IFERROR(INDEX(Jugadores!$C$2:$C$501,MATCH(B1126,Jugadores!$A$2:$A$501,0)),"⚠ ID no existe"))</f>
        <v/>
      </c>
      <c r="D1126" s="19" t="n"/>
      <c r="E1126" s="19" t="n"/>
      <c r="F1126" s="16">
        <f>IF(OR(B1126="",D1126=""),"",IFERROR(INDEX('Tabla XP'!$B$2:$B$12,MATCH(D1126,'Tabla XP'!$A$2:$A$12,0))*IF(E1126="",1,E1126),0))</f>
        <v/>
      </c>
      <c r="G1126" s="19" t="n"/>
      <c r="H1126" s="19" t="n"/>
    </row>
    <row r="1127">
      <c r="A1127" s="22" t="n"/>
      <c r="B1127" s="19" t="n"/>
      <c r="C1127" s="18">
        <f>IF(B1127="","",IFERROR(INDEX(Jugadores!$C$2:$C$501,MATCH(B1127,Jugadores!$A$2:$A$501,0)),"⚠ ID no existe"))</f>
        <v/>
      </c>
      <c r="D1127" s="19" t="n"/>
      <c r="E1127" s="19" t="n"/>
      <c r="F1127" s="16">
        <f>IF(OR(B1127="",D1127=""),"",IFERROR(INDEX('Tabla XP'!$B$2:$B$12,MATCH(D1127,'Tabla XP'!$A$2:$A$12,0))*IF(E1127="",1,E1127),0))</f>
        <v/>
      </c>
      <c r="G1127" s="19" t="n"/>
      <c r="H1127" s="19" t="n"/>
    </row>
    <row r="1128">
      <c r="A1128" s="22" t="n"/>
      <c r="B1128" s="19" t="n"/>
      <c r="C1128" s="18">
        <f>IF(B1128="","",IFERROR(INDEX(Jugadores!$C$2:$C$501,MATCH(B1128,Jugadores!$A$2:$A$501,0)),"⚠ ID no existe"))</f>
        <v/>
      </c>
      <c r="D1128" s="19" t="n"/>
      <c r="E1128" s="19" t="n"/>
      <c r="F1128" s="16">
        <f>IF(OR(B1128="",D1128=""),"",IFERROR(INDEX('Tabla XP'!$B$2:$B$12,MATCH(D1128,'Tabla XP'!$A$2:$A$12,0))*IF(E1128="",1,E1128),0))</f>
        <v/>
      </c>
      <c r="G1128" s="19" t="n"/>
      <c r="H1128" s="19" t="n"/>
    </row>
    <row r="1129">
      <c r="A1129" s="22" t="n"/>
      <c r="B1129" s="19" t="n"/>
      <c r="C1129" s="18">
        <f>IF(B1129="","",IFERROR(INDEX(Jugadores!$C$2:$C$501,MATCH(B1129,Jugadores!$A$2:$A$501,0)),"⚠ ID no existe"))</f>
        <v/>
      </c>
      <c r="D1129" s="19" t="n"/>
      <c r="E1129" s="19" t="n"/>
      <c r="F1129" s="16">
        <f>IF(OR(B1129="",D1129=""),"",IFERROR(INDEX('Tabla XP'!$B$2:$B$12,MATCH(D1129,'Tabla XP'!$A$2:$A$12,0))*IF(E1129="",1,E1129),0))</f>
        <v/>
      </c>
      <c r="G1129" s="19" t="n"/>
      <c r="H1129" s="19" t="n"/>
    </row>
    <row r="1130">
      <c r="A1130" s="22" t="n"/>
      <c r="B1130" s="19" t="n"/>
      <c r="C1130" s="18">
        <f>IF(B1130="","",IFERROR(INDEX(Jugadores!$C$2:$C$501,MATCH(B1130,Jugadores!$A$2:$A$501,0)),"⚠ ID no existe"))</f>
        <v/>
      </c>
      <c r="D1130" s="19" t="n"/>
      <c r="E1130" s="19" t="n"/>
      <c r="F1130" s="16">
        <f>IF(OR(B1130="",D1130=""),"",IFERROR(INDEX('Tabla XP'!$B$2:$B$12,MATCH(D1130,'Tabla XP'!$A$2:$A$12,0))*IF(E1130="",1,E1130),0))</f>
        <v/>
      </c>
      <c r="G1130" s="19" t="n"/>
      <c r="H1130" s="19" t="n"/>
    </row>
    <row r="1131">
      <c r="A1131" s="22" t="n"/>
      <c r="B1131" s="19" t="n"/>
      <c r="C1131" s="18">
        <f>IF(B1131="","",IFERROR(INDEX(Jugadores!$C$2:$C$501,MATCH(B1131,Jugadores!$A$2:$A$501,0)),"⚠ ID no existe"))</f>
        <v/>
      </c>
      <c r="D1131" s="19" t="n"/>
      <c r="E1131" s="19" t="n"/>
      <c r="F1131" s="16">
        <f>IF(OR(B1131="",D1131=""),"",IFERROR(INDEX('Tabla XP'!$B$2:$B$12,MATCH(D1131,'Tabla XP'!$A$2:$A$12,0))*IF(E1131="",1,E1131),0))</f>
        <v/>
      </c>
      <c r="G1131" s="19" t="n"/>
      <c r="H1131" s="19" t="n"/>
    </row>
    <row r="1132">
      <c r="A1132" s="22" t="n"/>
      <c r="B1132" s="19" t="n"/>
      <c r="C1132" s="18">
        <f>IF(B1132="","",IFERROR(INDEX(Jugadores!$C$2:$C$501,MATCH(B1132,Jugadores!$A$2:$A$501,0)),"⚠ ID no existe"))</f>
        <v/>
      </c>
      <c r="D1132" s="19" t="n"/>
      <c r="E1132" s="19" t="n"/>
      <c r="F1132" s="16">
        <f>IF(OR(B1132="",D1132=""),"",IFERROR(INDEX('Tabla XP'!$B$2:$B$12,MATCH(D1132,'Tabla XP'!$A$2:$A$12,0))*IF(E1132="",1,E1132),0))</f>
        <v/>
      </c>
      <c r="G1132" s="19" t="n"/>
      <c r="H1132" s="19" t="n"/>
    </row>
    <row r="1133">
      <c r="A1133" s="22" t="n"/>
      <c r="B1133" s="19" t="n"/>
      <c r="C1133" s="18">
        <f>IF(B1133="","",IFERROR(INDEX(Jugadores!$C$2:$C$501,MATCH(B1133,Jugadores!$A$2:$A$501,0)),"⚠ ID no existe"))</f>
        <v/>
      </c>
      <c r="D1133" s="19" t="n"/>
      <c r="E1133" s="19" t="n"/>
      <c r="F1133" s="16">
        <f>IF(OR(B1133="",D1133=""),"",IFERROR(INDEX('Tabla XP'!$B$2:$B$12,MATCH(D1133,'Tabla XP'!$A$2:$A$12,0))*IF(E1133="",1,E1133),0))</f>
        <v/>
      </c>
      <c r="G1133" s="19" t="n"/>
      <c r="H1133" s="19" t="n"/>
    </row>
    <row r="1134">
      <c r="A1134" s="22" t="n"/>
      <c r="B1134" s="19" t="n"/>
      <c r="C1134" s="18">
        <f>IF(B1134="","",IFERROR(INDEX(Jugadores!$C$2:$C$501,MATCH(B1134,Jugadores!$A$2:$A$501,0)),"⚠ ID no existe"))</f>
        <v/>
      </c>
      <c r="D1134" s="19" t="n"/>
      <c r="E1134" s="19" t="n"/>
      <c r="F1134" s="16">
        <f>IF(OR(B1134="",D1134=""),"",IFERROR(INDEX('Tabla XP'!$B$2:$B$12,MATCH(D1134,'Tabla XP'!$A$2:$A$12,0))*IF(E1134="",1,E1134),0))</f>
        <v/>
      </c>
      <c r="G1134" s="19" t="n"/>
      <c r="H1134" s="19" t="n"/>
    </row>
    <row r="1135">
      <c r="A1135" s="22" t="n"/>
      <c r="B1135" s="19" t="n"/>
      <c r="C1135" s="18">
        <f>IF(B1135="","",IFERROR(INDEX(Jugadores!$C$2:$C$501,MATCH(B1135,Jugadores!$A$2:$A$501,0)),"⚠ ID no existe"))</f>
        <v/>
      </c>
      <c r="D1135" s="19" t="n"/>
      <c r="E1135" s="19" t="n"/>
      <c r="F1135" s="16">
        <f>IF(OR(B1135="",D1135=""),"",IFERROR(INDEX('Tabla XP'!$B$2:$B$12,MATCH(D1135,'Tabla XP'!$A$2:$A$12,0))*IF(E1135="",1,E1135),0))</f>
        <v/>
      </c>
      <c r="G1135" s="19" t="n"/>
      <c r="H1135" s="19" t="n"/>
    </row>
    <row r="1136">
      <c r="A1136" s="22" t="n"/>
      <c r="B1136" s="19" t="n"/>
      <c r="C1136" s="18">
        <f>IF(B1136="","",IFERROR(INDEX(Jugadores!$C$2:$C$501,MATCH(B1136,Jugadores!$A$2:$A$501,0)),"⚠ ID no existe"))</f>
        <v/>
      </c>
      <c r="D1136" s="19" t="n"/>
      <c r="E1136" s="19" t="n"/>
      <c r="F1136" s="16">
        <f>IF(OR(B1136="",D1136=""),"",IFERROR(INDEX('Tabla XP'!$B$2:$B$12,MATCH(D1136,'Tabla XP'!$A$2:$A$12,0))*IF(E1136="",1,E1136),0))</f>
        <v/>
      </c>
      <c r="G1136" s="19" t="n"/>
      <c r="H1136" s="19" t="n"/>
    </row>
    <row r="1137">
      <c r="A1137" s="22" t="n"/>
      <c r="B1137" s="19" t="n"/>
      <c r="C1137" s="18">
        <f>IF(B1137="","",IFERROR(INDEX(Jugadores!$C$2:$C$501,MATCH(B1137,Jugadores!$A$2:$A$501,0)),"⚠ ID no existe"))</f>
        <v/>
      </c>
      <c r="D1137" s="19" t="n"/>
      <c r="E1137" s="19" t="n"/>
      <c r="F1137" s="16">
        <f>IF(OR(B1137="",D1137=""),"",IFERROR(INDEX('Tabla XP'!$B$2:$B$12,MATCH(D1137,'Tabla XP'!$A$2:$A$12,0))*IF(E1137="",1,E1137),0))</f>
        <v/>
      </c>
      <c r="G1137" s="19" t="n"/>
      <c r="H1137" s="19" t="n"/>
    </row>
    <row r="1138">
      <c r="A1138" s="22" t="n"/>
      <c r="B1138" s="19" t="n"/>
      <c r="C1138" s="18">
        <f>IF(B1138="","",IFERROR(INDEX(Jugadores!$C$2:$C$501,MATCH(B1138,Jugadores!$A$2:$A$501,0)),"⚠ ID no existe"))</f>
        <v/>
      </c>
      <c r="D1138" s="19" t="n"/>
      <c r="E1138" s="19" t="n"/>
      <c r="F1138" s="16">
        <f>IF(OR(B1138="",D1138=""),"",IFERROR(INDEX('Tabla XP'!$B$2:$B$12,MATCH(D1138,'Tabla XP'!$A$2:$A$12,0))*IF(E1138="",1,E1138),0))</f>
        <v/>
      </c>
      <c r="G1138" s="19" t="n"/>
      <c r="H1138" s="19" t="n"/>
    </row>
    <row r="1139">
      <c r="A1139" s="22" t="n"/>
      <c r="B1139" s="19" t="n"/>
      <c r="C1139" s="18">
        <f>IF(B1139="","",IFERROR(INDEX(Jugadores!$C$2:$C$501,MATCH(B1139,Jugadores!$A$2:$A$501,0)),"⚠ ID no existe"))</f>
        <v/>
      </c>
      <c r="D1139" s="19" t="n"/>
      <c r="E1139" s="19" t="n"/>
      <c r="F1139" s="16">
        <f>IF(OR(B1139="",D1139=""),"",IFERROR(INDEX('Tabla XP'!$B$2:$B$12,MATCH(D1139,'Tabla XP'!$A$2:$A$12,0))*IF(E1139="",1,E1139),0))</f>
        <v/>
      </c>
      <c r="G1139" s="19" t="n"/>
      <c r="H1139" s="19" t="n"/>
    </row>
    <row r="1140">
      <c r="A1140" s="22" t="n"/>
      <c r="B1140" s="19" t="n"/>
      <c r="C1140" s="18">
        <f>IF(B1140="","",IFERROR(INDEX(Jugadores!$C$2:$C$501,MATCH(B1140,Jugadores!$A$2:$A$501,0)),"⚠ ID no existe"))</f>
        <v/>
      </c>
      <c r="D1140" s="19" t="n"/>
      <c r="E1140" s="19" t="n"/>
      <c r="F1140" s="16">
        <f>IF(OR(B1140="",D1140=""),"",IFERROR(INDEX('Tabla XP'!$B$2:$B$12,MATCH(D1140,'Tabla XP'!$A$2:$A$12,0))*IF(E1140="",1,E1140),0))</f>
        <v/>
      </c>
      <c r="G1140" s="19" t="n"/>
      <c r="H1140" s="19" t="n"/>
    </row>
    <row r="1141">
      <c r="A1141" s="22" t="n"/>
      <c r="B1141" s="19" t="n"/>
      <c r="C1141" s="18">
        <f>IF(B1141="","",IFERROR(INDEX(Jugadores!$C$2:$C$501,MATCH(B1141,Jugadores!$A$2:$A$501,0)),"⚠ ID no existe"))</f>
        <v/>
      </c>
      <c r="D1141" s="19" t="n"/>
      <c r="E1141" s="19" t="n"/>
      <c r="F1141" s="16">
        <f>IF(OR(B1141="",D1141=""),"",IFERROR(INDEX('Tabla XP'!$B$2:$B$12,MATCH(D1141,'Tabla XP'!$A$2:$A$12,0))*IF(E1141="",1,E1141),0))</f>
        <v/>
      </c>
      <c r="G1141" s="19" t="n"/>
      <c r="H1141" s="19" t="n"/>
    </row>
    <row r="1142">
      <c r="A1142" s="22" t="n"/>
      <c r="B1142" s="19" t="n"/>
      <c r="C1142" s="18">
        <f>IF(B1142="","",IFERROR(INDEX(Jugadores!$C$2:$C$501,MATCH(B1142,Jugadores!$A$2:$A$501,0)),"⚠ ID no existe"))</f>
        <v/>
      </c>
      <c r="D1142" s="19" t="n"/>
      <c r="E1142" s="19" t="n"/>
      <c r="F1142" s="16">
        <f>IF(OR(B1142="",D1142=""),"",IFERROR(INDEX('Tabla XP'!$B$2:$B$12,MATCH(D1142,'Tabla XP'!$A$2:$A$12,0))*IF(E1142="",1,E1142),0))</f>
        <v/>
      </c>
      <c r="G1142" s="19" t="n"/>
      <c r="H1142" s="19" t="n"/>
    </row>
    <row r="1143">
      <c r="A1143" s="22" t="n"/>
      <c r="B1143" s="19" t="n"/>
      <c r="C1143" s="18">
        <f>IF(B1143="","",IFERROR(INDEX(Jugadores!$C$2:$C$501,MATCH(B1143,Jugadores!$A$2:$A$501,0)),"⚠ ID no existe"))</f>
        <v/>
      </c>
      <c r="D1143" s="19" t="n"/>
      <c r="E1143" s="19" t="n"/>
      <c r="F1143" s="16">
        <f>IF(OR(B1143="",D1143=""),"",IFERROR(INDEX('Tabla XP'!$B$2:$B$12,MATCH(D1143,'Tabla XP'!$A$2:$A$12,0))*IF(E1143="",1,E1143),0))</f>
        <v/>
      </c>
      <c r="G1143" s="19" t="n"/>
      <c r="H1143" s="19" t="n"/>
    </row>
    <row r="1144">
      <c r="A1144" s="22" t="n"/>
      <c r="B1144" s="19" t="n"/>
      <c r="C1144" s="18">
        <f>IF(B1144="","",IFERROR(INDEX(Jugadores!$C$2:$C$501,MATCH(B1144,Jugadores!$A$2:$A$501,0)),"⚠ ID no existe"))</f>
        <v/>
      </c>
      <c r="D1144" s="19" t="n"/>
      <c r="E1144" s="19" t="n"/>
      <c r="F1144" s="16">
        <f>IF(OR(B1144="",D1144=""),"",IFERROR(INDEX('Tabla XP'!$B$2:$B$12,MATCH(D1144,'Tabla XP'!$A$2:$A$12,0))*IF(E1144="",1,E1144),0))</f>
        <v/>
      </c>
      <c r="G1144" s="19" t="n"/>
      <c r="H1144" s="19" t="n"/>
    </row>
    <row r="1145">
      <c r="A1145" s="22" t="n"/>
      <c r="B1145" s="19" t="n"/>
      <c r="C1145" s="18">
        <f>IF(B1145="","",IFERROR(INDEX(Jugadores!$C$2:$C$501,MATCH(B1145,Jugadores!$A$2:$A$501,0)),"⚠ ID no existe"))</f>
        <v/>
      </c>
      <c r="D1145" s="19" t="n"/>
      <c r="E1145" s="19" t="n"/>
      <c r="F1145" s="16">
        <f>IF(OR(B1145="",D1145=""),"",IFERROR(INDEX('Tabla XP'!$B$2:$B$12,MATCH(D1145,'Tabla XP'!$A$2:$A$12,0))*IF(E1145="",1,E1145),0))</f>
        <v/>
      </c>
      <c r="G1145" s="19" t="n"/>
      <c r="H1145" s="19" t="n"/>
    </row>
    <row r="1146">
      <c r="A1146" s="22" t="n"/>
      <c r="B1146" s="19" t="n"/>
      <c r="C1146" s="18">
        <f>IF(B1146="","",IFERROR(INDEX(Jugadores!$C$2:$C$501,MATCH(B1146,Jugadores!$A$2:$A$501,0)),"⚠ ID no existe"))</f>
        <v/>
      </c>
      <c r="D1146" s="19" t="n"/>
      <c r="E1146" s="19" t="n"/>
      <c r="F1146" s="16">
        <f>IF(OR(B1146="",D1146=""),"",IFERROR(INDEX('Tabla XP'!$B$2:$B$12,MATCH(D1146,'Tabla XP'!$A$2:$A$12,0))*IF(E1146="",1,E1146),0))</f>
        <v/>
      </c>
      <c r="G1146" s="19" t="n"/>
      <c r="H1146" s="19" t="n"/>
    </row>
    <row r="1147">
      <c r="A1147" s="22" t="n"/>
      <c r="B1147" s="19" t="n"/>
      <c r="C1147" s="18">
        <f>IF(B1147="","",IFERROR(INDEX(Jugadores!$C$2:$C$501,MATCH(B1147,Jugadores!$A$2:$A$501,0)),"⚠ ID no existe"))</f>
        <v/>
      </c>
      <c r="D1147" s="19" t="n"/>
      <c r="E1147" s="19" t="n"/>
      <c r="F1147" s="16">
        <f>IF(OR(B1147="",D1147=""),"",IFERROR(INDEX('Tabla XP'!$B$2:$B$12,MATCH(D1147,'Tabla XP'!$A$2:$A$12,0))*IF(E1147="",1,E1147),0))</f>
        <v/>
      </c>
      <c r="G1147" s="19" t="n"/>
      <c r="H1147" s="19" t="n"/>
    </row>
    <row r="1148">
      <c r="A1148" s="22" t="n"/>
      <c r="B1148" s="19" t="n"/>
      <c r="C1148" s="18">
        <f>IF(B1148="","",IFERROR(INDEX(Jugadores!$C$2:$C$501,MATCH(B1148,Jugadores!$A$2:$A$501,0)),"⚠ ID no existe"))</f>
        <v/>
      </c>
      <c r="D1148" s="19" t="n"/>
      <c r="E1148" s="19" t="n"/>
      <c r="F1148" s="16">
        <f>IF(OR(B1148="",D1148=""),"",IFERROR(INDEX('Tabla XP'!$B$2:$B$12,MATCH(D1148,'Tabla XP'!$A$2:$A$12,0))*IF(E1148="",1,E1148),0))</f>
        <v/>
      </c>
      <c r="G1148" s="19" t="n"/>
      <c r="H1148" s="19" t="n"/>
    </row>
    <row r="1149">
      <c r="A1149" s="22" t="n"/>
      <c r="B1149" s="19" t="n"/>
      <c r="C1149" s="18">
        <f>IF(B1149="","",IFERROR(INDEX(Jugadores!$C$2:$C$501,MATCH(B1149,Jugadores!$A$2:$A$501,0)),"⚠ ID no existe"))</f>
        <v/>
      </c>
      <c r="D1149" s="19" t="n"/>
      <c r="E1149" s="19" t="n"/>
      <c r="F1149" s="16">
        <f>IF(OR(B1149="",D1149=""),"",IFERROR(INDEX('Tabla XP'!$B$2:$B$12,MATCH(D1149,'Tabla XP'!$A$2:$A$12,0))*IF(E1149="",1,E1149),0))</f>
        <v/>
      </c>
      <c r="G1149" s="19" t="n"/>
      <c r="H1149" s="19" t="n"/>
    </row>
    <row r="1150">
      <c r="A1150" s="22" t="n"/>
      <c r="B1150" s="19" t="n"/>
      <c r="C1150" s="18">
        <f>IF(B1150="","",IFERROR(INDEX(Jugadores!$C$2:$C$501,MATCH(B1150,Jugadores!$A$2:$A$501,0)),"⚠ ID no existe"))</f>
        <v/>
      </c>
      <c r="D1150" s="19" t="n"/>
      <c r="E1150" s="19" t="n"/>
      <c r="F1150" s="16">
        <f>IF(OR(B1150="",D1150=""),"",IFERROR(INDEX('Tabla XP'!$B$2:$B$12,MATCH(D1150,'Tabla XP'!$A$2:$A$12,0))*IF(E1150="",1,E1150),0))</f>
        <v/>
      </c>
      <c r="G1150" s="19" t="n"/>
      <c r="H1150" s="19" t="n"/>
    </row>
    <row r="1151">
      <c r="A1151" s="22" t="n"/>
      <c r="B1151" s="19" t="n"/>
      <c r="C1151" s="18">
        <f>IF(B1151="","",IFERROR(INDEX(Jugadores!$C$2:$C$501,MATCH(B1151,Jugadores!$A$2:$A$501,0)),"⚠ ID no existe"))</f>
        <v/>
      </c>
      <c r="D1151" s="19" t="n"/>
      <c r="E1151" s="19" t="n"/>
      <c r="F1151" s="16">
        <f>IF(OR(B1151="",D1151=""),"",IFERROR(INDEX('Tabla XP'!$B$2:$B$12,MATCH(D1151,'Tabla XP'!$A$2:$A$12,0))*IF(E1151="",1,E1151),0))</f>
        <v/>
      </c>
      <c r="G1151" s="19" t="n"/>
      <c r="H1151" s="19" t="n"/>
    </row>
    <row r="1152">
      <c r="A1152" s="22" t="n"/>
      <c r="B1152" s="19" t="n"/>
      <c r="C1152" s="18">
        <f>IF(B1152="","",IFERROR(INDEX(Jugadores!$C$2:$C$501,MATCH(B1152,Jugadores!$A$2:$A$501,0)),"⚠ ID no existe"))</f>
        <v/>
      </c>
      <c r="D1152" s="19" t="n"/>
      <c r="E1152" s="19" t="n"/>
      <c r="F1152" s="16">
        <f>IF(OR(B1152="",D1152=""),"",IFERROR(INDEX('Tabla XP'!$B$2:$B$12,MATCH(D1152,'Tabla XP'!$A$2:$A$12,0))*IF(E1152="",1,E1152),0))</f>
        <v/>
      </c>
      <c r="G1152" s="19" t="n"/>
      <c r="H1152" s="19" t="n"/>
    </row>
    <row r="1153">
      <c r="A1153" s="22" t="n"/>
      <c r="B1153" s="19" t="n"/>
      <c r="C1153" s="18">
        <f>IF(B1153="","",IFERROR(INDEX(Jugadores!$C$2:$C$501,MATCH(B1153,Jugadores!$A$2:$A$501,0)),"⚠ ID no existe"))</f>
        <v/>
      </c>
      <c r="D1153" s="19" t="n"/>
      <c r="E1153" s="19" t="n"/>
      <c r="F1153" s="16">
        <f>IF(OR(B1153="",D1153=""),"",IFERROR(INDEX('Tabla XP'!$B$2:$B$12,MATCH(D1153,'Tabla XP'!$A$2:$A$12,0))*IF(E1153="",1,E1153),0))</f>
        <v/>
      </c>
      <c r="G1153" s="19" t="n"/>
      <c r="H1153" s="19" t="n"/>
    </row>
    <row r="1154">
      <c r="A1154" s="22" t="n"/>
      <c r="B1154" s="19" t="n"/>
      <c r="C1154" s="18">
        <f>IF(B1154="","",IFERROR(INDEX(Jugadores!$C$2:$C$501,MATCH(B1154,Jugadores!$A$2:$A$501,0)),"⚠ ID no existe"))</f>
        <v/>
      </c>
      <c r="D1154" s="19" t="n"/>
      <c r="E1154" s="19" t="n"/>
      <c r="F1154" s="16">
        <f>IF(OR(B1154="",D1154=""),"",IFERROR(INDEX('Tabla XP'!$B$2:$B$12,MATCH(D1154,'Tabla XP'!$A$2:$A$12,0))*IF(E1154="",1,E1154),0))</f>
        <v/>
      </c>
      <c r="G1154" s="19" t="n"/>
      <c r="H1154" s="19" t="n"/>
    </row>
    <row r="1155">
      <c r="A1155" s="22" t="n"/>
      <c r="B1155" s="19" t="n"/>
      <c r="C1155" s="18">
        <f>IF(B1155="","",IFERROR(INDEX(Jugadores!$C$2:$C$501,MATCH(B1155,Jugadores!$A$2:$A$501,0)),"⚠ ID no existe"))</f>
        <v/>
      </c>
      <c r="D1155" s="19" t="n"/>
      <c r="E1155" s="19" t="n"/>
      <c r="F1155" s="16">
        <f>IF(OR(B1155="",D1155=""),"",IFERROR(INDEX('Tabla XP'!$B$2:$B$12,MATCH(D1155,'Tabla XP'!$A$2:$A$12,0))*IF(E1155="",1,E1155),0))</f>
        <v/>
      </c>
      <c r="G1155" s="19" t="n"/>
      <c r="H1155" s="19" t="n"/>
    </row>
    <row r="1156">
      <c r="A1156" s="22" t="n"/>
      <c r="B1156" s="19" t="n"/>
      <c r="C1156" s="18">
        <f>IF(B1156="","",IFERROR(INDEX(Jugadores!$C$2:$C$501,MATCH(B1156,Jugadores!$A$2:$A$501,0)),"⚠ ID no existe"))</f>
        <v/>
      </c>
      <c r="D1156" s="19" t="n"/>
      <c r="E1156" s="19" t="n"/>
      <c r="F1156" s="16">
        <f>IF(OR(B1156="",D1156=""),"",IFERROR(INDEX('Tabla XP'!$B$2:$B$12,MATCH(D1156,'Tabla XP'!$A$2:$A$12,0))*IF(E1156="",1,E1156),0))</f>
        <v/>
      </c>
      <c r="G1156" s="19" t="n"/>
      <c r="H1156" s="19" t="n"/>
    </row>
    <row r="1157">
      <c r="A1157" s="22" t="n"/>
      <c r="B1157" s="19" t="n"/>
      <c r="C1157" s="18">
        <f>IF(B1157="","",IFERROR(INDEX(Jugadores!$C$2:$C$501,MATCH(B1157,Jugadores!$A$2:$A$501,0)),"⚠ ID no existe"))</f>
        <v/>
      </c>
      <c r="D1157" s="19" t="n"/>
      <c r="E1157" s="19" t="n"/>
      <c r="F1157" s="16">
        <f>IF(OR(B1157="",D1157=""),"",IFERROR(INDEX('Tabla XP'!$B$2:$B$12,MATCH(D1157,'Tabla XP'!$A$2:$A$12,0))*IF(E1157="",1,E1157),0))</f>
        <v/>
      </c>
      <c r="G1157" s="19" t="n"/>
      <c r="H1157" s="19" t="n"/>
    </row>
    <row r="1158">
      <c r="A1158" s="22" t="n"/>
      <c r="B1158" s="19" t="n"/>
      <c r="C1158" s="18">
        <f>IF(B1158="","",IFERROR(INDEX(Jugadores!$C$2:$C$501,MATCH(B1158,Jugadores!$A$2:$A$501,0)),"⚠ ID no existe"))</f>
        <v/>
      </c>
      <c r="D1158" s="19" t="n"/>
      <c r="E1158" s="19" t="n"/>
      <c r="F1158" s="16">
        <f>IF(OR(B1158="",D1158=""),"",IFERROR(INDEX('Tabla XP'!$B$2:$B$12,MATCH(D1158,'Tabla XP'!$A$2:$A$12,0))*IF(E1158="",1,E1158),0))</f>
        <v/>
      </c>
      <c r="G1158" s="19" t="n"/>
      <c r="H1158" s="19" t="n"/>
    </row>
    <row r="1159">
      <c r="A1159" s="22" t="n"/>
      <c r="B1159" s="19" t="n"/>
      <c r="C1159" s="18">
        <f>IF(B1159="","",IFERROR(INDEX(Jugadores!$C$2:$C$501,MATCH(B1159,Jugadores!$A$2:$A$501,0)),"⚠ ID no existe"))</f>
        <v/>
      </c>
      <c r="D1159" s="19" t="n"/>
      <c r="E1159" s="19" t="n"/>
      <c r="F1159" s="16">
        <f>IF(OR(B1159="",D1159=""),"",IFERROR(INDEX('Tabla XP'!$B$2:$B$12,MATCH(D1159,'Tabla XP'!$A$2:$A$12,0))*IF(E1159="",1,E1159),0))</f>
        <v/>
      </c>
      <c r="G1159" s="19" t="n"/>
      <c r="H1159" s="19" t="n"/>
    </row>
    <row r="1160">
      <c r="A1160" s="22" t="n"/>
      <c r="B1160" s="19" t="n"/>
      <c r="C1160" s="18">
        <f>IF(B1160="","",IFERROR(INDEX(Jugadores!$C$2:$C$501,MATCH(B1160,Jugadores!$A$2:$A$501,0)),"⚠ ID no existe"))</f>
        <v/>
      </c>
      <c r="D1160" s="19" t="n"/>
      <c r="E1160" s="19" t="n"/>
      <c r="F1160" s="16">
        <f>IF(OR(B1160="",D1160=""),"",IFERROR(INDEX('Tabla XP'!$B$2:$B$12,MATCH(D1160,'Tabla XP'!$A$2:$A$12,0))*IF(E1160="",1,E1160),0))</f>
        <v/>
      </c>
      <c r="G1160" s="19" t="n"/>
      <c r="H1160" s="19" t="n"/>
    </row>
    <row r="1161">
      <c r="A1161" s="22" t="n"/>
      <c r="B1161" s="19" t="n"/>
      <c r="C1161" s="18">
        <f>IF(B1161="","",IFERROR(INDEX(Jugadores!$C$2:$C$501,MATCH(B1161,Jugadores!$A$2:$A$501,0)),"⚠ ID no existe"))</f>
        <v/>
      </c>
      <c r="D1161" s="19" t="n"/>
      <c r="E1161" s="19" t="n"/>
      <c r="F1161" s="16">
        <f>IF(OR(B1161="",D1161=""),"",IFERROR(INDEX('Tabla XP'!$B$2:$B$12,MATCH(D1161,'Tabla XP'!$A$2:$A$12,0))*IF(E1161="",1,E1161),0))</f>
        <v/>
      </c>
      <c r="G1161" s="19" t="n"/>
      <c r="H1161" s="19" t="n"/>
    </row>
    <row r="1162">
      <c r="A1162" s="22" t="n"/>
      <c r="B1162" s="19" t="n"/>
      <c r="C1162" s="18">
        <f>IF(B1162="","",IFERROR(INDEX(Jugadores!$C$2:$C$501,MATCH(B1162,Jugadores!$A$2:$A$501,0)),"⚠ ID no existe"))</f>
        <v/>
      </c>
      <c r="D1162" s="19" t="n"/>
      <c r="E1162" s="19" t="n"/>
      <c r="F1162" s="16">
        <f>IF(OR(B1162="",D1162=""),"",IFERROR(INDEX('Tabla XP'!$B$2:$B$12,MATCH(D1162,'Tabla XP'!$A$2:$A$12,0))*IF(E1162="",1,E1162),0))</f>
        <v/>
      </c>
      <c r="G1162" s="19" t="n"/>
      <c r="H1162" s="19" t="n"/>
    </row>
    <row r="1163">
      <c r="A1163" s="22" t="n"/>
      <c r="B1163" s="19" t="n"/>
      <c r="C1163" s="18">
        <f>IF(B1163="","",IFERROR(INDEX(Jugadores!$C$2:$C$501,MATCH(B1163,Jugadores!$A$2:$A$501,0)),"⚠ ID no existe"))</f>
        <v/>
      </c>
      <c r="D1163" s="19" t="n"/>
      <c r="E1163" s="19" t="n"/>
      <c r="F1163" s="16">
        <f>IF(OR(B1163="",D1163=""),"",IFERROR(INDEX('Tabla XP'!$B$2:$B$12,MATCH(D1163,'Tabla XP'!$A$2:$A$12,0))*IF(E1163="",1,E1163),0))</f>
        <v/>
      </c>
      <c r="G1163" s="19" t="n"/>
      <c r="H1163" s="19" t="n"/>
    </row>
    <row r="1164">
      <c r="A1164" s="22" t="n"/>
      <c r="B1164" s="19" t="n"/>
      <c r="C1164" s="18">
        <f>IF(B1164="","",IFERROR(INDEX(Jugadores!$C$2:$C$501,MATCH(B1164,Jugadores!$A$2:$A$501,0)),"⚠ ID no existe"))</f>
        <v/>
      </c>
      <c r="D1164" s="19" t="n"/>
      <c r="E1164" s="19" t="n"/>
      <c r="F1164" s="16">
        <f>IF(OR(B1164="",D1164=""),"",IFERROR(INDEX('Tabla XP'!$B$2:$B$12,MATCH(D1164,'Tabla XP'!$A$2:$A$12,0))*IF(E1164="",1,E1164),0))</f>
        <v/>
      </c>
      <c r="G1164" s="19" t="n"/>
      <c r="H1164" s="19" t="n"/>
    </row>
    <row r="1165">
      <c r="A1165" s="22" t="n"/>
      <c r="B1165" s="19" t="n"/>
      <c r="C1165" s="18">
        <f>IF(B1165="","",IFERROR(INDEX(Jugadores!$C$2:$C$501,MATCH(B1165,Jugadores!$A$2:$A$501,0)),"⚠ ID no existe"))</f>
        <v/>
      </c>
      <c r="D1165" s="19" t="n"/>
      <c r="E1165" s="19" t="n"/>
      <c r="F1165" s="16">
        <f>IF(OR(B1165="",D1165=""),"",IFERROR(INDEX('Tabla XP'!$B$2:$B$12,MATCH(D1165,'Tabla XP'!$A$2:$A$12,0))*IF(E1165="",1,E1165),0))</f>
        <v/>
      </c>
      <c r="G1165" s="19" t="n"/>
      <c r="H1165" s="19" t="n"/>
    </row>
    <row r="1166">
      <c r="A1166" s="22" t="n"/>
      <c r="B1166" s="19" t="n"/>
      <c r="C1166" s="18">
        <f>IF(B1166="","",IFERROR(INDEX(Jugadores!$C$2:$C$501,MATCH(B1166,Jugadores!$A$2:$A$501,0)),"⚠ ID no existe"))</f>
        <v/>
      </c>
      <c r="D1166" s="19" t="n"/>
      <c r="E1166" s="19" t="n"/>
      <c r="F1166" s="16">
        <f>IF(OR(B1166="",D1166=""),"",IFERROR(INDEX('Tabla XP'!$B$2:$B$12,MATCH(D1166,'Tabla XP'!$A$2:$A$12,0))*IF(E1166="",1,E1166),0))</f>
        <v/>
      </c>
      <c r="G1166" s="19" t="n"/>
      <c r="H1166" s="19" t="n"/>
    </row>
    <row r="1167">
      <c r="A1167" s="22" t="n"/>
      <c r="B1167" s="19" t="n"/>
      <c r="C1167" s="18">
        <f>IF(B1167="","",IFERROR(INDEX(Jugadores!$C$2:$C$501,MATCH(B1167,Jugadores!$A$2:$A$501,0)),"⚠ ID no existe"))</f>
        <v/>
      </c>
      <c r="D1167" s="19" t="n"/>
      <c r="E1167" s="19" t="n"/>
      <c r="F1167" s="16">
        <f>IF(OR(B1167="",D1167=""),"",IFERROR(INDEX('Tabla XP'!$B$2:$B$12,MATCH(D1167,'Tabla XP'!$A$2:$A$12,0))*IF(E1167="",1,E1167),0))</f>
        <v/>
      </c>
      <c r="G1167" s="19" t="n"/>
      <c r="H1167" s="19" t="n"/>
    </row>
    <row r="1168">
      <c r="A1168" s="22" t="n"/>
      <c r="B1168" s="19" t="n"/>
      <c r="C1168" s="18">
        <f>IF(B1168="","",IFERROR(INDEX(Jugadores!$C$2:$C$501,MATCH(B1168,Jugadores!$A$2:$A$501,0)),"⚠ ID no existe"))</f>
        <v/>
      </c>
      <c r="D1168" s="19" t="n"/>
      <c r="E1168" s="19" t="n"/>
      <c r="F1168" s="16">
        <f>IF(OR(B1168="",D1168=""),"",IFERROR(INDEX('Tabla XP'!$B$2:$B$12,MATCH(D1168,'Tabla XP'!$A$2:$A$12,0))*IF(E1168="",1,E1168),0))</f>
        <v/>
      </c>
      <c r="G1168" s="19" t="n"/>
      <c r="H1168" s="19" t="n"/>
    </row>
    <row r="1169">
      <c r="A1169" s="22" t="n"/>
      <c r="B1169" s="19" t="n"/>
      <c r="C1169" s="18">
        <f>IF(B1169="","",IFERROR(INDEX(Jugadores!$C$2:$C$501,MATCH(B1169,Jugadores!$A$2:$A$501,0)),"⚠ ID no existe"))</f>
        <v/>
      </c>
      <c r="D1169" s="19" t="n"/>
      <c r="E1169" s="19" t="n"/>
      <c r="F1169" s="16">
        <f>IF(OR(B1169="",D1169=""),"",IFERROR(INDEX('Tabla XP'!$B$2:$B$12,MATCH(D1169,'Tabla XP'!$A$2:$A$12,0))*IF(E1169="",1,E1169),0))</f>
        <v/>
      </c>
      <c r="G1169" s="19" t="n"/>
      <c r="H1169" s="19" t="n"/>
    </row>
    <row r="1170">
      <c r="A1170" s="22" t="n"/>
      <c r="B1170" s="19" t="n"/>
      <c r="C1170" s="18">
        <f>IF(B1170="","",IFERROR(INDEX(Jugadores!$C$2:$C$501,MATCH(B1170,Jugadores!$A$2:$A$501,0)),"⚠ ID no existe"))</f>
        <v/>
      </c>
      <c r="D1170" s="19" t="n"/>
      <c r="E1170" s="19" t="n"/>
      <c r="F1170" s="16">
        <f>IF(OR(B1170="",D1170=""),"",IFERROR(INDEX('Tabla XP'!$B$2:$B$12,MATCH(D1170,'Tabla XP'!$A$2:$A$12,0))*IF(E1170="",1,E1170),0))</f>
        <v/>
      </c>
      <c r="G1170" s="19" t="n"/>
      <c r="H1170" s="19" t="n"/>
    </row>
    <row r="1171">
      <c r="A1171" s="22" t="n"/>
      <c r="B1171" s="19" t="n"/>
      <c r="C1171" s="18">
        <f>IF(B1171="","",IFERROR(INDEX(Jugadores!$C$2:$C$501,MATCH(B1171,Jugadores!$A$2:$A$501,0)),"⚠ ID no existe"))</f>
        <v/>
      </c>
      <c r="D1171" s="19" t="n"/>
      <c r="E1171" s="19" t="n"/>
      <c r="F1171" s="16">
        <f>IF(OR(B1171="",D1171=""),"",IFERROR(INDEX('Tabla XP'!$B$2:$B$12,MATCH(D1171,'Tabla XP'!$A$2:$A$12,0))*IF(E1171="",1,E1171),0))</f>
        <v/>
      </c>
      <c r="G1171" s="19" t="n"/>
      <c r="H1171" s="19" t="n"/>
    </row>
    <row r="1172">
      <c r="A1172" s="22" t="n"/>
      <c r="B1172" s="19" t="n"/>
      <c r="C1172" s="18">
        <f>IF(B1172="","",IFERROR(INDEX(Jugadores!$C$2:$C$501,MATCH(B1172,Jugadores!$A$2:$A$501,0)),"⚠ ID no existe"))</f>
        <v/>
      </c>
      <c r="D1172" s="19" t="n"/>
      <c r="E1172" s="19" t="n"/>
      <c r="F1172" s="16">
        <f>IF(OR(B1172="",D1172=""),"",IFERROR(INDEX('Tabla XP'!$B$2:$B$12,MATCH(D1172,'Tabla XP'!$A$2:$A$12,0))*IF(E1172="",1,E1172),0))</f>
        <v/>
      </c>
      <c r="G1172" s="19" t="n"/>
      <c r="H1172" s="19" t="n"/>
    </row>
    <row r="1173">
      <c r="A1173" s="22" t="n"/>
      <c r="B1173" s="19" t="n"/>
      <c r="C1173" s="18">
        <f>IF(B1173="","",IFERROR(INDEX(Jugadores!$C$2:$C$501,MATCH(B1173,Jugadores!$A$2:$A$501,0)),"⚠ ID no existe"))</f>
        <v/>
      </c>
      <c r="D1173" s="19" t="n"/>
      <c r="E1173" s="19" t="n"/>
      <c r="F1173" s="16">
        <f>IF(OR(B1173="",D1173=""),"",IFERROR(INDEX('Tabla XP'!$B$2:$B$12,MATCH(D1173,'Tabla XP'!$A$2:$A$12,0))*IF(E1173="",1,E1173),0))</f>
        <v/>
      </c>
      <c r="G1173" s="19" t="n"/>
      <c r="H1173" s="19" t="n"/>
    </row>
    <row r="1174">
      <c r="A1174" s="22" t="n"/>
      <c r="B1174" s="19" t="n"/>
      <c r="C1174" s="18">
        <f>IF(B1174="","",IFERROR(INDEX(Jugadores!$C$2:$C$501,MATCH(B1174,Jugadores!$A$2:$A$501,0)),"⚠ ID no existe"))</f>
        <v/>
      </c>
      <c r="D1174" s="19" t="n"/>
      <c r="E1174" s="19" t="n"/>
      <c r="F1174" s="16">
        <f>IF(OR(B1174="",D1174=""),"",IFERROR(INDEX('Tabla XP'!$B$2:$B$12,MATCH(D1174,'Tabla XP'!$A$2:$A$12,0))*IF(E1174="",1,E1174),0))</f>
        <v/>
      </c>
      <c r="G1174" s="19" t="n"/>
      <c r="H1174" s="19" t="n"/>
    </row>
    <row r="1175">
      <c r="A1175" s="22" t="n"/>
      <c r="B1175" s="19" t="n"/>
      <c r="C1175" s="18">
        <f>IF(B1175="","",IFERROR(INDEX(Jugadores!$C$2:$C$501,MATCH(B1175,Jugadores!$A$2:$A$501,0)),"⚠ ID no existe"))</f>
        <v/>
      </c>
      <c r="D1175" s="19" t="n"/>
      <c r="E1175" s="19" t="n"/>
      <c r="F1175" s="16">
        <f>IF(OR(B1175="",D1175=""),"",IFERROR(INDEX('Tabla XP'!$B$2:$B$12,MATCH(D1175,'Tabla XP'!$A$2:$A$12,0))*IF(E1175="",1,E1175),0))</f>
        <v/>
      </c>
      <c r="G1175" s="19" t="n"/>
      <c r="H1175" s="19" t="n"/>
    </row>
    <row r="1176">
      <c r="A1176" s="22" t="n"/>
      <c r="B1176" s="19" t="n"/>
      <c r="C1176" s="18">
        <f>IF(B1176="","",IFERROR(INDEX(Jugadores!$C$2:$C$501,MATCH(B1176,Jugadores!$A$2:$A$501,0)),"⚠ ID no existe"))</f>
        <v/>
      </c>
      <c r="D1176" s="19" t="n"/>
      <c r="E1176" s="19" t="n"/>
      <c r="F1176" s="16">
        <f>IF(OR(B1176="",D1176=""),"",IFERROR(INDEX('Tabla XP'!$B$2:$B$12,MATCH(D1176,'Tabla XP'!$A$2:$A$12,0))*IF(E1176="",1,E1176),0))</f>
        <v/>
      </c>
      <c r="G1176" s="19" t="n"/>
      <c r="H1176" s="19" t="n"/>
    </row>
    <row r="1177">
      <c r="A1177" s="22" t="n"/>
      <c r="B1177" s="19" t="n"/>
      <c r="C1177" s="18">
        <f>IF(B1177="","",IFERROR(INDEX(Jugadores!$C$2:$C$501,MATCH(B1177,Jugadores!$A$2:$A$501,0)),"⚠ ID no existe"))</f>
        <v/>
      </c>
      <c r="D1177" s="19" t="n"/>
      <c r="E1177" s="19" t="n"/>
      <c r="F1177" s="16">
        <f>IF(OR(B1177="",D1177=""),"",IFERROR(INDEX('Tabla XP'!$B$2:$B$12,MATCH(D1177,'Tabla XP'!$A$2:$A$12,0))*IF(E1177="",1,E1177),0))</f>
        <v/>
      </c>
      <c r="G1177" s="19" t="n"/>
      <c r="H1177" s="19" t="n"/>
    </row>
    <row r="1178">
      <c r="A1178" s="22" t="n"/>
      <c r="B1178" s="19" t="n"/>
      <c r="C1178" s="18">
        <f>IF(B1178="","",IFERROR(INDEX(Jugadores!$C$2:$C$501,MATCH(B1178,Jugadores!$A$2:$A$501,0)),"⚠ ID no existe"))</f>
        <v/>
      </c>
      <c r="D1178" s="19" t="n"/>
      <c r="E1178" s="19" t="n"/>
      <c r="F1178" s="16">
        <f>IF(OR(B1178="",D1178=""),"",IFERROR(INDEX('Tabla XP'!$B$2:$B$12,MATCH(D1178,'Tabla XP'!$A$2:$A$12,0))*IF(E1178="",1,E1178),0))</f>
        <v/>
      </c>
      <c r="G1178" s="19" t="n"/>
      <c r="H1178" s="19" t="n"/>
    </row>
    <row r="1179">
      <c r="A1179" s="22" t="n"/>
      <c r="B1179" s="19" t="n"/>
      <c r="C1179" s="18">
        <f>IF(B1179="","",IFERROR(INDEX(Jugadores!$C$2:$C$501,MATCH(B1179,Jugadores!$A$2:$A$501,0)),"⚠ ID no existe"))</f>
        <v/>
      </c>
      <c r="D1179" s="19" t="n"/>
      <c r="E1179" s="19" t="n"/>
      <c r="F1179" s="16">
        <f>IF(OR(B1179="",D1179=""),"",IFERROR(INDEX('Tabla XP'!$B$2:$B$12,MATCH(D1179,'Tabla XP'!$A$2:$A$12,0))*IF(E1179="",1,E1179),0))</f>
        <v/>
      </c>
      <c r="G1179" s="19" t="n"/>
      <c r="H1179" s="19" t="n"/>
    </row>
    <row r="1180">
      <c r="A1180" s="22" t="n"/>
      <c r="B1180" s="19" t="n"/>
      <c r="C1180" s="18">
        <f>IF(B1180="","",IFERROR(INDEX(Jugadores!$C$2:$C$501,MATCH(B1180,Jugadores!$A$2:$A$501,0)),"⚠ ID no existe"))</f>
        <v/>
      </c>
      <c r="D1180" s="19" t="n"/>
      <c r="E1180" s="19" t="n"/>
      <c r="F1180" s="16">
        <f>IF(OR(B1180="",D1180=""),"",IFERROR(INDEX('Tabla XP'!$B$2:$B$12,MATCH(D1180,'Tabla XP'!$A$2:$A$12,0))*IF(E1180="",1,E1180),0))</f>
        <v/>
      </c>
      <c r="G1180" s="19" t="n"/>
      <c r="H1180" s="19" t="n"/>
    </row>
    <row r="1181">
      <c r="A1181" s="22" t="n"/>
      <c r="B1181" s="19" t="n"/>
      <c r="C1181" s="18">
        <f>IF(B1181="","",IFERROR(INDEX(Jugadores!$C$2:$C$501,MATCH(B1181,Jugadores!$A$2:$A$501,0)),"⚠ ID no existe"))</f>
        <v/>
      </c>
      <c r="D1181" s="19" t="n"/>
      <c r="E1181" s="19" t="n"/>
      <c r="F1181" s="16">
        <f>IF(OR(B1181="",D1181=""),"",IFERROR(INDEX('Tabla XP'!$B$2:$B$12,MATCH(D1181,'Tabla XP'!$A$2:$A$12,0))*IF(E1181="",1,E1181),0))</f>
        <v/>
      </c>
      <c r="G1181" s="19" t="n"/>
      <c r="H1181" s="19" t="n"/>
    </row>
    <row r="1182">
      <c r="A1182" s="22" t="n"/>
      <c r="B1182" s="19" t="n"/>
      <c r="C1182" s="18">
        <f>IF(B1182="","",IFERROR(INDEX(Jugadores!$C$2:$C$501,MATCH(B1182,Jugadores!$A$2:$A$501,0)),"⚠ ID no existe"))</f>
        <v/>
      </c>
      <c r="D1182" s="19" t="n"/>
      <c r="E1182" s="19" t="n"/>
      <c r="F1182" s="16">
        <f>IF(OR(B1182="",D1182=""),"",IFERROR(INDEX('Tabla XP'!$B$2:$B$12,MATCH(D1182,'Tabla XP'!$A$2:$A$12,0))*IF(E1182="",1,E1182),0))</f>
        <v/>
      </c>
      <c r="G1182" s="19" t="n"/>
      <c r="H1182" s="19" t="n"/>
    </row>
    <row r="1183">
      <c r="A1183" s="22" t="n"/>
      <c r="B1183" s="19" t="n"/>
      <c r="C1183" s="18">
        <f>IF(B1183="","",IFERROR(INDEX(Jugadores!$C$2:$C$501,MATCH(B1183,Jugadores!$A$2:$A$501,0)),"⚠ ID no existe"))</f>
        <v/>
      </c>
      <c r="D1183" s="19" t="n"/>
      <c r="E1183" s="19" t="n"/>
      <c r="F1183" s="16">
        <f>IF(OR(B1183="",D1183=""),"",IFERROR(INDEX('Tabla XP'!$B$2:$B$12,MATCH(D1183,'Tabla XP'!$A$2:$A$12,0))*IF(E1183="",1,E1183),0))</f>
        <v/>
      </c>
      <c r="G1183" s="19" t="n"/>
      <c r="H1183" s="19" t="n"/>
    </row>
    <row r="1184">
      <c r="A1184" s="22" t="n"/>
      <c r="B1184" s="19" t="n"/>
      <c r="C1184" s="18">
        <f>IF(B1184="","",IFERROR(INDEX(Jugadores!$C$2:$C$501,MATCH(B1184,Jugadores!$A$2:$A$501,0)),"⚠ ID no existe"))</f>
        <v/>
      </c>
      <c r="D1184" s="19" t="n"/>
      <c r="E1184" s="19" t="n"/>
      <c r="F1184" s="16">
        <f>IF(OR(B1184="",D1184=""),"",IFERROR(INDEX('Tabla XP'!$B$2:$B$12,MATCH(D1184,'Tabla XP'!$A$2:$A$12,0))*IF(E1184="",1,E1184),0))</f>
        <v/>
      </c>
      <c r="G1184" s="19" t="n"/>
      <c r="H1184" s="19" t="n"/>
    </row>
    <row r="1185">
      <c r="A1185" s="22" t="n"/>
      <c r="B1185" s="19" t="n"/>
      <c r="C1185" s="18">
        <f>IF(B1185="","",IFERROR(INDEX(Jugadores!$C$2:$C$501,MATCH(B1185,Jugadores!$A$2:$A$501,0)),"⚠ ID no existe"))</f>
        <v/>
      </c>
      <c r="D1185" s="19" t="n"/>
      <c r="E1185" s="19" t="n"/>
      <c r="F1185" s="16">
        <f>IF(OR(B1185="",D1185=""),"",IFERROR(INDEX('Tabla XP'!$B$2:$B$12,MATCH(D1185,'Tabla XP'!$A$2:$A$12,0))*IF(E1185="",1,E1185),0))</f>
        <v/>
      </c>
      <c r="G1185" s="19" t="n"/>
      <c r="H1185" s="19" t="n"/>
    </row>
    <row r="1186">
      <c r="A1186" s="22" t="n"/>
      <c r="B1186" s="19" t="n"/>
      <c r="C1186" s="18">
        <f>IF(B1186="","",IFERROR(INDEX(Jugadores!$C$2:$C$501,MATCH(B1186,Jugadores!$A$2:$A$501,0)),"⚠ ID no existe"))</f>
        <v/>
      </c>
      <c r="D1186" s="19" t="n"/>
      <c r="E1186" s="19" t="n"/>
      <c r="F1186" s="16">
        <f>IF(OR(B1186="",D1186=""),"",IFERROR(INDEX('Tabla XP'!$B$2:$B$12,MATCH(D1186,'Tabla XP'!$A$2:$A$12,0))*IF(E1186="",1,E1186),0))</f>
        <v/>
      </c>
      <c r="G1186" s="19" t="n"/>
      <c r="H1186" s="19" t="n"/>
    </row>
    <row r="1187">
      <c r="A1187" s="22" t="n"/>
      <c r="B1187" s="19" t="n"/>
      <c r="C1187" s="18">
        <f>IF(B1187="","",IFERROR(INDEX(Jugadores!$C$2:$C$501,MATCH(B1187,Jugadores!$A$2:$A$501,0)),"⚠ ID no existe"))</f>
        <v/>
      </c>
      <c r="D1187" s="19" t="n"/>
      <c r="E1187" s="19" t="n"/>
      <c r="F1187" s="16">
        <f>IF(OR(B1187="",D1187=""),"",IFERROR(INDEX('Tabla XP'!$B$2:$B$12,MATCH(D1187,'Tabla XP'!$A$2:$A$12,0))*IF(E1187="",1,E1187),0))</f>
        <v/>
      </c>
      <c r="G1187" s="19" t="n"/>
      <c r="H1187" s="19" t="n"/>
    </row>
    <row r="1188">
      <c r="A1188" s="22" t="n"/>
      <c r="B1188" s="19" t="n"/>
      <c r="C1188" s="18">
        <f>IF(B1188="","",IFERROR(INDEX(Jugadores!$C$2:$C$501,MATCH(B1188,Jugadores!$A$2:$A$501,0)),"⚠ ID no existe"))</f>
        <v/>
      </c>
      <c r="D1188" s="19" t="n"/>
      <c r="E1188" s="19" t="n"/>
      <c r="F1188" s="16">
        <f>IF(OR(B1188="",D1188=""),"",IFERROR(INDEX('Tabla XP'!$B$2:$B$12,MATCH(D1188,'Tabla XP'!$A$2:$A$12,0))*IF(E1188="",1,E1188),0))</f>
        <v/>
      </c>
      <c r="G1188" s="19" t="n"/>
      <c r="H1188" s="19" t="n"/>
    </row>
    <row r="1189">
      <c r="A1189" s="22" t="n"/>
      <c r="B1189" s="19" t="n"/>
      <c r="C1189" s="18">
        <f>IF(B1189="","",IFERROR(INDEX(Jugadores!$C$2:$C$501,MATCH(B1189,Jugadores!$A$2:$A$501,0)),"⚠ ID no existe"))</f>
        <v/>
      </c>
      <c r="D1189" s="19" t="n"/>
      <c r="E1189" s="19" t="n"/>
      <c r="F1189" s="16">
        <f>IF(OR(B1189="",D1189=""),"",IFERROR(INDEX('Tabla XP'!$B$2:$B$12,MATCH(D1189,'Tabla XP'!$A$2:$A$12,0))*IF(E1189="",1,E1189),0))</f>
        <v/>
      </c>
      <c r="G1189" s="19" t="n"/>
      <c r="H1189" s="19" t="n"/>
    </row>
    <row r="1190">
      <c r="A1190" s="22" t="n"/>
      <c r="B1190" s="19" t="n"/>
      <c r="C1190" s="18">
        <f>IF(B1190="","",IFERROR(INDEX(Jugadores!$C$2:$C$501,MATCH(B1190,Jugadores!$A$2:$A$501,0)),"⚠ ID no existe"))</f>
        <v/>
      </c>
      <c r="D1190" s="19" t="n"/>
      <c r="E1190" s="19" t="n"/>
      <c r="F1190" s="16">
        <f>IF(OR(B1190="",D1190=""),"",IFERROR(INDEX('Tabla XP'!$B$2:$B$12,MATCH(D1190,'Tabla XP'!$A$2:$A$12,0))*IF(E1190="",1,E1190),0))</f>
        <v/>
      </c>
      <c r="G1190" s="19" t="n"/>
      <c r="H1190" s="19" t="n"/>
    </row>
    <row r="1191">
      <c r="A1191" s="22" t="n"/>
      <c r="B1191" s="19" t="n"/>
      <c r="C1191" s="18">
        <f>IF(B1191="","",IFERROR(INDEX(Jugadores!$C$2:$C$501,MATCH(B1191,Jugadores!$A$2:$A$501,0)),"⚠ ID no existe"))</f>
        <v/>
      </c>
      <c r="D1191" s="19" t="n"/>
      <c r="E1191" s="19" t="n"/>
      <c r="F1191" s="16">
        <f>IF(OR(B1191="",D1191=""),"",IFERROR(INDEX('Tabla XP'!$B$2:$B$12,MATCH(D1191,'Tabla XP'!$A$2:$A$12,0))*IF(E1191="",1,E1191),0))</f>
        <v/>
      </c>
      <c r="G1191" s="19" t="n"/>
      <c r="H1191" s="19" t="n"/>
    </row>
    <row r="1192">
      <c r="A1192" s="22" t="n"/>
      <c r="B1192" s="19" t="n"/>
      <c r="C1192" s="18">
        <f>IF(B1192="","",IFERROR(INDEX(Jugadores!$C$2:$C$501,MATCH(B1192,Jugadores!$A$2:$A$501,0)),"⚠ ID no existe"))</f>
        <v/>
      </c>
      <c r="D1192" s="19" t="n"/>
      <c r="E1192" s="19" t="n"/>
      <c r="F1192" s="16">
        <f>IF(OR(B1192="",D1192=""),"",IFERROR(INDEX('Tabla XP'!$B$2:$B$12,MATCH(D1192,'Tabla XP'!$A$2:$A$12,0))*IF(E1192="",1,E1192),0))</f>
        <v/>
      </c>
      <c r="G1192" s="19" t="n"/>
      <c r="H1192" s="19" t="n"/>
    </row>
    <row r="1193">
      <c r="A1193" s="22" t="n"/>
      <c r="B1193" s="19" t="n"/>
      <c r="C1193" s="18">
        <f>IF(B1193="","",IFERROR(INDEX(Jugadores!$C$2:$C$501,MATCH(B1193,Jugadores!$A$2:$A$501,0)),"⚠ ID no existe"))</f>
        <v/>
      </c>
      <c r="D1193" s="19" t="n"/>
      <c r="E1193" s="19" t="n"/>
      <c r="F1193" s="16">
        <f>IF(OR(B1193="",D1193=""),"",IFERROR(INDEX('Tabla XP'!$B$2:$B$12,MATCH(D1193,'Tabla XP'!$A$2:$A$12,0))*IF(E1193="",1,E1193),0))</f>
        <v/>
      </c>
      <c r="G1193" s="19" t="n"/>
      <c r="H1193" s="19" t="n"/>
    </row>
    <row r="1194">
      <c r="A1194" s="22" t="n"/>
      <c r="B1194" s="19" t="n"/>
      <c r="C1194" s="18">
        <f>IF(B1194="","",IFERROR(INDEX(Jugadores!$C$2:$C$501,MATCH(B1194,Jugadores!$A$2:$A$501,0)),"⚠ ID no existe"))</f>
        <v/>
      </c>
      <c r="D1194" s="19" t="n"/>
      <c r="E1194" s="19" t="n"/>
      <c r="F1194" s="16">
        <f>IF(OR(B1194="",D1194=""),"",IFERROR(INDEX('Tabla XP'!$B$2:$B$12,MATCH(D1194,'Tabla XP'!$A$2:$A$12,0))*IF(E1194="",1,E1194),0))</f>
        <v/>
      </c>
      <c r="G1194" s="19" t="n"/>
      <c r="H1194" s="19" t="n"/>
    </row>
    <row r="1195">
      <c r="A1195" s="22" t="n"/>
      <c r="B1195" s="19" t="n"/>
      <c r="C1195" s="18">
        <f>IF(B1195="","",IFERROR(INDEX(Jugadores!$C$2:$C$501,MATCH(B1195,Jugadores!$A$2:$A$501,0)),"⚠ ID no existe"))</f>
        <v/>
      </c>
      <c r="D1195" s="19" t="n"/>
      <c r="E1195" s="19" t="n"/>
      <c r="F1195" s="16">
        <f>IF(OR(B1195="",D1195=""),"",IFERROR(INDEX('Tabla XP'!$B$2:$B$12,MATCH(D1195,'Tabla XP'!$A$2:$A$12,0))*IF(E1195="",1,E1195),0))</f>
        <v/>
      </c>
      <c r="G1195" s="19" t="n"/>
      <c r="H1195" s="19" t="n"/>
    </row>
    <row r="1196">
      <c r="A1196" s="22" t="n"/>
      <c r="B1196" s="19" t="n"/>
      <c r="C1196" s="18">
        <f>IF(B1196="","",IFERROR(INDEX(Jugadores!$C$2:$C$501,MATCH(B1196,Jugadores!$A$2:$A$501,0)),"⚠ ID no existe"))</f>
        <v/>
      </c>
      <c r="D1196" s="19" t="n"/>
      <c r="E1196" s="19" t="n"/>
      <c r="F1196" s="16">
        <f>IF(OR(B1196="",D1196=""),"",IFERROR(INDEX('Tabla XP'!$B$2:$B$12,MATCH(D1196,'Tabla XP'!$A$2:$A$12,0))*IF(E1196="",1,E1196),0))</f>
        <v/>
      </c>
      <c r="G1196" s="19" t="n"/>
      <c r="H1196" s="19" t="n"/>
    </row>
    <row r="1197">
      <c r="A1197" s="22" t="n"/>
      <c r="B1197" s="19" t="n"/>
      <c r="C1197" s="18">
        <f>IF(B1197="","",IFERROR(INDEX(Jugadores!$C$2:$C$501,MATCH(B1197,Jugadores!$A$2:$A$501,0)),"⚠ ID no existe"))</f>
        <v/>
      </c>
      <c r="D1197" s="19" t="n"/>
      <c r="E1197" s="19" t="n"/>
      <c r="F1197" s="16">
        <f>IF(OR(B1197="",D1197=""),"",IFERROR(INDEX('Tabla XP'!$B$2:$B$12,MATCH(D1197,'Tabla XP'!$A$2:$A$12,0))*IF(E1197="",1,E1197),0))</f>
        <v/>
      </c>
      <c r="G1197" s="19" t="n"/>
      <c r="H1197" s="19" t="n"/>
    </row>
    <row r="1198">
      <c r="A1198" s="22" t="n"/>
      <c r="B1198" s="19" t="n"/>
      <c r="C1198" s="18">
        <f>IF(B1198="","",IFERROR(INDEX(Jugadores!$C$2:$C$501,MATCH(B1198,Jugadores!$A$2:$A$501,0)),"⚠ ID no existe"))</f>
        <v/>
      </c>
      <c r="D1198" s="19" t="n"/>
      <c r="E1198" s="19" t="n"/>
      <c r="F1198" s="16">
        <f>IF(OR(B1198="",D1198=""),"",IFERROR(INDEX('Tabla XP'!$B$2:$B$12,MATCH(D1198,'Tabla XP'!$A$2:$A$12,0))*IF(E1198="",1,E1198),0))</f>
        <v/>
      </c>
      <c r="G1198" s="19" t="n"/>
      <c r="H1198" s="19" t="n"/>
    </row>
    <row r="1199">
      <c r="A1199" s="22" t="n"/>
      <c r="B1199" s="19" t="n"/>
      <c r="C1199" s="18">
        <f>IF(B1199="","",IFERROR(INDEX(Jugadores!$C$2:$C$501,MATCH(B1199,Jugadores!$A$2:$A$501,0)),"⚠ ID no existe"))</f>
        <v/>
      </c>
      <c r="D1199" s="19" t="n"/>
      <c r="E1199" s="19" t="n"/>
      <c r="F1199" s="16">
        <f>IF(OR(B1199="",D1199=""),"",IFERROR(INDEX('Tabla XP'!$B$2:$B$12,MATCH(D1199,'Tabla XP'!$A$2:$A$12,0))*IF(E1199="",1,E1199),0))</f>
        <v/>
      </c>
      <c r="G1199" s="19" t="n"/>
      <c r="H1199" s="19" t="n"/>
    </row>
    <row r="1200">
      <c r="A1200" s="22" t="n"/>
      <c r="B1200" s="19" t="n"/>
      <c r="C1200" s="18">
        <f>IF(B1200="","",IFERROR(INDEX(Jugadores!$C$2:$C$501,MATCH(B1200,Jugadores!$A$2:$A$501,0)),"⚠ ID no existe"))</f>
        <v/>
      </c>
      <c r="D1200" s="19" t="n"/>
      <c r="E1200" s="19" t="n"/>
      <c r="F1200" s="16">
        <f>IF(OR(B1200="",D1200=""),"",IFERROR(INDEX('Tabla XP'!$B$2:$B$12,MATCH(D1200,'Tabla XP'!$A$2:$A$12,0))*IF(E1200="",1,E1200),0))</f>
        <v/>
      </c>
      <c r="G1200" s="19" t="n"/>
      <c r="H1200" s="19" t="n"/>
    </row>
    <row r="1201">
      <c r="A1201" s="22" t="n"/>
      <c r="B1201" s="19" t="n"/>
      <c r="C1201" s="18">
        <f>IF(B1201="","",IFERROR(INDEX(Jugadores!$C$2:$C$501,MATCH(B1201,Jugadores!$A$2:$A$501,0)),"⚠ ID no existe"))</f>
        <v/>
      </c>
      <c r="D1201" s="19" t="n"/>
      <c r="E1201" s="19" t="n"/>
      <c r="F1201" s="16">
        <f>IF(OR(B1201="",D1201=""),"",IFERROR(INDEX('Tabla XP'!$B$2:$B$12,MATCH(D1201,'Tabla XP'!$A$2:$A$12,0))*IF(E1201="",1,E1201),0))</f>
        <v/>
      </c>
      <c r="G1201" s="19" t="n"/>
      <c r="H1201" s="19" t="n"/>
    </row>
    <row r="1202">
      <c r="A1202" s="22" t="n"/>
      <c r="B1202" s="19" t="n"/>
      <c r="C1202" s="18">
        <f>IF(B1202="","",IFERROR(INDEX(Jugadores!$C$2:$C$501,MATCH(B1202,Jugadores!$A$2:$A$501,0)),"⚠ ID no existe"))</f>
        <v/>
      </c>
      <c r="D1202" s="19" t="n"/>
      <c r="E1202" s="19" t="n"/>
      <c r="F1202" s="16">
        <f>IF(OR(B1202="",D1202=""),"",IFERROR(INDEX('Tabla XP'!$B$2:$B$12,MATCH(D1202,'Tabla XP'!$A$2:$A$12,0))*IF(E1202="",1,E1202),0))</f>
        <v/>
      </c>
      <c r="G1202" s="19" t="n"/>
      <c r="H1202" s="19" t="n"/>
    </row>
    <row r="1203">
      <c r="A1203" s="22" t="n"/>
      <c r="B1203" s="19" t="n"/>
      <c r="C1203" s="18">
        <f>IF(B1203="","",IFERROR(INDEX(Jugadores!$C$2:$C$501,MATCH(B1203,Jugadores!$A$2:$A$501,0)),"⚠ ID no existe"))</f>
        <v/>
      </c>
      <c r="D1203" s="19" t="n"/>
      <c r="E1203" s="19" t="n"/>
      <c r="F1203" s="16">
        <f>IF(OR(B1203="",D1203=""),"",IFERROR(INDEX('Tabla XP'!$B$2:$B$12,MATCH(D1203,'Tabla XP'!$A$2:$A$12,0))*IF(E1203="",1,E1203),0))</f>
        <v/>
      </c>
      <c r="G1203" s="19" t="n"/>
      <c r="H1203" s="19" t="n"/>
    </row>
    <row r="1204">
      <c r="A1204" s="22" t="n"/>
      <c r="B1204" s="19" t="n"/>
      <c r="C1204" s="18">
        <f>IF(B1204="","",IFERROR(INDEX(Jugadores!$C$2:$C$501,MATCH(B1204,Jugadores!$A$2:$A$501,0)),"⚠ ID no existe"))</f>
        <v/>
      </c>
      <c r="D1204" s="19" t="n"/>
      <c r="E1204" s="19" t="n"/>
      <c r="F1204" s="16">
        <f>IF(OR(B1204="",D1204=""),"",IFERROR(INDEX('Tabla XP'!$B$2:$B$12,MATCH(D1204,'Tabla XP'!$A$2:$A$12,0))*IF(E1204="",1,E1204),0))</f>
        <v/>
      </c>
      <c r="G1204" s="19" t="n"/>
      <c r="H1204" s="19" t="n"/>
    </row>
    <row r="1205">
      <c r="A1205" s="22" t="n"/>
      <c r="B1205" s="19" t="n"/>
      <c r="C1205" s="18">
        <f>IF(B1205="","",IFERROR(INDEX(Jugadores!$C$2:$C$501,MATCH(B1205,Jugadores!$A$2:$A$501,0)),"⚠ ID no existe"))</f>
        <v/>
      </c>
      <c r="D1205" s="19" t="n"/>
      <c r="E1205" s="19" t="n"/>
      <c r="F1205" s="16">
        <f>IF(OR(B1205="",D1205=""),"",IFERROR(INDEX('Tabla XP'!$B$2:$B$12,MATCH(D1205,'Tabla XP'!$A$2:$A$12,0))*IF(E1205="",1,E1205),0))</f>
        <v/>
      </c>
      <c r="G1205" s="19" t="n"/>
      <c r="H1205" s="19" t="n"/>
    </row>
    <row r="1206">
      <c r="A1206" s="22" t="n"/>
      <c r="B1206" s="19" t="n"/>
      <c r="C1206" s="18">
        <f>IF(B1206="","",IFERROR(INDEX(Jugadores!$C$2:$C$501,MATCH(B1206,Jugadores!$A$2:$A$501,0)),"⚠ ID no existe"))</f>
        <v/>
      </c>
      <c r="D1206" s="19" t="n"/>
      <c r="E1206" s="19" t="n"/>
      <c r="F1206" s="16">
        <f>IF(OR(B1206="",D1206=""),"",IFERROR(INDEX('Tabla XP'!$B$2:$B$12,MATCH(D1206,'Tabla XP'!$A$2:$A$12,0))*IF(E1206="",1,E1206),0))</f>
        <v/>
      </c>
      <c r="G1206" s="19" t="n"/>
      <c r="H1206" s="19" t="n"/>
    </row>
    <row r="1207">
      <c r="A1207" s="22" t="n"/>
      <c r="B1207" s="19" t="n"/>
      <c r="C1207" s="18">
        <f>IF(B1207="","",IFERROR(INDEX(Jugadores!$C$2:$C$501,MATCH(B1207,Jugadores!$A$2:$A$501,0)),"⚠ ID no existe"))</f>
        <v/>
      </c>
      <c r="D1207" s="19" t="n"/>
      <c r="E1207" s="19" t="n"/>
      <c r="F1207" s="16">
        <f>IF(OR(B1207="",D1207=""),"",IFERROR(INDEX('Tabla XP'!$B$2:$B$12,MATCH(D1207,'Tabla XP'!$A$2:$A$12,0))*IF(E1207="",1,E1207),0))</f>
        <v/>
      </c>
      <c r="G1207" s="19" t="n"/>
      <c r="H1207" s="19" t="n"/>
    </row>
    <row r="1208">
      <c r="A1208" s="22" t="n"/>
      <c r="B1208" s="19" t="n"/>
      <c r="C1208" s="18">
        <f>IF(B1208="","",IFERROR(INDEX(Jugadores!$C$2:$C$501,MATCH(B1208,Jugadores!$A$2:$A$501,0)),"⚠ ID no existe"))</f>
        <v/>
      </c>
      <c r="D1208" s="19" t="n"/>
      <c r="E1208" s="19" t="n"/>
      <c r="F1208" s="16">
        <f>IF(OR(B1208="",D1208=""),"",IFERROR(INDEX('Tabla XP'!$B$2:$B$12,MATCH(D1208,'Tabla XP'!$A$2:$A$12,0))*IF(E1208="",1,E1208),0))</f>
        <v/>
      </c>
      <c r="G1208" s="19" t="n"/>
      <c r="H1208" s="19" t="n"/>
    </row>
    <row r="1209">
      <c r="A1209" s="22" t="n"/>
      <c r="B1209" s="19" t="n"/>
      <c r="C1209" s="18">
        <f>IF(B1209="","",IFERROR(INDEX(Jugadores!$C$2:$C$501,MATCH(B1209,Jugadores!$A$2:$A$501,0)),"⚠ ID no existe"))</f>
        <v/>
      </c>
      <c r="D1209" s="19" t="n"/>
      <c r="E1209" s="19" t="n"/>
      <c r="F1209" s="16">
        <f>IF(OR(B1209="",D1209=""),"",IFERROR(INDEX('Tabla XP'!$B$2:$B$12,MATCH(D1209,'Tabla XP'!$A$2:$A$12,0))*IF(E1209="",1,E1209),0))</f>
        <v/>
      </c>
      <c r="G1209" s="19" t="n"/>
      <c r="H1209" s="19" t="n"/>
    </row>
    <row r="1210">
      <c r="A1210" s="22" t="n"/>
      <c r="B1210" s="19" t="n"/>
      <c r="C1210" s="18">
        <f>IF(B1210="","",IFERROR(INDEX(Jugadores!$C$2:$C$501,MATCH(B1210,Jugadores!$A$2:$A$501,0)),"⚠ ID no existe"))</f>
        <v/>
      </c>
      <c r="D1210" s="19" t="n"/>
      <c r="E1210" s="19" t="n"/>
      <c r="F1210" s="16">
        <f>IF(OR(B1210="",D1210=""),"",IFERROR(INDEX('Tabla XP'!$B$2:$B$12,MATCH(D1210,'Tabla XP'!$A$2:$A$12,0))*IF(E1210="",1,E1210),0))</f>
        <v/>
      </c>
      <c r="G1210" s="19" t="n"/>
      <c r="H1210" s="19" t="n"/>
    </row>
    <row r="1211">
      <c r="A1211" s="22" t="n"/>
      <c r="B1211" s="19" t="n"/>
      <c r="C1211" s="18">
        <f>IF(B1211="","",IFERROR(INDEX(Jugadores!$C$2:$C$501,MATCH(B1211,Jugadores!$A$2:$A$501,0)),"⚠ ID no existe"))</f>
        <v/>
      </c>
      <c r="D1211" s="19" t="n"/>
      <c r="E1211" s="19" t="n"/>
      <c r="F1211" s="16">
        <f>IF(OR(B1211="",D1211=""),"",IFERROR(INDEX('Tabla XP'!$B$2:$B$12,MATCH(D1211,'Tabla XP'!$A$2:$A$12,0))*IF(E1211="",1,E1211),0))</f>
        <v/>
      </c>
      <c r="G1211" s="19" t="n"/>
      <c r="H1211" s="19" t="n"/>
    </row>
    <row r="1212">
      <c r="A1212" s="22" t="n"/>
      <c r="B1212" s="19" t="n"/>
      <c r="C1212" s="18">
        <f>IF(B1212="","",IFERROR(INDEX(Jugadores!$C$2:$C$501,MATCH(B1212,Jugadores!$A$2:$A$501,0)),"⚠ ID no existe"))</f>
        <v/>
      </c>
      <c r="D1212" s="19" t="n"/>
      <c r="E1212" s="19" t="n"/>
      <c r="F1212" s="16">
        <f>IF(OR(B1212="",D1212=""),"",IFERROR(INDEX('Tabla XP'!$B$2:$B$12,MATCH(D1212,'Tabla XP'!$A$2:$A$12,0))*IF(E1212="",1,E1212),0))</f>
        <v/>
      </c>
      <c r="G1212" s="19" t="n"/>
      <c r="H1212" s="19" t="n"/>
    </row>
    <row r="1213">
      <c r="A1213" s="22" t="n"/>
      <c r="B1213" s="19" t="n"/>
      <c r="C1213" s="18">
        <f>IF(B1213="","",IFERROR(INDEX(Jugadores!$C$2:$C$501,MATCH(B1213,Jugadores!$A$2:$A$501,0)),"⚠ ID no existe"))</f>
        <v/>
      </c>
      <c r="D1213" s="19" t="n"/>
      <c r="E1213" s="19" t="n"/>
      <c r="F1213" s="16">
        <f>IF(OR(B1213="",D1213=""),"",IFERROR(INDEX('Tabla XP'!$B$2:$B$12,MATCH(D1213,'Tabla XP'!$A$2:$A$12,0))*IF(E1213="",1,E1213),0))</f>
        <v/>
      </c>
      <c r="G1213" s="19" t="n"/>
      <c r="H1213" s="19" t="n"/>
    </row>
    <row r="1214">
      <c r="A1214" s="22" t="n"/>
      <c r="B1214" s="19" t="n"/>
      <c r="C1214" s="18">
        <f>IF(B1214="","",IFERROR(INDEX(Jugadores!$C$2:$C$501,MATCH(B1214,Jugadores!$A$2:$A$501,0)),"⚠ ID no existe"))</f>
        <v/>
      </c>
      <c r="D1214" s="19" t="n"/>
      <c r="E1214" s="19" t="n"/>
      <c r="F1214" s="16">
        <f>IF(OR(B1214="",D1214=""),"",IFERROR(INDEX('Tabla XP'!$B$2:$B$12,MATCH(D1214,'Tabla XP'!$A$2:$A$12,0))*IF(E1214="",1,E1214),0))</f>
        <v/>
      </c>
      <c r="G1214" s="19" t="n"/>
      <c r="H1214" s="19" t="n"/>
    </row>
    <row r="1215">
      <c r="A1215" s="22" t="n"/>
      <c r="B1215" s="19" t="n"/>
      <c r="C1215" s="18">
        <f>IF(B1215="","",IFERROR(INDEX(Jugadores!$C$2:$C$501,MATCH(B1215,Jugadores!$A$2:$A$501,0)),"⚠ ID no existe"))</f>
        <v/>
      </c>
      <c r="D1215" s="19" t="n"/>
      <c r="E1215" s="19" t="n"/>
      <c r="F1215" s="16">
        <f>IF(OR(B1215="",D1215=""),"",IFERROR(INDEX('Tabla XP'!$B$2:$B$12,MATCH(D1215,'Tabla XP'!$A$2:$A$12,0))*IF(E1215="",1,E1215),0))</f>
        <v/>
      </c>
      <c r="G1215" s="19" t="n"/>
      <c r="H1215" s="19" t="n"/>
    </row>
    <row r="1216">
      <c r="A1216" s="22" t="n"/>
      <c r="B1216" s="19" t="n"/>
      <c r="C1216" s="18">
        <f>IF(B1216="","",IFERROR(INDEX(Jugadores!$C$2:$C$501,MATCH(B1216,Jugadores!$A$2:$A$501,0)),"⚠ ID no existe"))</f>
        <v/>
      </c>
      <c r="D1216" s="19" t="n"/>
      <c r="E1216" s="19" t="n"/>
      <c r="F1216" s="16">
        <f>IF(OR(B1216="",D1216=""),"",IFERROR(INDEX('Tabla XP'!$B$2:$B$12,MATCH(D1216,'Tabla XP'!$A$2:$A$12,0))*IF(E1216="",1,E1216),0))</f>
        <v/>
      </c>
      <c r="G1216" s="19" t="n"/>
      <c r="H1216" s="19" t="n"/>
    </row>
    <row r="1217">
      <c r="A1217" s="22" t="n"/>
      <c r="B1217" s="19" t="n"/>
      <c r="C1217" s="18">
        <f>IF(B1217="","",IFERROR(INDEX(Jugadores!$C$2:$C$501,MATCH(B1217,Jugadores!$A$2:$A$501,0)),"⚠ ID no existe"))</f>
        <v/>
      </c>
      <c r="D1217" s="19" t="n"/>
      <c r="E1217" s="19" t="n"/>
      <c r="F1217" s="16">
        <f>IF(OR(B1217="",D1217=""),"",IFERROR(INDEX('Tabla XP'!$B$2:$B$12,MATCH(D1217,'Tabla XP'!$A$2:$A$12,0))*IF(E1217="",1,E1217),0))</f>
        <v/>
      </c>
      <c r="G1217" s="19" t="n"/>
      <c r="H1217" s="19" t="n"/>
    </row>
    <row r="1218">
      <c r="A1218" s="22" t="n"/>
      <c r="B1218" s="19" t="n"/>
      <c r="C1218" s="18">
        <f>IF(B1218="","",IFERROR(INDEX(Jugadores!$C$2:$C$501,MATCH(B1218,Jugadores!$A$2:$A$501,0)),"⚠ ID no existe"))</f>
        <v/>
      </c>
      <c r="D1218" s="19" t="n"/>
      <c r="E1218" s="19" t="n"/>
      <c r="F1218" s="16">
        <f>IF(OR(B1218="",D1218=""),"",IFERROR(INDEX('Tabla XP'!$B$2:$B$12,MATCH(D1218,'Tabla XP'!$A$2:$A$12,0))*IF(E1218="",1,E1218),0))</f>
        <v/>
      </c>
      <c r="G1218" s="19" t="n"/>
      <c r="H1218" s="19" t="n"/>
    </row>
    <row r="1219">
      <c r="A1219" s="22" t="n"/>
      <c r="B1219" s="19" t="n"/>
      <c r="C1219" s="18">
        <f>IF(B1219="","",IFERROR(INDEX(Jugadores!$C$2:$C$501,MATCH(B1219,Jugadores!$A$2:$A$501,0)),"⚠ ID no existe"))</f>
        <v/>
      </c>
      <c r="D1219" s="19" t="n"/>
      <c r="E1219" s="19" t="n"/>
      <c r="F1219" s="16">
        <f>IF(OR(B1219="",D1219=""),"",IFERROR(INDEX('Tabla XP'!$B$2:$B$12,MATCH(D1219,'Tabla XP'!$A$2:$A$12,0))*IF(E1219="",1,E1219),0))</f>
        <v/>
      </c>
      <c r="G1219" s="19" t="n"/>
      <c r="H1219" s="19" t="n"/>
    </row>
    <row r="1220">
      <c r="A1220" s="22" t="n"/>
      <c r="B1220" s="19" t="n"/>
      <c r="C1220" s="18">
        <f>IF(B1220="","",IFERROR(INDEX(Jugadores!$C$2:$C$501,MATCH(B1220,Jugadores!$A$2:$A$501,0)),"⚠ ID no existe"))</f>
        <v/>
      </c>
      <c r="D1220" s="19" t="n"/>
      <c r="E1220" s="19" t="n"/>
      <c r="F1220" s="16">
        <f>IF(OR(B1220="",D1220=""),"",IFERROR(INDEX('Tabla XP'!$B$2:$B$12,MATCH(D1220,'Tabla XP'!$A$2:$A$12,0))*IF(E1220="",1,E1220),0))</f>
        <v/>
      </c>
      <c r="G1220" s="19" t="n"/>
      <c r="H1220" s="19" t="n"/>
    </row>
    <row r="1221">
      <c r="A1221" s="22" t="n"/>
      <c r="B1221" s="19" t="n"/>
      <c r="C1221" s="18">
        <f>IF(B1221="","",IFERROR(INDEX(Jugadores!$C$2:$C$501,MATCH(B1221,Jugadores!$A$2:$A$501,0)),"⚠ ID no existe"))</f>
        <v/>
      </c>
      <c r="D1221" s="19" t="n"/>
      <c r="E1221" s="19" t="n"/>
      <c r="F1221" s="16">
        <f>IF(OR(B1221="",D1221=""),"",IFERROR(INDEX('Tabla XP'!$B$2:$B$12,MATCH(D1221,'Tabla XP'!$A$2:$A$12,0))*IF(E1221="",1,E1221),0))</f>
        <v/>
      </c>
      <c r="G1221" s="19" t="n"/>
      <c r="H1221" s="19" t="n"/>
    </row>
    <row r="1222">
      <c r="A1222" s="22" t="n"/>
      <c r="B1222" s="19" t="n"/>
      <c r="C1222" s="18">
        <f>IF(B1222="","",IFERROR(INDEX(Jugadores!$C$2:$C$501,MATCH(B1222,Jugadores!$A$2:$A$501,0)),"⚠ ID no existe"))</f>
        <v/>
      </c>
      <c r="D1222" s="19" t="n"/>
      <c r="E1222" s="19" t="n"/>
      <c r="F1222" s="16">
        <f>IF(OR(B1222="",D1222=""),"",IFERROR(INDEX('Tabla XP'!$B$2:$B$12,MATCH(D1222,'Tabla XP'!$A$2:$A$12,0))*IF(E1222="",1,E1222),0))</f>
        <v/>
      </c>
      <c r="G1222" s="19" t="n"/>
      <c r="H1222" s="19" t="n"/>
    </row>
    <row r="1223">
      <c r="A1223" s="22" t="n"/>
      <c r="B1223" s="19" t="n"/>
      <c r="C1223" s="18">
        <f>IF(B1223="","",IFERROR(INDEX(Jugadores!$C$2:$C$501,MATCH(B1223,Jugadores!$A$2:$A$501,0)),"⚠ ID no existe"))</f>
        <v/>
      </c>
      <c r="D1223" s="19" t="n"/>
      <c r="E1223" s="19" t="n"/>
      <c r="F1223" s="16">
        <f>IF(OR(B1223="",D1223=""),"",IFERROR(INDEX('Tabla XP'!$B$2:$B$12,MATCH(D1223,'Tabla XP'!$A$2:$A$12,0))*IF(E1223="",1,E1223),0))</f>
        <v/>
      </c>
      <c r="G1223" s="19" t="n"/>
      <c r="H1223" s="19" t="n"/>
    </row>
    <row r="1224">
      <c r="A1224" s="22" t="n"/>
      <c r="B1224" s="19" t="n"/>
      <c r="C1224" s="18">
        <f>IF(B1224="","",IFERROR(INDEX(Jugadores!$C$2:$C$501,MATCH(B1224,Jugadores!$A$2:$A$501,0)),"⚠ ID no existe"))</f>
        <v/>
      </c>
      <c r="D1224" s="19" t="n"/>
      <c r="E1224" s="19" t="n"/>
      <c r="F1224" s="16">
        <f>IF(OR(B1224="",D1224=""),"",IFERROR(INDEX('Tabla XP'!$B$2:$B$12,MATCH(D1224,'Tabla XP'!$A$2:$A$12,0))*IF(E1224="",1,E1224),0))</f>
        <v/>
      </c>
      <c r="G1224" s="19" t="n"/>
      <c r="H1224" s="19" t="n"/>
    </row>
    <row r="1225">
      <c r="A1225" s="22" t="n"/>
      <c r="B1225" s="19" t="n"/>
      <c r="C1225" s="18">
        <f>IF(B1225="","",IFERROR(INDEX(Jugadores!$C$2:$C$501,MATCH(B1225,Jugadores!$A$2:$A$501,0)),"⚠ ID no existe"))</f>
        <v/>
      </c>
      <c r="D1225" s="19" t="n"/>
      <c r="E1225" s="19" t="n"/>
      <c r="F1225" s="16">
        <f>IF(OR(B1225="",D1225=""),"",IFERROR(INDEX('Tabla XP'!$B$2:$B$12,MATCH(D1225,'Tabla XP'!$A$2:$A$12,0))*IF(E1225="",1,E1225),0))</f>
        <v/>
      </c>
      <c r="G1225" s="19" t="n"/>
      <c r="H1225" s="19" t="n"/>
    </row>
    <row r="1226">
      <c r="A1226" s="22" t="n"/>
      <c r="B1226" s="19" t="n"/>
      <c r="C1226" s="18">
        <f>IF(B1226="","",IFERROR(INDEX(Jugadores!$C$2:$C$501,MATCH(B1226,Jugadores!$A$2:$A$501,0)),"⚠ ID no existe"))</f>
        <v/>
      </c>
      <c r="D1226" s="19" t="n"/>
      <c r="E1226" s="19" t="n"/>
      <c r="F1226" s="16">
        <f>IF(OR(B1226="",D1226=""),"",IFERROR(INDEX('Tabla XP'!$B$2:$B$12,MATCH(D1226,'Tabla XP'!$A$2:$A$12,0))*IF(E1226="",1,E1226),0))</f>
        <v/>
      </c>
      <c r="G1226" s="19" t="n"/>
      <c r="H1226" s="19" t="n"/>
    </row>
    <row r="1227">
      <c r="A1227" s="22" t="n"/>
      <c r="B1227" s="19" t="n"/>
      <c r="C1227" s="18">
        <f>IF(B1227="","",IFERROR(INDEX(Jugadores!$C$2:$C$501,MATCH(B1227,Jugadores!$A$2:$A$501,0)),"⚠ ID no existe"))</f>
        <v/>
      </c>
      <c r="D1227" s="19" t="n"/>
      <c r="E1227" s="19" t="n"/>
      <c r="F1227" s="16">
        <f>IF(OR(B1227="",D1227=""),"",IFERROR(INDEX('Tabla XP'!$B$2:$B$12,MATCH(D1227,'Tabla XP'!$A$2:$A$12,0))*IF(E1227="",1,E1227),0))</f>
        <v/>
      </c>
      <c r="G1227" s="19" t="n"/>
      <c r="H1227" s="19" t="n"/>
    </row>
    <row r="1228">
      <c r="A1228" s="22" t="n"/>
      <c r="B1228" s="19" t="n"/>
      <c r="C1228" s="18">
        <f>IF(B1228="","",IFERROR(INDEX(Jugadores!$C$2:$C$501,MATCH(B1228,Jugadores!$A$2:$A$501,0)),"⚠ ID no existe"))</f>
        <v/>
      </c>
      <c r="D1228" s="19" t="n"/>
      <c r="E1228" s="19" t="n"/>
      <c r="F1228" s="16">
        <f>IF(OR(B1228="",D1228=""),"",IFERROR(INDEX('Tabla XP'!$B$2:$B$12,MATCH(D1228,'Tabla XP'!$A$2:$A$12,0))*IF(E1228="",1,E1228),0))</f>
        <v/>
      </c>
      <c r="G1228" s="19" t="n"/>
      <c r="H1228" s="19" t="n"/>
    </row>
    <row r="1229">
      <c r="A1229" s="22" t="n"/>
      <c r="B1229" s="19" t="n"/>
      <c r="C1229" s="18">
        <f>IF(B1229="","",IFERROR(INDEX(Jugadores!$C$2:$C$501,MATCH(B1229,Jugadores!$A$2:$A$501,0)),"⚠ ID no existe"))</f>
        <v/>
      </c>
      <c r="D1229" s="19" t="n"/>
      <c r="E1229" s="19" t="n"/>
      <c r="F1229" s="16">
        <f>IF(OR(B1229="",D1229=""),"",IFERROR(INDEX('Tabla XP'!$B$2:$B$12,MATCH(D1229,'Tabla XP'!$A$2:$A$12,0))*IF(E1229="",1,E1229),0))</f>
        <v/>
      </c>
      <c r="G1229" s="19" t="n"/>
      <c r="H1229" s="19" t="n"/>
    </row>
    <row r="1230">
      <c r="A1230" s="22" t="n"/>
      <c r="B1230" s="19" t="n"/>
      <c r="C1230" s="18">
        <f>IF(B1230="","",IFERROR(INDEX(Jugadores!$C$2:$C$501,MATCH(B1230,Jugadores!$A$2:$A$501,0)),"⚠ ID no existe"))</f>
        <v/>
      </c>
      <c r="D1230" s="19" t="n"/>
      <c r="E1230" s="19" t="n"/>
      <c r="F1230" s="16">
        <f>IF(OR(B1230="",D1230=""),"",IFERROR(INDEX('Tabla XP'!$B$2:$B$12,MATCH(D1230,'Tabla XP'!$A$2:$A$12,0))*IF(E1230="",1,E1230),0))</f>
        <v/>
      </c>
      <c r="G1230" s="19" t="n"/>
      <c r="H1230" s="19" t="n"/>
    </row>
    <row r="1231">
      <c r="A1231" s="22" t="n"/>
      <c r="B1231" s="19" t="n"/>
      <c r="C1231" s="18">
        <f>IF(B1231="","",IFERROR(INDEX(Jugadores!$C$2:$C$501,MATCH(B1231,Jugadores!$A$2:$A$501,0)),"⚠ ID no existe"))</f>
        <v/>
      </c>
      <c r="D1231" s="19" t="n"/>
      <c r="E1231" s="19" t="n"/>
      <c r="F1231" s="16">
        <f>IF(OR(B1231="",D1231=""),"",IFERROR(INDEX('Tabla XP'!$B$2:$B$12,MATCH(D1231,'Tabla XP'!$A$2:$A$12,0))*IF(E1231="",1,E1231),0))</f>
        <v/>
      </c>
      <c r="G1231" s="19" t="n"/>
      <c r="H1231" s="19" t="n"/>
    </row>
    <row r="1232">
      <c r="A1232" s="22" t="n"/>
      <c r="B1232" s="19" t="n"/>
      <c r="C1232" s="18">
        <f>IF(B1232="","",IFERROR(INDEX(Jugadores!$C$2:$C$501,MATCH(B1232,Jugadores!$A$2:$A$501,0)),"⚠ ID no existe"))</f>
        <v/>
      </c>
      <c r="D1232" s="19" t="n"/>
      <c r="E1232" s="19" t="n"/>
      <c r="F1232" s="16">
        <f>IF(OR(B1232="",D1232=""),"",IFERROR(INDEX('Tabla XP'!$B$2:$B$12,MATCH(D1232,'Tabla XP'!$A$2:$A$12,0))*IF(E1232="",1,E1232),0))</f>
        <v/>
      </c>
      <c r="G1232" s="19" t="n"/>
      <c r="H1232" s="19" t="n"/>
    </row>
    <row r="1233">
      <c r="A1233" s="22" t="n"/>
      <c r="B1233" s="19" t="n"/>
      <c r="C1233" s="18">
        <f>IF(B1233="","",IFERROR(INDEX(Jugadores!$C$2:$C$501,MATCH(B1233,Jugadores!$A$2:$A$501,0)),"⚠ ID no existe"))</f>
        <v/>
      </c>
      <c r="D1233" s="19" t="n"/>
      <c r="E1233" s="19" t="n"/>
      <c r="F1233" s="16">
        <f>IF(OR(B1233="",D1233=""),"",IFERROR(INDEX('Tabla XP'!$B$2:$B$12,MATCH(D1233,'Tabla XP'!$A$2:$A$12,0))*IF(E1233="",1,E1233),0))</f>
        <v/>
      </c>
      <c r="G1233" s="19" t="n"/>
      <c r="H1233" s="19" t="n"/>
    </row>
    <row r="1234">
      <c r="A1234" s="22" t="n"/>
      <c r="B1234" s="19" t="n"/>
      <c r="C1234" s="18">
        <f>IF(B1234="","",IFERROR(INDEX(Jugadores!$C$2:$C$501,MATCH(B1234,Jugadores!$A$2:$A$501,0)),"⚠ ID no existe"))</f>
        <v/>
      </c>
      <c r="D1234" s="19" t="n"/>
      <c r="E1234" s="19" t="n"/>
      <c r="F1234" s="16">
        <f>IF(OR(B1234="",D1234=""),"",IFERROR(INDEX('Tabla XP'!$B$2:$B$12,MATCH(D1234,'Tabla XP'!$A$2:$A$12,0))*IF(E1234="",1,E1234),0))</f>
        <v/>
      </c>
      <c r="G1234" s="19" t="n"/>
      <c r="H1234" s="19" t="n"/>
    </row>
    <row r="1235">
      <c r="A1235" s="22" t="n"/>
      <c r="B1235" s="19" t="n"/>
      <c r="C1235" s="18">
        <f>IF(B1235="","",IFERROR(INDEX(Jugadores!$C$2:$C$501,MATCH(B1235,Jugadores!$A$2:$A$501,0)),"⚠ ID no existe"))</f>
        <v/>
      </c>
      <c r="D1235" s="19" t="n"/>
      <c r="E1235" s="19" t="n"/>
      <c r="F1235" s="16">
        <f>IF(OR(B1235="",D1235=""),"",IFERROR(INDEX('Tabla XP'!$B$2:$B$12,MATCH(D1235,'Tabla XP'!$A$2:$A$12,0))*IF(E1235="",1,E1235),0))</f>
        <v/>
      </c>
      <c r="G1235" s="19" t="n"/>
      <c r="H1235" s="19" t="n"/>
    </row>
    <row r="1236">
      <c r="A1236" s="22" t="n"/>
      <c r="B1236" s="19" t="n"/>
      <c r="C1236" s="18">
        <f>IF(B1236="","",IFERROR(INDEX(Jugadores!$C$2:$C$501,MATCH(B1236,Jugadores!$A$2:$A$501,0)),"⚠ ID no existe"))</f>
        <v/>
      </c>
      <c r="D1236" s="19" t="n"/>
      <c r="E1236" s="19" t="n"/>
      <c r="F1236" s="16">
        <f>IF(OR(B1236="",D1236=""),"",IFERROR(INDEX('Tabla XP'!$B$2:$B$12,MATCH(D1236,'Tabla XP'!$A$2:$A$12,0))*IF(E1236="",1,E1236),0))</f>
        <v/>
      </c>
      <c r="G1236" s="19" t="n"/>
      <c r="H1236" s="19" t="n"/>
    </row>
    <row r="1237">
      <c r="A1237" s="22" t="n"/>
      <c r="B1237" s="19" t="n"/>
      <c r="C1237" s="18">
        <f>IF(B1237="","",IFERROR(INDEX(Jugadores!$C$2:$C$501,MATCH(B1237,Jugadores!$A$2:$A$501,0)),"⚠ ID no existe"))</f>
        <v/>
      </c>
      <c r="D1237" s="19" t="n"/>
      <c r="E1237" s="19" t="n"/>
      <c r="F1237" s="16">
        <f>IF(OR(B1237="",D1237=""),"",IFERROR(INDEX('Tabla XP'!$B$2:$B$12,MATCH(D1237,'Tabla XP'!$A$2:$A$12,0))*IF(E1237="",1,E1237),0))</f>
        <v/>
      </c>
      <c r="G1237" s="19" t="n"/>
      <c r="H1237" s="19" t="n"/>
    </row>
    <row r="1238">
      <c r="A1238" s="22" t="n"/>
      <c r="B1238" s="19" t="n"/>
      <c r="C1238" s="18">
        <f>IF(B1238="","",IFERROR(INDEX(Jugadores!$C$2:$C$501,MATCH(B1238,Jugadores!$A$2:$A$501,0)),"⚠ ID no existe"))</f>
        <v/>
      </c>
      <c r="D1238" s="19" t="n"/>
      <c r="E1238" s="19" t="n"/>
      <c r="F1238" s="16">
        <f>IF(OR(B1238="",D1238=""),"",IFERROR(INDEX('Tabla XP'!$B$2:$B$12,MATCH(D1238,'Tabla XP'!$A$2:$A$12,0))*IF(E1238="",1,E1238),0))</f>
        <v/>
      </c>
      <c r="G1238" s="19" t="n"/>
      <c r="H1238" s="19" t="n"/>
    </row>
    <row r="1239">
      <c r="A1239" s="22" t="n"/>
      <c r="B1239" s="19" t="n"/>
      <c r="C1239" s="18">
        <f>IF(B1239="","",IFERROR(INDEX(Jugadores!$C$2:$C$501,MATCH(B1239,Jugadores!$A$2:$A$501,0)),"⚠ ID no existe"))</f>
        <v/>
      </c>
      <c r="D1239" s="19" t="n"/>
      <c r="E1239" s="19" t="n"/>
      <c r="F1239" s="16">
        <f>IF(OR(B1239="",D1239=""),"",IFERROR(INDEX('Tabla XP'!$B$2:$B$12,MATCH(D1239,'Tabla XP'!$A$2:$A$12,0))*IF(E1239="",1,E1239),0))</f>
        <v/>
      </c>
      <c r="G1239" s="19" t="n"/>
      <c r="H1239" s="19" t="n"/>
    </row>
    <row r="1240">
      <c r="A1240" s="22" t="n"/>
      <c r="B1240" s="19" t="n"/>
      <c r="C1240" s="18">
        <f>IF(B1240="","",IFERROR(INDEX(Jugadores!$C$2:$C$501,MATCH(B1240,Jugadores!$A$2:$A$501,0)),"⚠ ID no existe"))</f>
        <v/>
      </c>
      <c r="D1240" s="19" t="n"/>
      <c r="E1240" s="19" t="n"/>
      <c r="F1240" s="16">
        <f>IF(OR(B1240="",D1240=""),"",IFERROR(INDEX('Tabla XP'!$B$2:$B$12,MATCH(D1240,'Tabla XP'!$A$2:$A$12,0))*IF(E1240="",1,E1240),0))</f>
        <v/>
      </c>
      <c r="G1240" s="19" t="n"/>
      <c r="H1240" s="19" t="n"/>
    </row>
    <row r="1241">
      <c r="A1241" s="22" t="n"/>
      <c r="B1241" s="19" t="n"/>
      <c r="C1241" s="18">
        <f>IF(B1241="","",IFERROR(INDEX(Jugadores!$C$2:$C$501,MATCH(B1241,Jugadores!$A$2:$A$501,0)),"⚠ ID no existe"))</f>
        <v/>
      </c>
      <c r="D1241" s="19" t="n"/>
      <c r="E1241" s="19" t="n"/>
      <c r="F1241" s="16">
        <f>IF(OR(B1241="",D1241=""),"",IFERROR(INDEX('Tabla XP'!$B$2:$B$12,MATCH(D1241,'Tabla XP'!$A$2:$A$12,0))*IF(E1241="",1,E1241),0))</f>
        <v/>
      </c>
      <c r="G1241" s="19" t="n"/>
      <c r="H1241" s="19" t="n"/>
    </row>
    <row r="1242">
      <c r="A1242" s="22" t="n"/>
      <c r="B1242" s="19" t="n"/>
      <c r="C1242" s="18">
        <f>IF(B1242="","",IFERROR(INDEX(Jugadores!$C$2:$C$501,MATCH(B1242,Jugadores!$A$2:$A$501,0)),"⚠ ID no existe"))</f>
        <v/>
      </c>
      <c r="D1242" s="19" t="n"/>
      <c r="E1242" s="19" t="n"/>
      <c r="F1242" s="16">
        <f>IF(OR(B1242="",D1242=""),"",IFERROR(INDEX('Tabla XP'!$B$2:$B$12,MATCH(D1242,'Tabla XP'!$A$2:$A$12,0))*IF(E1242="",1,E1242),0))</f>
        <v/>
      </c>
      <c r="G1242" s="19" t="n"/>
      <c r="H1242" s="19" t="n"/>
    </row>
    <row r="1243">
      <c r="A1243" s="22" t="n"/>
      <c r="B1243" s="19" t="n"/>
      <c r="C1243" s="18">
        <f>IF(B1243="","",IFERROR(INDEX(Jugadores!$C$2:$C$501,MATCH(B1243,Jugadores!$A$2:$A$501,0)),"⚠ ID no existe"))</f>
        <v/>
      </c>
      <c r="D1243" s="19" t="n"/>
      <c r="E1243" s="19" t="n"/>
      <c r="F1243" s="16">
        <f>IF(OR(B1243="",D1243=""),"",IFERROR(INDEX('Tabla XP'!$B$2:$B$12,MATCH(D1243,'Tabla XP'!$A$2:$A$12,0))*IF(E1243="",1,E1243),0))</f>
        <v/>
      </c>
      <c r="G1243" s="19" t="n"/>
      <c r="H1243" s="19" t="n"/>
    </row>
    <row r="1244">
      <c r="A1244" s="22" t="n"/>
      <c r="B1244" s="19" t="n"/>
      <c r="C1244" s="18">
        <f>IF(B1244="","",IFERROR(INDEX(Jugadores!$C$2:$C$501,MATCH(B1244,Jugadores!$A$2:$A$501,0)),"⚠ ID no existe"))</f>
        <v/>
      </c>
      <c r="D1244" s="19" t="n"/>
      <c r="E1244" s="19" t="n"/>
      <c r="F1244" s="16">
        <f>IF(OR(B1244="",D1244=""),"",IFERROR(INDEX('Tabla XP'!$B$2:$B$12,MATCH(D1244,'Tabla XP'!$A$2:$A$12,0))*IF(E1244="",1,E1244),0))</f>
        <v/>
      </c>
      <c r="G1244" s="19" t="n"/>
      <c r="H1244" s="19" t="n"/>
    </row>
    <row r="1245">
      <c r="A1245" s="22" t="n"/>
      <c r="B1245" s="19" t="n"/>
      <c r="C1245" s="18">
        <f>IF(B1245="","",IFERROR(INDEX(Jugadores!$C$2:$C$501,MATCH(B1245,Jugadores!$A$2:$A$501,0)),"⚠ ID no existe"))</f>
        <v/>
      </c>
      <c r="D1245" s="19" t="n"/>
      <c r="E1245" s="19" t="n"/>
      <c r="F1245" s="16">
        <f>IF(OR(B1245="",D1245=""),"",IFERROR(INDEX('Tabla XP'!$B$2:$B$12,MATCH(D1245,'Tabla XP'!$A$2:$A$12,0))*IF(E1245="",1,E1245),0))</f>
        <v/>
      </c>
      <c r="G1245" s="19" t="n"/>
      <c r="H1245" s="19" t="n"/>
    </row>
    <row r="1246">
      <c r="A1246" s="22" t="n"/>
      <c r="B1246" s="19" t="n"/>
      <c r="C1246" s="18">
        <f>IF(B1246="","",IFERROR(INDEX(Jugadores!$C$2:$C$501,MATCH(B1246,Jugadores!$A$2:$A$501,0)),"⚠ ID no existe"))</f>
        <v/>
      </c>
      <c r="D1246" s="19" t="n"/>
      <c r="E1246" s="19" t="n"/>
      <c r="F1246" s="16">
        <f>IF(OR(B1246="",D1246=""),"",IFERROR(INDEX('Tabla XP'!$B$2:$B$12,MATCH(D1246,'Tabla XP'!$A$2:$A$12,0))*IF(E1246="",1,E1246),0))</f>
        <v/>
      </c>
      <c r="G1246" s="19" t="n"/>
      <c r="H1246" s="19" t="n"/>
    </row>
    <row r="1247">
      <c r="A1247" s="22" t="n"/>
      <c r="B1247" s="19" t="n"/>
      <c r="C1247" s="18">
        <f>IF(B1247="","",IFERROR(INDEX(Jugadores!$C$2:$C$501,MATCH(B1247,Jugadores!$A$2:$A$501,0)),"⚠ ID no existe"))</f>
        <v/>
      </c>
      <c r="D1247" s="19" t="n"/>
      <c r="E1247" s="19" t="n"/>
      <c r="F1247" s="16">
        <f>IF(OR(B1247="",D1247=""),"",IFERROR(INDEX('Tabla XP'!$B$2:$B$12,MATCH(D1247,'Tabla XP'!$A$2:$A$12,0))*IF(E1247="",1,E1247),0))</f>
        <v/>
      </c>
      <c r="G1247" s="19" t="n"/>
      <c r="H1247" s="19" t="n"/>
    </row>
    <row r="1248">
      <c r="A1248" s="22" t="n"/>
      <c r="B1248" s="19" t="n"/>
      <c r="C1248" s="18">
        <f>IF(B1248="","",IFERROR(INDEX(Jugadores!$C$2:$C$501,MATCH(B1248,Jugadores!$A$2:$A$501,0)),"⚠ ID no existe"))</f>
        <v/>
      </c>
      <c r="D1248" s="19" t="n"/>
      <c r="E1248" s="19" t="n"/>
      <c r="F1248" s="16">
        <f>IF(OR(B1248="",D1248=""),"",IFERROR(INDEX('Tabla XP'!$B$2:$B$12,MATCH(D1248,'Tabla XP'!$A$2:$A$12,0))*IF(E1248="",1,E1248),0))</f>
        <v/>
      </c>
      <c r="G1248" s="19" t="n"/>
      <c r="H1248" s="19" t="n"/>
    </row>
    <row r="1249">
      <c r="A1249" s="22" t="n"/>
      <c r="B1249" s="19" t="n"/>
      <c r="C1249" s="18">
        <f>IF(B1249="","",IFERROR(INDEX(Jugadores!$C$2:$C$501,MATCH(B1249,Jugadores!$A$2:$A$501,0)),"⚠ ID no existe"))</f>
        <v/>
      </c>
      <c r="D1249" s="19" t="n"/>
      <c r="E1249" s="19" t="n"/>
      <c r="F1249" s="16">
        <f>IF(OR(B1249="",D1249=""),"",IFERROR(INDEX('Tabla XP'!$B$2:$B$12,MATCH(D1249,'Tabla XP'!$A$2:$A$12,0))*IF(E1249="",1,E1249),0))</f>
        <v/>
      </c>
      <c r="G1249" s="19" t="n"/>
      <c r="H1249" s="19" t="n"/>
    </row>
    <row r="1250">
      <c r="A1250" s="22" t="n"/>
      <c r="B1250" s="19" t="n"/>
      <c r="C1250" s="18">
        <f>IF(B1250="","",IFERROR(INDEX(Jugadores!$C$2:$C$501,MATCH(B1250,Jugadores!$A$2:$A$501,0)),"⚠ ID no existe"))</f>
        <v/>
      </c>
      <c r="D1250" s="19" t="n"/>
      <c r="E1250" s="19" t="n"/>
      <c r="F1250" s="16">
        <f>IF(OR(B1250="",D1250=""),"",IFERROR(INDEX('Tabla XP'!$B$2:$B$12,MATCH(D1250,'Tabla XP'!$A$2:$A$12,0))*IF(E1250="",1,E1250),0))</f>
        <v/>
      </c>
      <c r="G1250" s="19" t="n"/>
      <c r="H1250" s="19" t="n"/>
    </row>
    <row r="1251">
      <c r="A1251" s="22" t="n"/>
      <c r="B1251" s="19" t="n"/>
      <c r="C1251" s="18">
        <f>IF(B1251="","",IFERROR(INDEX(Jugadores!$C$2:$C$501,MATCH(B1251,Jugadores!$A$2:$A$501,0)),"⚠ ID no existe"))</f>
        <v/>
      </c>
      <c r="D1251" s="19" t="n"/>
      <c r="E1251" s="19" t="n"/>
      <c r="F1251" s="16">
        <f>IF(OR(B1251="",D1251=""),"",IFERROR(INDEX('Tabla XP'!$B$2:$B$12,MATCH(D1251,'Tabla XP'!$A$2:$A$12,0))*IF(E1251="",1,E1251),0))</f>
        <v/>
      </c>
      <c r="G1251" s="19" t="n"/>
      <c r="H1251" s="19" t="n"/>
    </row>
    <row r="1252">
      <c r="A1252" s="22" t="n"/>
      <c r="B1252" s="19" t="n"/>
      <c r="C1252" s="18">
        <f>IF(B1252="","",IFERROR(INDEX(Jugadores!$C$2:$C$501,MATCH(B1252,Jugadores!$A$2:$A$501,0)),"⚠ ID no existe"))</f>
        <v/>
      </c>
      <c r="D1252" s="19" t="n"/>
      <c r="E1252" s="19" t="n"/>
      <c r="F1252" s="16">
        <f>IF(OR(B1252="",D1252=""),"",IFERROR(INDEX('Tabla XP'!$B$2:$B$12,MATCH(D1252,'Tabla XP'!$A$2:$A$12,0))*IF(E1252="",1,E1252),0))</f>
        <v/>
      </c>
      <c r="G1252" s="19" t="n"/>
      <c r="H1252" s="19" t="n"/>
    </row>
    <row r="1253">
      <c r="A1253" s="22" t="n"/>
      <c r="B1253" s="19" t="n"/>
      <c r="C1253" s="18">
        <f>IF(B1253="","",IFERROR(INDEX(Jugadores!$C$2:$C$501,MATCH(B1253,Jugadores!$A$2:$A$501,0)),"⚠ ID no existe"))</f>
        <v/>
      </c>
      <c r="D1253" s="19" t="n"/>
      <c r="E1253" s="19" t="n"/>
      <c r="F1253" s="16">
        <f>IF(OR(B1253="",D1253=""),"",IFERROR(INDEX('Tabla XP'!$B$2:$B$12,MATCH(D1253,'Tabla XP'!$A$2:$A$12,0))*IF(E1253="",1,E1253),0))</f>
        <v/>
      </c>
      <c r="G1253" s="19" t="n"/>
      <c r="H1253" s="19" t="n"/>
    </row>
    <row r="1254">
      <c r="A1254" s="22" t="n"/>
      <c r="B1254" s="19" t="n"/>
      <c r="C1254" s="18">
        <f>IF(B1254="","",IFERROR(INDEX(Jugadores!$C$2:$C$501,MATCH(B1254,Jugadores!$A$2:$A$501,0)),"⚠ ID no existe"))</f>
        <v/>
      </c>
      <c r="D1254" s="19" t="n"/>
      <c r="E1254" s="19" t="n"/>
      <c r="F1254" s="16">
        <f>IF(OR(B1254="",D1254=""),"",IFERROR(INDEX('Tabla XP'!$B$2:$B$12,MATCH(D1254,'Tabla XP'!$A$2:$A$12,0))*IF(E1254="",1,E1254),0))</f>
        <v/>
      </c>
      <c r="G1254" s="19" t="n"/>
      <c r="H1254" s="19" t="n"/>
    </row>
    <row r="1255">
      <c r="A1255" s="22" t="n"/>
      <c r="B1255" s="19" t="n"/>
      <c r="C1255" s="18">
        <f>IF(B1255="","",IFERROR(INDEX(Jugadores!$C$2:$C$501,MATCH(B1255,Jugadores!$A$2:$A$501,0)),"⚠ ID no existe"))</f>
        <v/>
      </c>
      <c r="D1255" s="19" t="n"/>
      <c r="E1255" s="19" t="n"/>
      <c r="F1255" s="16">
        <f>IF(OR(B1255="",D1255=""),"",IFERROR(INDEX('Tabla XP'!$B$2:$B$12,MATCH(D1255,'Tabla XP'!$A$2:$A$12,0))*IF(E1255="",1,E1255),0))</f>
        <v/>
      </c>
      <c r="G1255" s="19" t="n"/>
      <c r="H1255" s="19" t="n"/>
    </row>
    <row r="1256">
      <c r="A1256" s="22" t="n"/>
      <c r="B1256" s="19" t="n"/>
      <c r="C1256" s="18">
        <f>IF(B1256="","",IFERROR(INDEX(Jugadores!$C$2:$C$501,MATCH(B1256,Jugadores!$A$2:$A$501,0)),"⚠ ID no existe"))</f>
        <v/>
      </c>
      <c r="D1256" s="19" t="n"/>
      <c r="E1256" s="19" t="n"/>
      <c r="F1256" s="16">
        <f>IF(OR(B1256="",D1256=""),"",IFERROR(INDEX('Tabla XP'!$B$2:$B$12,MATCH(D1256,'Tabla XP'!$A$2:$A$12,0))*IF(E1256="",1,E1256),0))</f>
        <v/>
      </c>
      <c r="G1256" s="19" t="n"/>
      <c r="H1256" s="19" t="n"/>
    </row>
    <row r="1257">
      <c r="A1257" s="22" t="n"/>
      <c r="B1257" s="19" t="n"/>
      <c r="C1257" s="18">
        <f>IF(B1257="","",IFERROR(INDEX(Jugadores!$C$2:$C$501,MATCH(B1257,Jugadores!$A$2:$A$501,0)),"⚠ ID no existe"))</f>
        <v/>
      </c>
      <c r="D1257" s="19" t="n"/>
      <c r="E1257" s="19" t="n"/>
      <c r="F1257" s="16">
        <f>IF(OR(B1257="",D1257=""),"",IFERROR(INDEX('Tabla XP'!$B$2:$B$12,MATCH(D1257,'Tabla XP'!$A$2:$A$12,0))*IF(E1257="",1,E1257),0))</f>
        <v/>
      </c>
      <c r="G1257" s="19" t="n"/>
      <c r="H1257" s="19" t="n"/>
    </row>
    <row r="1258">
      <c r="A1258" s="22" t="n"/>
      <c r="B1258" s="19" t="n"/>
      <c r="C1258" s="18">
        <f>IF(B1258="","",IFERROR(INDEX(Jugadores!$C$2:$C$501,MATCH(B1258,Jugadores!$A$2:$A$501,0)),"⚠ ID no existe"))</f>
        <v/>
      </c>
      <c r="D1258" s="19" t="n"/>
      <c r="E1258" s="19" t="n"/>
      <c r="F1258" s="16">
        <f>IF(OR(B1258="",D1258=""),"",IFERROR(INDEX('Tabla XP'!$B$2:$B$12,MATCH(D1258,'Tabla XP'!$A$2:$A$12,0))*IF(E1258="",1,E1258),0))</f>
        <v/>
      </c>
      <c r="G1258" s="19" t="n"/>
      <c r="H1258" s="19" t="n"/>
    </row>
    <row r="1259">
      <c r="A1259" s="22" t="n"/>
      <c r="B1259" s="19" t="n"/>
      <c r="C1259" s="18">
        <f>IF(B1259="","",IFERROR(INDEX(Jugadores!$C$2:$C$501,MATCH(B1259,Jugadores!$A$2:$A$501,0)),"⚠ ID no existe"))</f>
        <v/>
      </c>
      <c r="D1259" s="19" t="n"/>
      <c r="E1259" s="19" t="n"/>
      <c r="F1259" s="16">
        <f>IF(OR(B1259="",D1259=""),"",IFERROR(INDEX('Tabla XP'!$B$2:$B$12,MATCH(D1259,'Tabla XP'!$A$2:$A$12,0))*IF(E1259="",1,E1259),0))</f>
        <v/>
      </c>
      <c r="G1259" s="19" t="n"/>
      <c r="H1259" s="19" t="n"/>
    </row>
    <row r="1260">
      <c r="A1260" s="22" t="n"/>
      <c r="B1260" s="19" t="n"/>
      <c r="C1260" s="18">
        <f>IF(B1260="","",IFERROR(INDEX(Jugadores!$C$2:$C$501,MATCH(B1260,Jugadores!$A$2:$A$501,0)),"⚠ ID no existe"))</f>
        <v/>
      </c>
      <c r="D1260" s="19" t="n"/>
      <c r="E1260" s="19" t="n"/>
      <c r="F1260" s="16">
        <f>IF(OR(B1260="",D1260=""),"",IFERROR(INDEX('Tabla XP'!$B$2:$B$12,MATCH(D1260,'Tabla XP'!$A$2:$A$12,0))*IF(E1260="",1,E1260),0))</f>
        <v/>
      </c>
      <c r="G1260" s="19" t="n"/>
      <c r="H1260" s="19" t="n"/>
    </row>
    <row r="1261">
      <c r="A1261" s="22" t="n"/>
      <c r="B1261" s="19" t="n"/>
      <c r="C1261" s="18">
        <f>IF(B1261="","",IFERROR(INDEX(Jugadores!$C$2:$C$501,MATCH(B1261,Jugadores!$A$2:$A$501,0)),"⚠ ID no existe"))</f>
        <v/>
      </c>
      <c r="D1261" s="19" t="n"/>
      <c r="E1261" s="19" t="n"/>
      <c r="F1261" s="16">
        <f>IF(OR(B1261="",D1261=""),"",IFERROR(INDEX('Tabla XP'!$B$2:$B$12,MATCH(D1261,'Tabla XP'!$A$2:$A$12,0))*IF(E1261="",1,E1261),0))</f>
        <v/>
      </c>
      <c r="G1261" s="19" t="n"/>
      <c r="H1261" s="19" t="n"/>
    </row>
    <row r="1262">
      <c r="A1262" s="22" t="n"/>
      <c r="B1262" s="19" t="n"/>
      <c r="C1262" s="18">
        <f>IF(B1262="","",IFERROR(INDEX(Jugadores!$C$2:$C$501,MATCH(B1262,Jugadores!$A$2:$A$501,0)),"⚠ ID no existe"))</f>
        <v/>
      </c>
      <c r="D1262" s="19" t="n"/>
      <c r="E1262" s="19" t="n"/>
      <c r="F1262" s="16">
        <f>IF(OR(B1262="",D1262=""),"",IFERROR(INDEX('Tabla XP'!$B$2:$B$12,MATCH(D1262,'Tabla XP'!$A$2:$A$12,0))*IF(E1262="",1,E1262),0))</f>
        <v/>
      </c>
      <c r="G1262" s="19" t="n"/>
      <c r="H1262" s="19" t="n"/>
    </row>
    <row r="1263">
      <c r="A1263" s="22" t="n"/>
      <c r="B1263" s="19" t="n"/>
      <c r="C1263" s="18">
        <f>IF(B1263="","",IFERROR(INDEX(Jugadores!$C$2:$C$501,MATCH(B1263,Jugadores!$A$2:$A$501,0)),"⚠ ID no existe"))</f>
        <v/>
      </c>
      <c r="D1263" s="19" t="n"/>
      <c r="E1263" s="19" t="n"/>
      <c r="F1263" s="16">
        <f>IF(OR(B1263="",D1263=""),"",IFERROR(INDEX('Tabla XP'!$B$2:$B$12,MATCH(D1263,'Tabla XP'!$A$2:$A$12,0))*IF(E1263="",1,E1263),0))</f>
        <v/>
      </c>
      <c r="G1263" s="19" t="n"/>
      <c r="H1263" s="19" t="n"/>
    </row>
    <row r="1264">
      <c r="A1264" s="22" t="n"/>
      <c r="B1264" s="19" t="n"/>
      <c r="C1264" s="18">
        <f>IF(B1264="","",IFERROR(INDEX(Jugadores!$C$2:$C$501,MATCH(B1264,Jugadores!$A$2:$A$501,0)),"⚠ ID no existe"))</f>
        <v/>
      </c>
      <c r="D1264" s="19" t="n"/>
      <c r="E1264" s="19" t="n"/>
      <c r="F1264" s="16">
        <f>IF(OR(B1264="",D1264=""),"",IFERROR(INDEX('Tabla XP'!$B$2:$B$12,MATCH(D1264,'Tabla XP'!$A$2:$A$12,0))*IF(E1264="",1,E1264),0))</f>
        <v/>
      </c>
      <c r="G1264" s="19" t="n"/>
      <c r="H1264" s="19" t="n"/>
    </row>
    <row r="1265">
      <c r="A1265" s="22" t="n"/>
      <c r="B1265" s="19" t="n"/>
      <c r="C1265" s="18">
        <f>IF(B1265="","",IFERROR(INDEX(Jugadores!$C$2:$C$501,MATCH(B1265,Jugadores!$A$2:$A$501,0)),"⚠ ID no existe"))</f>
        <v/>
      </c>
      <c r="D1265" s="19" t="n"/>
      <c r="E1265" s="19" t="n"/>
      <c r="F1265" s="16">
        <f>IF(OR(B1265="",D1265=""),"",IFERROR(INDEX('Tabla XP'!$B$2:$B$12,MATCH(D1265,'Tabla XP'!$A$2:$A$12,0))*IF(E1265="",1,E1265),0))</f>
        <v/>
      </c>
      <c r="G1265" s="19" t="n"/>
      <c r="H1265" s="19" t="n"/>
    </row>
    <row r="1266">
      <c r="A1266" s="22" t="n"/>
      <c r="B1266" s="19" t="n"/>
      <c r="C1266" s="18">
        <f>IF(B1266="","",IFERROR(INDEX(Jugadores!$C$2:$C$501,MATCH(B1266,Jugadores!$A$2:$A$501,0)),"⚠ ID no existe"))</f>
        <v/>
      </c>
      <c r="D1266" s="19" t="n"/>
      <c r="E1266" s="19" t="n"/>
      <c r="F1266" s="16">
        <f>IF(OR(B1266="",D1266=""),"",IFERROR(INDEX('Tabla XP'!$B$2:$B$12,MATCH(D1266,'Tabla XP'!$A$2:$A$12,0))*IF(E1266="",1,E1266),0))</f>
        <v/>
      </c>
      <c r="G1266" s="19" t="n"/>
      <c r="H1266" s="19" t="n"/>
    </row>
    <row r="1267">
      <c r="A1267" s="22" t="n"/>
      <c r="B1267" s="19" t="n"/>
      <c r="C1267" s="18">
        <f>IF(B1267="","",IFERROR(INDEX(Jugadores!$C$2:$C$501,MATCH(B1267,Jugadores!$A$2:$A$501,0)),"⚠ ID no existe"))</f>
        <v/>
      </c>
      <c r="D1267" s="19" t="n"/>
      <c r="E1267" s="19" t="n"/>
      <c r="F1267" s="16">
        <f>IF(OR(B1267="",D1267=""),"",IFERROR(INDEX('Tabla XP'!$B$2:$B$12,MATCH(D1267,'Tabla XP'!$A$2:$A$12,0))*IF(E1267="",1,E1267),0))</f>
        <v/>
      </c>
      <c r="G1267" s="19" t="n"/>
      <c r="H1267" s="19" t="n"/>
    </row>
    <row r="1268">
      <c r="A1268" s="22" t="n"/>
      <c r="B1268" s="19" t="n"/>
      <c r="C1268" s="18">
        <f>IF(B1268="","",IFERROR(INDEX(Jugadores!$C$2:$C$501,MATCH(B1268,Jugadores!$A$2:$A$501,0)),"⚠ ID no existe"))</f>
        <v/>
      </c>
      <c r="D1268" s="19" t="n"/>
      <c r="E1268" s="19" t="n"/>
      <c r="F1268" s="16">
        <f>IF(OR(B1268="",D1268=""),"",IFERROR(INDEX('Tabla XP'!$B$2:$B$12,MATCH(D1268,'Tabla XP'!$A$2:$A$12,0))*IF(E1268="",1,E1268),0))</f>
        <v/>
      </c>
      <c r="G1268" s="19" t="n"/>
      <c r="H1268" s="19" t="n"/>
    </row>
    <row r="1269">
      <c r="A1269" s="22" t="n"/>
      <c r="B1269" s="19" t="n"/>
      <c r="C1269" s="18">
        <f>IF(B1269="","",IFERROR(INDEX(Jugadores!$C$2:$C$501,MATCH(B1269,Jugadores!$A$2:$A$501,0)),"⚠ ID no existe"))</f>
        <v/>
      </c>
      <c r="D1269" s="19" t="n"/>
      <c r="E1269" s="19" t="n"/>
      <c r="F1269" s="16">
        <f>IF(OR(B1269="",D1269=""),"",IFERROR(INDEX('Tabla XP'!$B$2:$B$12,MATCH(D1269,'Tabla XP'!$A$2:$A$12,0))*IF(E1269="",1,E1269),0))</f>
        <v/>
      </c>
      <c r="G1269" s="19" t="n"/>
      <c r="H1269" s="19" t="n"/>
    </row>
    <row r="1270">
      <c r="A1270" s="22" t="n"/>
      <c r="B1270" s="19" t="n"/>
      <c r="C1270" s="18">
        <f>IF(B1270="","",IFERROR(INDEX(Jugadores!$C$2:$C$501,MATCH(B1270,Jugadores!$A$2:$A$501,0)),"⚠ ID no existe"))</f>
        <v/>
      </c>
      <c r="D1270" s="19" t="n"/>
      <c r="E1270" s="19" t="n"/>
      <c r="F1270" s="16">
        <f>IF(OR(B1270="",D1270=""),"",IFERROR(INDEX('Tabla XP'!$B$2:$B$12,MATCH(D1270,'Tabla XP'!$A$2:$A$12,0))*IF(E1270="",1,E1270),0))</f>
        <v/>
      </c>
      <c r="G1270" s="19" t="n"/>
      <c r="H1270" s="19" t="n"/>
    </row>
    <row r="1271">
      <c r="A1271" s="22" t="n"/>
      <c r="B1271" s="19" t="n"/>
      <c r="C1271" s="18">
        <f>IF(B1271="","",IFERROR(INDEX(Jugadores!$C$2:$C$501,MATCH(B1271,Jugadores!$A$2:$A$501,0)),"⚠ ID no existe"))</f>
        <v/>
      </c>
      <c r="D1271" s="19" t="n"/>
      <c r="E1271" s="19" t="n"/>
      <c r="F1271" s="16">
        <f>IF(OR(B1271="",D1271=""),"",IFERROR(INDEX('Tabla XP'!$B$2:$B$12,MATCH(D1271,'Tabla XP'!$A$2:$A$12,0))*IF(E1271="",1,E1271),0))</f>
        <v/>
      </c>
      <c r="G1271" s="19" t="n"/>
      <c r="H1271" s="19" t="n"/>
    </row>
    <row r="1272">
      <c r="A1272" s="22" t="n"/>
      <c r="B1272" s="19" t="n"/>
      <c r="C1272" s="18">
        <f>IF(B1272="","",IFERROR(INDEX(Jugadores!$C$2:$C$501,MATCH(B1272,Jugadores!$A$2:$A$501,0)),"⚠ ID no existe"))</f>
        <v/>
      </c>
      <c r="D1272" s="19" t="n"/>
      <c r="E1272" s="19" t="n"/>
      <c r="F1272" s="16">
        <f>IF(OR(B1272="",D1272=""),"",IFERROR(INDEX('Tabla XP'!$B$2:$B$12,MATCH(D1272,'Tabla XP'!$A$2:$A$12,0))*IF(E1272="",1,E1272),0))</f>
        <v/>
      </c>
      <c r="G1272" s="19" t="n"/>
      <c r="H1272" s="19" t="n"/>
    </row>
    <row r="1273">
      <c r="A1273" s="22" t="n"/>
      <c r="B1273" s="19" t="n"/>
      <c r="C1273" s="18">
        <f>IF(B1273="","",IFERROR(INDEX(Jugadores!$C$2:$C$501,MATCH(B1273,Jugadores!$A$2:$A$501,0)),"⚠ ID no existe"))</f>
        <v/>
      </c>
      <c r="D1273" s="19" t="n"/>
      <c r="E1273" s="19" t="n"/>
      <c r="F1273" s="16">
        <f>IF(OR(B1273="",D1273=""),"",IFERROR(INDEX('Tabla XP'!$B$2:$B$12,MATCH(D1273,'Tabla XP'!$A$2:$A$12,0))*IF(E1273="",1,E1273),0))</f>
        <v/>
      </c>
      <c r="G1273" s="19" t="n"/>
      <c r="H1273" s="19" t="n"/>
    </row>
    <row r="1274">
      <c r="A1274" s="22" t="n"/>
      <c r="B1274" s="19" t="n"/>
      <c r="C1274" s="18">
        <f>IF(B1274="","",IFERROR(INDEX(Jugadores!$C$2:$C$501,MATCH(B1274,Jugadores!$A$2:$A$501,0)),"⚠ ID no existe"))</f>
        <v/>
      </c>
      <c r="D1274" s="19" t="n"/>
      <c r="E1274" s="19" t="n"/>
      <c r="F1274" s="16">
        <f>IF(OR(B1274="",D1274=""),"",IFERROR(INDEX('Tabla XP'!$B$2:$B$12,MATCH(D1274,'Tabla XP'!$A$2:$A$12,0))*IF(E1274="",1,E1274),0))</f>
        <v/>
      </c>
      <c r="G1274" s="19" t="n"/>
      <c r="H1274" s="19" t="n"/>
    </row>
    <row r="1275">
      <c r="A1275" s="22" t="n"/>
      <c r="B1275" s="19" t="n"/>
      <c r="C1275" s="18">
        <f>IF(B1275="","",IFERROR(INDEX(Jugadores!$C$2:$C$501,MATCH(B1275,Jugadores!$A$2:$A$501,0)),"⚠ ID no existe"))</f>
        <v/>
      </c>
      <c r="D1275" s="19" t="n"/>
      <c r="E1275" s="19" t="n"/>
      <c r="F1275" s="16">
        <f>IF(OR(B1275="",D1275=""),"",IFERROR(INDEX('Tabla XP'!$B$2:$B$12,MATCH(D1275,'Tabla XP'!$A$2:$A$12,0))*IF(E1275="",1,E1275),0))</f>
        <v/>
      </c>
      <c r="G1275" s="19" t="n"/>
      <c r="H1275" s="19" t="n"/>
    </row>
    <row r="1276">
      <c r="A1276" s="22" t="n"/>
      <c r="B1276" s="19" t="n"/>
      <c r="C1276" s="18">
        <f>IF(B1276="","",IFERROR(INDEX(Jugadores!$C$2:$C$501,MATCH(B1276,Jugadores!$A$2:$A$501,0)),"⚠ ID no existe"))</f>
        <v/>
      </c>
      <c r="D1276" s="19" t="n"/>
      <c r="E1276" s="19" t="n"/>
      <c r="F1276" s="16">
        <f>IF(OR(B1276="",D1276=""),"",IFERROR(INDEX('Tabla XP'!$B$2:$B$12,MATCH(D1276,'Tabla XP'!$A$2:$A$12,0))*IF(E1276="",1,E1276),0))</f>
        <v/>
      </c>
      <c r="G1276" s="19" t="n"/>
      <c r="H1276" s="19" t="n"/>
    </row>
    <row r="1277">
      <c r="A1277" s="22" t="n"/>
      <c r="B1277" s="19" t="n"/>
      <c r="C1277" s="18">
        <f>IF(B1277="","",IFERROR(INDEX(Jugadores!$C$2:$C$501,MATCH(B1277,Jugadores!$A$2:$A$501,0)),"⚠ ID no existe"))</f>
        <v/>
      </c>
      <c r="D1277" s="19" t="n"/>
      <c r="E1277" s="19" t="n"/>
      <c r="F1277" s="16">
        <f>IF(OR(B1277="",D1277=""),"",IFERROR(INDEX('Tabla XP'!$B$2:$B$12,MATCH(D1277,'Tabla XP'!$A$2:$A$12,0))*IF(E1277="",1,E1277),0))</f>
        <v/>
      </c>
      <c r="G1277" s="19" t="n"/>
      <c r="H1277" s="19" t="n"/>
    </row>
    <row r="1278">
      <c r="A1278" s="22" t="n"/>
      <c r="B1278" s="19" t="n"/>
      <c r="C1278" s="18">
        <f>IF(B1278="","",IFERROR(INDEX(Jugadores!$C$2:$C$501,MATCH(B1278,Jugadores!$A$2:$A$501,0)),"⚠ ID no existe"))</f>
        <v/>
      </c>
      <c r="D1278" s="19" t="n"/>
      <c r="E1278" s="19" t="n"/>
      <c r="F1278" s="16">
        <f>IF(OR(B1278="",D1278=""),"",IFERROR(INDEX('Tabla XP'!$B$2:$B$12,MATCH(D1278,'Tabla XP'!$A$2:$A$12,0))*IF(E1278="",1,E1278),0))</f>
        <v/>
      </c>
      <c r="G1278" s="19" t="n"/>
      <c r="H1278" s="19" t="n"/>
    </row>
    <row r="1279">
      <c r="A1279" s="22" t="n"/>
      <c r="B1279" s="19" t="n"/>
      <c r="C1279" s="18">
        <f>IF(B1279="","",IFERROR(INDEX(Jugadores!$C$2:$C$501,MATCH(B1279,Jugadores!$A$2:$A$501,0)),"⚠ ID no existe"))</f>
        <v/>
      </c>
      <c r="D1279" s="19" t="n"/>
      <c r="E1279" s="19" t="n"/>
      <c r="F1279" s="16">
        <f>IF(OR(B1279="",D1279=""),"",IFERROR(INDEX('Tabla XP'!$B$2:$B$12,MATCH(D1279,'Tabla XP'!$A$2:$A$12,0))*IF(E1279="",1,E1279),0))</f>
        <v/>
      </c>
      <c r="G1279" s="19" t="n"/>
      <c r="H1279" s="19" t="n"/>
    </row>
    <row r="1280">
      <c r="A1280" s="22" t="n"/>
      <c r="B1280" s="19" t="n"/>
      <c r="C1280" s="18">
        <f>IF(B1280="","",IFERROR(INDEX(Jugadores!$C$2:$C$501,MATCH(B1280,Jugadores!$A$2:$A$501,0)),"⚠ ID no existe"))</f>
        <v/>
      </c>
      <c r="D1280" s="19" t="n"/>
      <c r="E1280" s="19" t="n"/>
      <c r="F1280" s="16">
        <f>IF(OR(B1280="",D1280=""),"",IFERROR(INDEX('Tabla XP'!$B$2:$B$12,MATCH(D1280,'Tabla XP'!$A$2:$A$12,0))*IF(E1280="",1,E1280),0))</f>
        <v/>
      </c>
      <c r="G1280" s="19" t="n"/>
      <c r="H1280" s="19" t="n"/>
    </row>
    <row r="1281">
      <c r="A1281" s="22" t="n"/>
      <c r="B1281" s="19" t="n"/>
      <c r="C1281" s="18">
        <f>IF(B1281="","",IFERROR(INDEX(Jugadores!$C$2:$C$501,MATCH(B1281,Jugadores!$A$2:$A$501,0)),"⚠ ID no existe"))</f>
        <v/>
      </c>
      <c r="D1281" s="19" t="n"/>
      <c r="E1281" s="19" t="n"/>
      <c r="F1281" s="16">
        <f>IF(OR(B1281="",D1281=""),"",IFERROR(INDEX('Tabla XP'!$B$2:$B$12,MATCH(D1281,'Tabla XP'!$A$2:$A$12,0))*IF(E1281="",1,E1281),0))</f>
        <v/>
      </c>
      <c r="G1281" s="19" t="n"/>
      <c r="H1281" s="19" t="n"/>
    </row>
    <row r="1282">
      <c r="A1282" s="22" t="n"/>
      <c r="B1282" s="19" t="n"/>
      <c r="C1282" s="18">
        <f>IF(B1282="","",IFERROR(INDEX(Jugadores!$C$2:$C$501,MATCH(B1282,Jugadores!$A$2:$A$501,0)),"⚠ ID no existe"))</f>
        <v/>
      </c>
      <c r="D1282" s="19" t="n"/>
      <c r="E1282" s="19" t="n"/>
      <c r="F1282" s="16">
        <f>IF(OR(B1282="",D1282=""),"",IFERROR(INDEX('Tabla XP'!$B$2:$B$12,MATCH(D1282,'Tabla XP'!$A$2:$A$12,0))*IF(E1282="",1,E1282),0))</f>
        <v/>
      </c>
      <c r="G1282" s="19" t="n"/>
      <c r="H1282" s="19" t="n"/>
    </row>
    <row r="1283">
      <c r="A1283" s="22" t="n"/>
      <c r="B1283" s="19" t="n"/>
      <c r="C1283" s="18">
        <f>IF(B1283="","",IFERROR(INDEX(Jugadores!$C$2:$C$501,MATCH(B1283,Jugadores!$A$2:$A$501,0)),"⚠ ID no existe"))</f>
        <v/>
      </c>
      <c r="D1283" s="19" t="n"/>
      <c r="E1283" s="19" t="n"/>
      <c r="F1283" s="16">
        <f>IF(OR(B1283="",D1283=""),"",IFERROR(INDEX('Tabla XP'!$B$2:$B$12,MATCH(D1283,'Tabla XP'!$A$2:$A$12,0))*IF(E1283="",1,E1283),0))</f>
        <v/>
      </c>
      <c r="G1283" s="19" t="n"/>
      <c r="H1283" s="19" t="n"/>
    </row>
    <row r="1284">
      <c r="A1284" s="22" t="n"/>
      <c r="B1284" s="19" t="n"/>
      <c r="C1284" s="18">
        <f>IF(B1284="","",IFERROR(INDEX(Jugadores!$C$2:$C$501,MATCH(B1284,Jugadores!$A$2:$A$501,0)),"⚠ ID no existe"))</f>
        <v/>
      </c>
      <c r="D1284" s="19" t="n"/>
      <c r="E1284" s="19" t="n"/>
      <c r="F1284" s="16">
        <f>IF(OR(B1284="",D1284=""),"",IFERROR(INDEX('Tabla XP'!$B$2:$B$12,MATCH(D1284,'Tabla XP'!$A$2:$A$12,0))*IF(E1284="",1,E1284),0))</f>
        <v/>
      </c>
      <c r="G1284" s="19" t="n"/>
      <c r="H1284" s="19" t="n"/>
    </row>
    <row r="1285">
      <c r="A1285" s="22" t="n"/>
      <c r="B1285" s="19" t="n"/>
      <c r="C1285" s="18">
        <f>IF(B1285="","",IFERROR(INDEX(Jugadores!$C$2:$C$501,MATCH(B1285,Jugadores!$A$2:$A$501,0)),"⚠ ID no existe"))</f>
        <v/>
      </c>
      <c r="D1285" s="19" t="n"/>
      <c r="E1285" s="19" t="n"/>
      <c r="F1285" s="16">
        <f>IF(OR(B1285="",D1285=""),"",IFERROR(INDEX('Tabla XP'!$B$2:$B$12,MATCH(D1285,'Tabla XP'!$A$2:$A$12,0))*IF(E1285="",1,E1285),0))</f>
        <v/>
      </c>
      <c r="G1285" s="19" t="n"/>
      <c r="H1285" s="19" t="n"/>
    </row>
    <row r="1286">
      <c r="A1286" s="22" t="n"/>
      <c r="B1286" s="19" t="n"/>
      <c r="C1286" s="18">
        <f>IF(B1286="","",IFERROR(INDEX(Jugadores!$C$2:$C$501,MATCH(B1286,Jugadores!$A$2:$A$501,0)),"⚠ ID no existe"))</f>
        <v/>
      </c>
      <c r="D1286" s="19" t="n"/>
      <c r="E1286" s="19" t="n"/>
      <c r="F1286" s="16">
        <f>IF(OR(B1286="",D1286=""),"",IFERROR(INDEX('Tabla XP'!$B$2:$B$12,MATCH(D1286,'Tabla XP'!$A$2:$A$12,0))*IF(E1286="",1,E1286),0))</f>
        <v/>
      </c>
      <c r="G1286" s="19" t="n"/>
      <c r="H1286" s="19" t="n"/>
    </row>
    <row r="1287">
      <c r="A1287" s="22" t="n"/>
      <c r="B1287" s="19" t="n"/>
      <c r="C1287" s="18">
        <f>IF(B1287="","",IFERROR(INDEX(Jugadores!$C$2:$C$501,MATCH(B1287,Jugadores!$A$2:$A$501,0)),"⚠ ID no existe"))</f>
        <v/>
      </c>
      <c r="D1287" s="19" t="n"/>
      <c r="E1287" s="19" t="n"/>
      <c r="F1287" s="16">
        <f>IF(OR(B1287="",D1287=""),"",IFERROR(INDEX('Tabla XP'!$B$2:$B$12,MATCH(D1287,'Tabla XP'!$A$2:$A$12,0))*IF(E1287="",1,E1287),0))</f>
        <v/>
      </c>
      <c r="G1287" s="19" t="n"/>
      <c r="H1287" s="19" t="n"/>
    </row>
    <row r="1288">
      <c r="A1288" s="22" t="n"/>
      <c r="B1288" s="19" t="n"/>
      <c r="C1288" s="18">
        <f>IF(B1288="","",IFERROR(INDEX(Jugadores!$C$2:$C$501,MATCH(B1288,Jugadores!$A$2:$A$501,0)),"⚠ ID no existe"))</f>
        <v/>
      </c>
      <c r="D1288" s="19" t="n"/>
      <c r="E1288" s="19" t="n"/>
      <c r="F1288" s="16">
        <f>IF(OR(B1288="",D1288=""),"",IFERROR(INDEX('Tabla XP'!$B$2:$B$12,MATCH(D1288,'Tabla XP'!$A$2:$A$12,0))*IF(E1288="",1,E1288),0))</f>
        <v/>
      </c>
      <c r="G1288" s="19" t="n"/>
      <c r="H1288" s="19" t="n"/>
    </row>
    <row r="1289">
      <c r="A1289" s="22" t="n"/>
      <c r="B1289" s="19" t="n"/>
      <c r="C1289" s="18">
        <f>IF(B1289="","",IFERROR(INDEX(Jugadores!$C$2:$C$501,MATCH(B1289,Jugadores!$A$2:$A$501,0)),"⚠ ID no existe"))</f>
        <v/>
      </c>
      <c r="D1289" s="19" t="n"/>
      <c r="E1289" s="19" t="n"/>
      <c r="F1289" s="16">
        <f>IF(OR(B1289="",D1289=""),"",IFERROR(INDEX('Tabla XP'!$B$2:$B$12,MATCH(D1289,'Tabla XP'!$A$2:$A$12,0))*IF(E1289="",1,E1289),0))</f>
        <v/>
      </c>
      <c r="G1289" s="19" t="n"/>
      <c r="H1289" s="19" t="n"/>
    </row>
    <row r="1290">
      <c r="A1290" s="22" t="n"/>
      <c r="B1290" s="19" t="n"/>
      <c r="C1290" s="18">
        <f>IF(B1290="","",IFERROR(INDEX(Jugadores!$C$2:$C$501,MATCH(B1290,Jugadores!$A$2:$A$501,0)),"⚠ ID no existe"))</f>
        <v/>
      </c>
      <c r="D1290" s="19" t="n"/>
      <c r="E1290" s="19" t="n"/>
      <c r="F1290" s="16">
        <f>IF(OR(B1290="",D1290=""),"",IFERROR(INDEX('Tabla XP'!$B$2:$B$12,MATCH(D1290,'Tabla XP'!$A$2:$A$12,0))*IF(E1290="",1,E1290),0))</f>
        <v/>
      </c>
      <c r="G1290" s="19" t="n"/>
      <c r="H1290" s="19" t="n"/>
    </row>
    <row r="1291">
      <c r="A1291" s="22" t="n"/>
      <c r="B1291" s="19" t="n"/>
      <c r="C1291" s="18">
        <f>IF(B1291="","",IFERROR(INDEX(Jugadores!$C$2:$C$501,MATCH(B1291,Jugadores!$A$2:$A$501,0)),"⚠ ID no existe"))</f>
        <v/>
      </c>
      <c r="D1291" s="19" t="n"/>
      <c r="E1291" s="19" t="n"/>
      <c r="F1291" s="16">
        <f>IF(OR(B1291="",D1291=""),"",IFERROR(INDEX('Tabla XP'!$B$2:$B$12,MATCH(D1291,'Tabla XP'!$A$2:$A$12,0))*IF(E1291="",1,E1291),0))</f>
        <v/>
      </c>
      <c r="G1291" s="19" t="n"/>
      <c r="H1291" s="19" t="n"/>
    </row>
    <row r="1292">
      <c r="A1292" s="22" t="n"/>
      <c r="B1292" s="19" t="n"/>
      <c r="C1292" s="18">
        <f>IF(B1292="","",IFERROR(INDEX(Jugadores!$C$2:$C$501,MATCH(B1292,Jugadores!$A$2:$A$501,0)),"⚠ ID no existe"))</f>
        <v/>
      </c>
      <c r="D1292" s="19" t="n"/>
      <c r="E1292" s="19" t="n"/>
      <c r="F1292" s="16">
        <f>IF(OR(B1292="",D1292=""),"",IFERROR(INDEX('Tabla XP'!$B$2:$B$12,MATCH(D1292,'Tabla XP'!$A$2:$A$12,0))*IF(E1292="",1,E1292),0))</f>
        <v/>
      </c>
      <c r="G1292" s="19" t="n"/>
      <c r="H1292" s="19" t="n"/>
    </row>
    <row r="1293">
      <c r="A1293" s="22" t="n"/>
      <c r="B1293" s="19" t="n"/>
      <c r="C1293" s="18">
        <f>IF(B1293="","",IFERROR(INDEX(Jugadores!$C$2:$C$501,MATCH(B1293,Jugadores!$A$2:$A$501,0)),"⚠ ID no existe"))</f>
        <v/>
      </c>
      <c r="D1293" s="19" t="n"/>
      <c r="E1293" s="19" t="n"/>
      <c r="F1293" s="16">
        <f>IF(OR(B1293="",D1293=""),"",IFERROR(INDEX('Tabla XP'!$B$2:$B$12,MATCH(D1293,'Tabla XP'!$A$2:$A$12,0))*IF(E1293="",1,E1293),0))</f>
        <v/>
      </c>
      <c r="G1293" s="19" t="n"/>
      <c r="H1293" s="19" t="n"/>
    </row>
    <row r="1294">
      <c r="A1294" s="22" t="n"/>
      <c r="B1294" s="19" t="n"/>
      <c r="C1294" s="18">
        <f>IF(B1294="","",IFERROR(INDEX(Jugadores!$C$2:$C$501,MATCH(B1294,Jugadores!$A$2:$A$501,0)),"⚠ ID no existe"))</f>
        <v/>
      </c>
      <c r="D1294" s="19" t="n"/>
      <c r="E1294" s="19" t="n"/>
      <c r="F1294" s="16">
        <f>IF(OR(B1294="",D1294=""),"",IFERROR(INDEX('Tabla XP'!$B$2:$B$12,MATCH(D1294,'Tabla XP'!$A$2:$A$12,0))*IF(E1294="",1,E1294),0))</f>
        <v/>
      </c>
      <c r="G1294" s="19" t="n"/>
      <c r="H1294" s="19" t="n"/>
    </row>
    <row r="1295">
      <c r="A1295" s="22" t="n"/>
      <c r="B1295" s="19" t="n"/>
      <c r="C1295" s="18">
        <f>IF(B1295="","",IFERROR(INDEX(Jugadores!$C$2:$C$501,MATCH(B1295,Jugadores!$A$2:$A$501,0)),"⚠ ID no existe"))</f>
        <v/>
      </c>
      <c r="D1295" s="19" t="n"/>
      <c r="E1295" s="19" t="n"/>
      <c r="F1295" s="16">
        <f>IF(OR(B1295="",D1295=""),"",IFERROR(INDEX('Tabla XP'!$B$2:$B$12,MATCH(D1295,'Tabla XP'!$A$2:$A$12,0))*IF(E1295="",1,E1295),0))</f>
        <v/>
      </c>
      <c r="G1295" s="19" t="n"/>
      <c r="H1295" s="19" t="n"/>
    </row>
    <row r="1296">
      <c r="A1296" s="22" t="n"/>
      <c r="B1296" s="19" t="n"/>
      <c r="C1296" s="18">
        <f>IF(B1296="","",IFERROR(INDEX(Jugadores!$C$2:$C$501,MATCH(B1296,Jugadores!$A$2:$A$501,0)),"⚠ ID no existe"))</f>
        <v/>
      </c>
      <c r="D1296" s="19" t="n"/>
      <c r="E1296" s="19" t="n"/>
      <c r="F1296" s="16">
        <f>IF(OR(B1296="",D1296=""),"",IFERROR(INDEX('Tabla XP'!$B$2:$B$12,MATCH(D1296,'Tabla XP'!$A$2:$A$12,0))*IF(E1296="",1,E1296),0))</f>
        <v/>
      </c>
      <c r="G1296" s="19" t="n"/>
      <c r="H1296" s="19" t="n"/>
    </row>
    <row r="1297">
      <c r="A1297" s="22" t="n"/>
      <c r="B1297" s="19" t="n"/>
      <c r="C1297" s="18">
        <f>IF(B1297="","",IFERROR(INDEX(Jugadores!$C$2:$C$501,MATCH(B1297,Jugadores!$A$2:$A$501,0)),"⚠ ID no existe"))</f>
        <v/>
      </c>
      <c r="D1297" s="19" t="n"/>
      <c r="E1297" s="19" t="n"/>
      <c r="F1297" s="16">
        <f>IF(OR(B1297="",D1297=""),"",IFERROR(INDEX('Tabla XP'!$B$2:$B$12,MATCH(D1297,'Tabla XP'!$A$2:$A$12,0))*IF(E1297="",1,E1297),0))</f>
        <v/>
      </c>
      <c r="G1297" s="19" t="n"/>
      <c r="H1297" s="19" t="n"/>
    </row>
    <row r="1298">
      <c r="A1298" s="22" t="n"/>
      <c r="B1298" s="19" t="n"/>
      <c r="C1298" s="18">
        <f>IF(B1298="","",IFERROR(INDEX(Jugadores!$C$2:$C$501,MATCH(B1298,Jugadores!$A$2:$A$501,0)),"⚠ ID no existe"))</f>
        <v/>
      </c>
      <c r="D1298" s="19" t="n"/>
      <c r="E1298" s="19" t="n"/>
      <c r="F1298" s="16">
        <f>IF(OR(B1298="",D1298=""),"",IFERROR(INDEX('Tabla XP'!$B$2:$B$12,MATCH(D1298,'Tabla XP'!$A$2:$A$12,0))*IF(E1298="",1,E1298),0))</f>
        <v/>
      </c>
      <c r="G1298" s="19" t="n"/>
      <c r="H1298" s="19" t="n"/>
    </row>
    <row r="1299">
      <c r="A1299" s="22" t="n"/>
      <c r="B1299" s="19" t="n"/>
      <c r="C1299" s="18">
        <f>IF(B1299="","",IFERROR(INDEX(Jugadores!$C$2:$C$501,MATCH(B1299,Jugadores!$A$2:$A$501,0)),"⚠ ID no existe"))</f>
        <v/>
      </c>
      <c r="D1299" s="19" t="n"/>
      <c r="E1299" s="19" t="n"/>
      <c r="F1299" s="16">
        <f>IF(OR(B1299="",D1299=""),"",IFERROR(INDEX('Tabla XP'!$B$2:$B$12,MATCH(D1299,'Tabla XP'!$A$2:$A$12,0))*IF(E1299="",1,E1299),0))</f>
        <v/>
      </c>
      <c r="G1299" s="19" t="n"/>
      <c r="H1299" s="19" t="n"/>
    </row>
    <row r="1300">
      <c r="A1300" s="22" t="n"/>
      <c r="B1300" s="19" t="n"/>
      <c r="C1300" s="18">
        <f>IF(B1300="","",IFERROR(INDEX(Jugadores!$C$2:$C$501,MATCH(B1300,Jugadores!$A$2:$A$501,0)),"⚠ ID no existe"))</f>
        <v/>
      </c>
      <c r="D1300" s="19" t="n"/>
      <c r="E1300" s="19" t="n"/>
      <c r="F1300" s="16">
        <f>IF(OR(B1300="",D1300=""),"",IFERROR(INDEX('Tabla XP'!$B$2:$B$12,MATCH(D1300,'Tabla XP'!$A$2:$A$12,0))*IF(E1300="",1,E1300),0))</f>
        <v/>
      </c>
      <c r="G1300" s="19" t="n"/>
      <c r="H1300" s="19" t="n"/>
    </row>
    <row r="1301">
      <c r="A1301" s="22" t="n"/>
      <c r="B1301" s="19" t="n"/>
      <c r="C1301" s="18">
        <f>IF(B1301="","",IFERROR(INDEX(Jugadores!$C$2:$C$501,MATCH(B1301,Jugadores!$A$2:$A$501,0)),"⚠ ID no existe"))</f>
        <v/>
      </c>
      <c r="D1301" s="19" t="n"/>
      <c r="E1301" s="19" t="n"/>
      <c r="F1301" s="16">
        <f>IF(OR(B1301="",D1301=""),"",IFERROR(INDEX('Tabla XP'!$B$2:$B$12,MATCH(D1301,'Tabla XP'!$A$2:$A$12,0))*IF(E1301="",1,E1301),0))</f>
        <v/>
      </c>
      <c r="G1301" s="19" t="n"/>
      <c r="H1301" s="19" t="n"/>
    </row>
    <row r="1302">
      <c r="A1302" s="22" t="n"/>
      <c r="B1302" s="19" t="n"/>
      <c r="C1302" s="18">
        <f>IF(B1302="","",IFERROR(INDEX(Jugadores!$C$2:$C$501,MATCH(B1302,Jugadores!$A$2:$A$501,0)),"⚠ ID no existe"))</f>
        <v/>
      </c>
      <c r="D1302" s="19" t="n"/>
      <c r="E1302" s="19" t="n"/>
      <c r="F1302" s="16">
        <f>IF(OR(B1302="",D1302=""),"",IFERROR(INDEX('Tabla XP'!$B$2:$B$12,MATCH(D1302,'Tabla XP'!$A$2:$A$12,0))*IF(E1302="",1,E1302),0))</f>
        <v/>
      </c>
      <c r="G1302" s="19" t="n"/>
      <c r="H1302" s="19" t="n"/>
    </row>
    <row r="1303">
      <c r="A1303" s="22" t="n"/>
      <c r="B1303" s="19" t="n"/>
      <c r="C1303" s="18">
        <f>IF(B1303="","",IFERROR(INDEX(Jugadores!$C$2:$C$501,MATCH(B1303,Jugadores!$A$2:$A$501,0)),"⚠ ID no existe"))</f>
        <v/>
      </c>
      <c r="D1303" s="19" t="n"/>
      <c r="E1303" s="19" t="n"/>
      <c r="F1303" s="16">
        <f>IF(OR(B1303="",D1303=""),"",IFERROR(INDEX('Tabla XP'!$B$2:$B$12,MATCH(D1303,'Tabla XP'!$A$2:$A$12,0))*IF(E1303="",1,E1303),0))</f>
        <v/>
      </c>
      <c r="G1303" s="19" t="n"/>
      <c r="H1303" s="19" t="n"/>
    </row>
    <row r="1304">
      <c r="A1304" s="22" t="n"/>
      <c r="B1304" s="19" t="n"/>
      <c r="C1304" s="18">
        <f>IF(B1304="","",IFERROR(INDEX(Jugadores!$C$2:$C$501,MATCH(B1304,Jugadores!$A$2:$A$501,0)),"⚠ ID no existe"))</f>
        <v/>
      </c>
      <c r="D1304" s="19" t="n"/>
      <c r="E1304" s="19" t="n"/>
      <c r="F1304" s="16">
        <f>IF(OR(B1304="",D1304=""),"",IFERROR(INDEX('Tabla XP'!$B$2:$B$12,MATCH(D1304,'Tabla XP'!$A$2:$A$12,0))*IF(E1304="",1,E1304),0))</f>
        <v/>
      </c>
      <c r="G1304" s="19" t="n"/>
      <c r="H1304" s="19" t="n"/>
    </row>
    <row r="1305">
      <c r="A1305" s="22" t="n"/>
      <c r="B1305" s="19" t="n"/>
      <c r="C1305" s="18">
        <f>IF(B1305="","",IFERROR(INDEX(Jugadores!$C$2:$C$501,MATCH(B1305,Jugadores!$A$2:$A$501,0)),"⚠ ID no existe"))</f>
        <v/>
      </c>
      <c r="D1305" s="19" t="n"/>
      <c r="E1305" s="19" t="n"/>
      <c r="F1305" s="16">
        <f>IF(OR(B1305="",D1305=""),"",IFERROR(INDEX('Tabla XP'!$B$2:$B$12,MATCH(D1305,'Tabla XP'!$A$2:$A$12,0))*IF(E1305="",1,E1305),0))</f>
        <v/>
      </c>
      <c r="G1305" s="19" t="n"/>
      <c r="H1305" s="19" t="n"/>
    </row>
    <row r="1306">
      <c r="A1306" s="22" t="n"/>
      <c r="B1306" s="19" t="n"/>
      <c r="C1306" s="18">
        <f>IF(B1306="","",IFERROR(INDEX(Jugadores!$C$2:$C$501,MATCH(B1306,Jugadores!$A$2:$A$501,0)),"⚠ ID no existe"))</f>
        <v/>
      </c>
      <c r="D1306" s="19" t="n"/>
      <c r="E1306" s="19" t="n"/>
      <c r="F1306" s="16">
        <f>IF(OR(B1306="",D1306=""),"",IFERROR(INDEX('Tabla XP'!$B$2:$B$12,MATCH(D1306,'Tabla XP'!$A$2:$A$12,0))*IF(E1306="",1,E1306),0))</f>
        <v/>
      </c>
      <c r="G1306" s="19" t="n"/>
      <c r="H1306" s="19" t="n"/>
    </row>
    <row r="1307">
      <c r="A1307" s="22" t="n"/>
      <c r="B1307" s="19" t="n"/>
      <c r="C1307" s="18">
        <f>IF(B1307="","",IFERROR(INDEX(Jugadores!$C$2:$C$501,MATCH(B1307,Jugadores!$A$2:$A$501,0)),"⚠ ID no existe"))</f>
        <v/>
      </c>
      <c r="D1307" s="19" t="n"/>
      <c r="E1307" s="19" t="n"/>
      <c r="F1307" s="16">
        <f>IF(OR(B1307="",D1307=""),"",IFERROR(INDEX('Tabla XP'!$B$2:$B$12,MATCH(D1307,'Tabla XP'!$A$2:$A$12,0))*IF(E1307="",1,E1307),0))</f>
        <v/>
      </c>
      <c r="G1307" s="19" t="n"/>
      <c r="H1307" s="19" t="n"/>
    </row>
    <row r="1308">
      <c r="A1308" s="22" t="n"/>
      <c r="B1308" s="19" t="n"/>
      <c r="C1308" s="18">
        <f>IF(B1308="","",IFERROR(INDEX(Jugadores!$C$2:$C$501,MATCH(B1308,Jugadores!$A$2:$A$501,0)),"⚠ ID no existe"))</f>
        <v/>
      </c>
      <c r="D1308" s="19" t="n"/>
      <c r="E1308" s="19" t="n"/>
      <c r="F1308" s="16">
        <f>IF(OR(B1308="",D1308=""),"",IFERROR(INDEX('Tabla XP'!$B$2:$B$12,MATCH(D1308,'Tabla XP'!$A$2:$A$12,0))*IF(E1308="",1,E1308),0))</f>
        <v/>
      </c>
      <c r="G1308" s="19" t="n"/>
      <c r="H1308" s="19" t="n"/>
    </row>
    <row r="1309">
      <c r="A1309" s="22" t="n"/>
      <c r="B1309" s="19" t="n"/>
      <c r="C1309" s="18">
        <f>IF(B1309="","",IFERROR(INDEX(Jugadores!$C$2:$C$501,MATCH(B1309,Jugadores!$A$2:$A$501,0)),"⚠ ID no existe"))</f>
        <v/>
      </c>
      <c r="D1309" s="19" t="n"/>
      <c r="E1309" s="19" t="n"/>
      <c r="F1309" s="16">
        <f>IF(OR(B1309="",D1309=""),"",IFERROR(INDEX('Tabla XP'!$B$2:$B$12,MATCH(D1309,'Tabla XP'!$A$2:$A$12,0))*IF(E1309="",1,E1309),0))</f>
        <v/>
      </c>
      <c r="G1309" s="19" t="n"/>
      <c r="H1309" s="19" t="n"/>
    </row>
    <row r="1310">
      <c r="A1310" s="22" t="n"/>
      <c r="B1310" s="19" t="n"/>
      <c r="C1310" s="18">
        <f>IF(B1310="","",IFERROR(INDEX(Jugadores!$C$2:$C$501,MATCH(B1310,Jugadores!$A$2:$A$501,0)),"⚠ ID no existe"))</f>
        <v/>
      </c>
      <c r="D1310" s="19" t="n"/>
      <c r="E1310" s="19" t="n"/>
      <c r="F1310" s="16">
        <f>IF(OR(B1310="",D1310=""),"",IFERROR(INDEX('Tabla XP'!$B$2:$B$12,MATCH(D1310,'Tabla XP'!$A$2:$A$12,0))*IF(E1310="",1,E1310),0))</f>
        <v/>
      </c>
      <c r="G1310" s="19" t="n"/>
      <c r="H1310" s="19" t="n"/>
    </row>
    <row r="1311">
      <c r="A1311" s="22" t="n"/>
      <c r="B1311" s="19" t="n"/>
      <c r="C1311" s="18">
        <f>IF(B1311="","",IFERROR(INDEX(Jugadores!$C$2:$C$501,MATCH(B1311,Jugadores!$A$2:$A$501,0)),"⚠ ID no existe"))</f>
        <v/>
      </c>
      <c r="D1311" s="19" t="n"/>
      <c r="E1311" s="19" t="n"/>
      <c r="F1311" s="16">
        <f>IF(OR(B1311="",D1311=""),"",IFERROR(INDEX('Tabla XP'!$B$2:$B$12,MATCH(D1311,'Tabla XP'!$A$2:$A$12,0))*IF(E1311="",1,E1311),0))</f>
        <v/>
      </c>
      <c r="G1311" s="19" t="n"/>
      <c r="H1311" s="19" t="n"/>
    </row>
    <row r="1312">
      <c r="A1312" s="22" t="n"/>
      <c r="B1312" s="19" t="n"/>
      <c r="C1312" s="18">
        <f>IF(B1312="","",IFERROR(INDEX(Jugadores!$C$2:$C$501,MATCH(B1312,Jugadores!$A$2:$A$501,0)),"⚠ ID no existe"))</f>
        <v/>
      </c>
      <c r="D1312" s="19" t="n"/>
      <c r="E1312" s="19" t="n"/>
      <c r="F1312" s="16">
        <f>IF(OR(B1312="",D1312=""),"",IFERROR(INDEX('Tabla XP'!$B$2:$B$12,MATCH(D1312,'Tabla XP'!$A$2:$A$12,0))*IF(E1312="",1,E1312),0))</f>
        <v/>
      </c>
      <c r="G1312" s="19" t="n"/>
      <c r="H1312" s="19" t="n"/>
    </row>
    <row r="1313">
      <c r="A1313" s="22" t="n"/>
      <c r="B1313" s="19" t="n"/>
      <c r="C1313" s="18">
        <f>IF(B1313="","",IFERROR(INDEX(Jugadores!$C$2:$C$501,MATCH(B1313,Jugadores!$A$2:$A$501,0)),"⚠ ID no existe"))</f>
        <v/>
      </c>
      <c r="D1313" s="19" t="n"/>
      <c r="E1313" s="19" t="n"/>
      <c r="F1313" s="16">
        <f>IF(OR(B1313="",D1313=""),"",IFERROR(INDEX('Tabla XP'!$B$2:$B$12,MATCH(D1313,'Tabla XP'!$A$2:$A$12,0))*IF(E1313="",1,E1313),0))</f>
        <v/>
      </c>
      <c r="G1313" s="19" t="n"/>
      <c r="H1313" s="19" t="n"/>
    </row>
    <row r="1314">
      <c r="A1314" s="22" t="n"/>
      <c r="B1314" s="19" t="n"/>
      <c r="C1314" s="18">
        <f>IF(B1314="","",IFERROR(INDEX(Jugadores!$C$2:$C$501,MATCH(B1314,Jugadores!$A$2:$A$501,0)),"⚠ ID no existe"))</f>
        <v/>
      </c>
      <c r="D1314" s="19" t="n"/>
      <c r="E1314" s="19" t="n"/>
      <c r="F1314" s="16">
        <f>IF(OR(B1314="",D1314=""),"",IFERROR(INDEX('Tabla XP'!$B$2:$B$12,MATCH(D1314,'Tabla XP'!$A$2:$A$12,0))*IF(E1314="",1,E1314),0))</f>
        <v/>
      </c>
      <c r="G1314" s="19" t="n"/>
      <c r="H1314" s="19" t="n"/>
    </row>
    <row r="1315">
      <c r="A1315" s="22" t="n"/>
      <c r="B1315" s="19" t="n"/>
      <c r="C1315" s="18">
        <f>IF(B1315="","",IFERROR(INDEX(Jugadores!$C$2:$C$501,MATCH(B1315,Jugadores!$A$2:$A$501,0)),"⚠ ID no existe"))</f>
        <v/>
      </c>
      <c r="D1315" s="19" t="n"/>
      <c r="E1315" s="19" t="n"/>
      <c r="F1315" s="16">
        <f>IF(OR(B1315="",D1315=""),"",IFERROR(INDEX('Tabla XP'!$B$2:$B$12,MATCH(D1315,'Tabla XP'!$A$2:$A$12,0))*IF(E1315="",1,E1315),0))</f>
        <v/>
      </c>
      <c r="G1315" s="19" t="n"/>
      <c r="H1315" s="19" t="n"/>
    </row>
    <row r="1316">
      <c r="A1316" s="22" t="n"/>
      <c r="B1316" s="19" t="n"/>
      <c r="C1316" s="18">
        <f>IF(B1316="","",IFERROR(INDEX(Jugadores!$C$2:$C$501,MATCH(B1316,Jugadores!$A$2:$A$501,0)),"⚠ ID no existe"))</f>
        <v/>
      </c>
      <c r="D1316" s="19" t="n"/>
      <c r="E1316" s="19" t="n"/>
      <c r="F1316" s="16">
        <f>IF(OR(B1316="",D1316=""),"",IFERROR(INDEX('Tabla XP'!$B$2:$B$12,MATCH(D1316,'Tabla XP'!$A$2:$A$12,0))*IF(E1316="",1,E1316),0))</f>
        <v/>
      </c>
      <c r="G1316" s="19" t="n"/>
      <c r="H1316" s="19" t="n"/>
    </row>
    <row r="1317">
      <c r="A1317" s="22" t="n"/>
      <c r="B1317" s="19" t="n"/>
      <c r="C1317" s="18">
        <f>IF(B1317="","",IFERROR(INDEX(Jugadores!$C$2:$C$501,MATCH(B1317,Jugadores!$A$2:$A$501,0)),"⚠ ID no existe"))</f>
        <v/>
      </c>
      <c r="D1317" s="19" t="n"/>
      <c r="E1317" s="19" t="n"/>
      <c r="F1317" s="16">
        <f>IF(OR(B1317="",D1317=""),"",IFERROR(INDEX('Tabla XP'!$B$2:$B$12,MATCH(D1317,'Tabla XP'!$A$2:$A$12,0))*IF(E1317="",1,E1317),0))</f>
        <v/>
      </c>
      <c r="G1317" s="19" t="n"/>
      <c r="H1317" s="19" t="n"/>
    </row>
    <row r="1318">
      <c r="A1318" s="22" t="n"/>
      <c r="B1318" s="19" t="n"/>
      <c r="C1318" s="18">
        <f>IF(B1318="","",IFERROR(INDEX(Jugadores!$C$2:$C$501,MATCH(B1318,Jugadores!$A$2:$A$501,0)),"⚠ ID no existe"))</f>
        <v/>
      </c>
      <c r="D1318" s="19" t="n"/>
      <c r="E1318" s="19" t="n"/>
      <c r="F1318" s="16">
        <f>IF(OR(B1318="",D1318=""),"",IFERROR(INDEX('Tabla XP'!$B$2:$B$12,MATCH(D1318,'Tabla XP'!$A$2:$A$12,0))*IF(E1318="",1,E1318),0))</f>
        <v/>
      </c>
      <c r="G1318" s="19" t="n"/>
      <c r="H1318" s="19" t="n"/>
    </row>
    <row r="1319">
      <c r="A1319" s="22" t="n"/>
      <c r="B1319" s="19" t="n"/>
      <c r="C1319" s="18">
        <f>IF(B1319="","",IFERROR(INDEX(Jugadores!$C$2:$C$501,MATCH(B1319,Jugadores!$A$2:$A$501,0)),"⚠ ID no existe"))</f>
        <v/>
      </c>
      <c r="D1319" s="19" t="n"/>
      <c r="E1319" s="19" t="n"/>
      <c r="F1319" s="16">
        <f>IF(OR(B1319="",D1319=""),"",IFERROR(INDEX('Tabla XP'!$B$2:$B$12,MATCH(D1319,'Tabla XP'!$A$2:$A$12,0))*IF(E1319="",1,E1319),0))</f>
        <v/>
      </c>
      <c r="G1319" s="19" t="n"/>
      <c r="H1319" s="19" t="n"/>
    </row>
    <row r="1320">
      <c r="A1320" s="22" t="n"/>
      <c r="B1320" s="19" t="n"/>
      <c r="C1320" s="18">
        <f>IF(B1320="","",IFERROR(INDEX(Jugadores!$C$2:$C$501,MATCH(B1320,Jugadores!$A$2:$A$501,0)),"⚠ ID no existe"))</f>
        <v/>
      </c>
      <c r="D1320" s="19" t="n"/>
      <c r="E1320" s="19" t="n"/>
      <c r="F1320" s="16">
        <f>IF(OR(B1320="",D1320=""),"",IFERROR(INDEX('Tabla XP'!$B$2:$B$12,MATCH(D1320,'Tabla XP'!$A$2:$A$12,0))*IF(E1320="",1,E1320),0))</f>
        <v/>
      </c>
      <c r="G1320" s="19" t="n"/>
      <c r="H1320" s="19" t="n"/>
    </row>
    <row r="1321">
      <c r="A1321" s="22" t="n"/>
      <c r="B1321" s="19" t="n"/>
      <c r="C1321" s="18">
        <f>IF(B1321="","",IFERROR(INDEX(Jugadores!$C$2:$C$501,MATCH(B1321,Jugadores!$A$2:$A$501,0)),"⚠ ID no existe"))</f>
        <v/>
      </c>
      <c r="D1321" s="19" t="n"/>
      <c r="E1321" s="19" t="n"/>
      <c r="F1321" s="16">
        <f>IF(OR(B1321="",D1321=""),"",IFERROR(INDEX('Tabla XP'!$B$2:$B$12,MATCH(D1321,'Tabla XP'!$A$2:$A$12,0))*IF(E1321="",1,E1321),0))</f>
        <v/>
      </c>
      <c r="G1321" s="19" t="n"/>
      <c r="H1321" s="19" t="n"/>
    </row>
    <row r="1322">
      <c r="A1322" s="22" t="n"/>
      <c r="B1322" s="19" t="n"/>
      <c r="C1322" s="18">
        <f>IF(B1322="","",IFERROR(INDEX(Jugadores!$C$2:$C$501,MATCH(B1322,Jugadores!$A$2:$A$501,0)),"⚠ ID no existe"))</f>
        <v/>
      </c>
      <c r="D1322" s="19" t="n"/>
      <c r="E1322" s="19" t="n"/>
      <c r="F1322" s="16">
        <f>IF(OR(B1322="",D1322=""),"",IFERROR(INDEX('Tabla XP'!$B$2:$B$12,MATCH(D1322,'Tabla XP'!$A$2:$A$12,0))*IF(E1322="",1,E1322),0))</f>
        <v/>
      </c>
      <c r="G1322" s="19" t="n"/>
      <c r="H1322" s="19" t="n"/>
    </row>
    <row r="1323">
      <c r="A1323" s="22" t="n"/>
      <c r="B1323" s="19" t="n"/>
      <c r="C1323" s="18">
        <f>IF(B1323="","",IFERROR(INDEX(Jugadores!$C$2:$C$501,MATCH(B1323,Jugadores!$A$2:$A$501,0)),"⚠ ID no existe"))</f>
        <v/>
      </c>
      <c r="D1323" s="19" t="n"/>
      <c r="E1323" s="19" t="n"/>
      <c r="F1323" s="16">
        <f>IF(OR(B1323="",D1323=""),"",IFERROR(INDEX('Tabla XP'!$B$2:$B$12,MATCH(D1323,'Tabla XP'!$A$2:$A$12,0))*IF(E1323="",1,E1323),0))</f>
        <v/>
      </c>
      <c r="G1323" s="19" t="n"/>
      <c r="H1323" s="19" t="n"/>
    </row>
    <row r="1324">
      <c r="A1324" s="22" t="n"/>
      <c r="B1324" s="19" t="n"/>
      <c r="C1324" s="18">
        <f>IF(B1324="","",IFERROR(INDEX(Jugadores!$C$2:$C$501,MATCH(B1324,Jugadores!$A$2:$A$501,0)),"⚠ ID no existe"))</f>
        <v/>
      </c>
      <c r="D1324" s="19" t="n"/>
      <c r="E1324" s="19" t="n"/>
      <c r="F1324" s="16">
        <f>IF(OR(B1324="",D1324=""),"",IFERROR(INDEX('Tabla XP'!$B$2:$B$12,MATCH(D1324,'Tabla XP'!$A$2:$A$12,0))*IF(E1324="",1,E1324),0))</f>
        <v/>
      </c>
      <c r="G1324" s="19" t="n"/>
      <c r="H1324" s="19" t="n"/>
    </row>
    <row r="1325">
      <c r="A1325" s="22" t="n"/>
      <c r="B1325" s="19" t="n"/>
      <c r="C1325" s="18">
        <f>IF(B1325="","",IFERROR(INDEX(Jugadores!$C$2:$C$501,MATCH(B1325,Jugadores!$A$2:$A$501,0)),"⚠ ID no existe"))</f>
        <v/>
      </c>
      <c r="D1325" s="19" t="n"/>
      <c r="E1325" s="19" t="n"/>
      <c r="F1325" s="16">
        <f>IF(OR(B1325="",D1325=""),"",IFERROR(INDEX('Tabla XP'!$B$2:$B$12,MATCH(D1325,'Tabla XP'!$A$2:$A$12,0))*IF(E1325="",1,E1325),0))</f>
        <v/>
      </c>
      <c r="G1325" s="19" t="n"/>
      <c r="H1325" s="19" t="n"/>
    </row>
    <row r="1326">
      <c r="A1326" s="22" t="n"/>
      <c r="B1326" s="19" t="n"/>
      <c r="C1326" s="18">
        <f>IF(B1326="","",IFERROR(INDEX(Jugadores!$C$2:$C$501,MATCH(B1326,Jugadores!$A$2:$A$501,0)),"⚠ ID no existe"))</f>
        <v/>
      </c>
      <c r="D1326" s="19" t="n"/>
      <c r="E1326" s="19" t="n"/>
      <c r="F1326" s="16">
        <f>IF(OR(B1326="",D1326=""),"",IFERROR(INDEX('Tabla XP'!$B$2:$B$12,MATCH(D1326,'Tabla XP'!$A$2:$A$12,0))*IF(E1326="",1,E1326),0))</f>
        <v/>
      </c>
      <c r="G1326" s="19" t="n"/>
      <c r="H1326" s="19" t="n"/>
    </row>
    <row r="1327">
      <c r="A1327" s="22" t="n"/>
      <c r="B1327" s="19" t="n"/>
      <c r="C1327" s="18">
        <f>IF(B1327="","",IFERROR(INDEX(Jugadores!$C$2:$C$501,MATCH(B1327,Jugadores!$A$2:$A$501,0)),"⚠ ID no existe"))</f>
        <v/>
      </c>
      <c r="D1327" s="19" t="n"/>
      <c r="E1327" s="19" t="n"/>
      <c r="F1327" s="16">
        <f>IF(OR(B1327="",D1327=""),"",IFERROR(INDEX('Tabla XP'!$B$2:$B$12,MATCH(D1327,'Tabla XP'!$A$2:$A$12,0))*IF(E1327="",1,E1327),0))</f>
        <v/>
      </c>
      <c r="G1327" s="19" t="n"/>
      <c r="H1327" s="19" t="n"/>
    </row>
    <row r="1328">
      <c r="A1328" s="22" t="n"/>
      <c r="B1328" s="19" t="n"/>
      <c r="C1328" s="18">
        <f>IF(B1328="","",IFERROR(INDEX(Jugadores!$C$2:$C$501,MATCH(B1328,Jugadores!$A$2:$A$501,0)),"⚠ ID no existe"))</f>
        <v/>
      </c>
      <c r="D1328" s="19" t="n"/>
      <c r="E1328" s="19" t="n"/>
      <c r="F1328" s="16">
        <f>IF(OR(B1328="",D1328=""),"",IFERROR(INDEX('Tabla XP'!$B$2:$B$12,MATCH(D1328,'Tabla XP'!$A$2:$A$12,0))*IF(E1328="",1,E1328),0))</f>
        <v/>
      </c>
      <c r="G1328" s="19" t="n"/>
      <c r="H1328" s="19" t="n"/>
    </row>
    <row r="1329">
      <c r="A1329" s="22" t="n"/>
      <c r="B1329" s="19" t="n"/>
      <c r="C1329" s="18">
        <f>IF(B1329="","",IFERROR(INDEX(Jugadores!$C$2:$C$501,MATCH(B1329,Jugadores!$A$2:$A$501,0)),"⚠ ID no existe"))</f>
        <v/>
      </c>
      <c r="D1329" s="19" t="n"/>
      <c r="E1329" s="19" t="n"/>
      <c r="F1329" s="16">
        <f>IF(OR(B1329="",D1329=""),"",IFERROR(INDEX('Tabla XP'!$B$2:$B$12,MATCH(D1329,'Tabla XP'!$A$2:$A$12,0))*IF(E1329="",1,E1329),0))</f>
        <v/>
      </c>
      <c r="G1329" s="19" t="n"/>
      <c r="H1329" s="19" t="n"/>
    </row>
    <row r="1330">
      <c r="A1330" s="22" t="n"/>
      <c r="B1330" s="19" t="n"/>
      <c r="C1330" s="18">
        <f>IF(B1330="","",IFERROR(INDEX(Jugadores!$C$2:$C$501,MATCH(B1330,Jugadores!$A$2:$A$501,0)),"⚠ ID no existe"))</f>
        <v/>
      </c>
      <c r="D1330" s="19" t="n"/>
      <c r="E1330" s="19" t="n"/>
      <c r="F1330" s="16">
        <f>IF(OR(B1330="",D1330=""),"",IFERROR(INDEX('Tabla XP'!$B$2:$B$12,MATCH(D1330,'Tabla XP'!$A$2:$A$12,0))*IF(E1330="",1,E1330),0))</f>
        <v/>
      </c>
      <c r="G1330" s="19" t="n"/>
      <c r="H1330" s="19" t="n"/>
    </row>
    <row r="1331">
      <c r="A1331" s="22" t="n"/>
      <c r="B1331" s="19" t="n"/>
      <c r="C1331" s="18">
        <f>IF(B1331="","",IFERROR(INDEX(Jugadores!$C$2:$C$501,MATCH(B1331,Jugadores!$A$2:$A$501,0)),"⚠ ID no existe"))</f>
        <v/>
      </c>
      <c r="D1331" s="19" t="n"/>
      <c r="E1331" s="19" t="n"/>
      <c r="F1331" s="16">
        <f>IF(OR(B1331="",D1331=""),"",IFERROR(INDEX('Tabla XP'!$B$2:$B$12,MATCH(D1331,'Tabla XP'!$A$2:$A$12,0))*IF(E1331="",1,E1331),0))</f>
        <v/>
      </c>
      <c r="G1331" s="19" t="n"/>
      <c r="H1331" s="19" t="n"/>
    </row>
    <row r="1332">
      <c r="A1332" s="22" t="n"/>
      <c r="B1332" s="19" t="n"/>
      <c r="C1332" s="18">
        <f>IF(B1332="","",IFERROR(INDEX(Jugadores!$C$2:$C$501,MATCH(B1332,Jugadores!$A$2:$A$501,0)),"⚠ ID no existe"))</f>
        <v/>
      </c>
      <c r="D1332" s="19" t="n"/>
      <c r="E1332" s="19" t="n"/>
      <c r="F1332" s="16">
        <f>IF(OR(B1332="",D1332=""),"",IFERROR(INDEX('Tabla XP'!$B$2:$B$12,MATCH(D1332,'Tabla XP'!$A$2:$A$12,0))*IF(E1332="",1,E1332),0))</f>
        <v/>
      </c>
      <c r="G1332" s="19" t="n"/>
      <c r="H1332" s="19" t="n"/>
    </row>
    <row r="1333">
      <c r="A1333" s="22" t="n"/>
      <c r="B1333" s="19" t="n"/>
      <c r="C1333" s="18">
        <f>IF(B1333="","",IFERROR(INDEX(Jugadores!$C$2:$C$501,MATCH(B1333,Jugadores!$A$2:$A$501,0)),"⚠ ID no existe"))</f>
        <v/>
      </c>
      <c r="D1333" s="19" t="n"/>
      <c r="E1333" s="19" t="n"/>
      <c r="F1333" s="16">
        <f>IF(OR(B1333="",D1333=""),"",IFERROR(INDEX('Tabla XP'!$B$2:$B$12,MATCH(D1333,'Tabla XP'!$A$2:$A$12,0))*IF(E1333="",1,E1333),0))</f>
        <v/>
      </c>
      <c r="G1333" s="19" t="n"/>
      <c r="H1333" s="19" t="n"/>
    </row>
    <row r="1334">
      <c r="A1334" s="22" t="n"/>
      <c r="B1334" s="19" t="n"/>
      <c r="C1334" s="18">
        <f>IF(B1334="","",IFERROR(INDEX(Jugadores!$C$2:$C$501,MATCH(B1334,Jugadores!$A$2:$A$501,0)),"⚠ ID no existe"))</f>
        <v/>
      </c>
      <c r="D1334" s="19" t="n"/>
      <c r="E1334" s="19" t="n"/>
      <c r="F1334" s="16">
        <f>IF(OR(B1334="",D1334=""),"",IFERROR(INDEX('Tabla XP'!$B$2:$B$12,MATCH(D1334,'Tabla XP'!$A$2:$A$12,0))*IF(E1334="",1,E1334),0))</f>
        <v/>
      </c>
      <c r="G1334" s="19" t="n"/>
      <c r="H1334" s="19" t="n"/>
    </row>
    <row r="1335">
      <c r="A1335" s="22" t="n"/>
      <c r="B1335" s="19" t="n"/>
      <c r="C1335" s="18">
        <f>IF(B1335="","",IFERROR(INDEX(Jugadores!$C$2:$C$501,MATCH(B1335,Jugadores!$A$2:$A$501,0)),"⚠ ID no existe"))</f>
        <v/>
      </c>
      <c r="D1335" s="19" t="n"/>
      <c r="E1335" s="19" t="n"/>
      <c r="F1335" s="16">
        <f>IF(OR(B1335="",D1335=""),"",IFERROR(INDEX('Tabla XP'!$B$2:$B$12,MATCH(D1335,'Tabla XP'!$A$2:$A$12,0))*IF(E1335="",1,E1335),0))</f>
        <v/>
      </c>
      <c r="G1335" s="19" t="n"/>
      <c r="H1335" s="19" t="n"/>
    </row>
    <row r="1336">
      <c r="A1336" s="22" t="n"/>
      <c r="B1336" s="19" t="n"/>
      <c r="C1336" s="18">
        <f>IF(B1336="","",IFERROR(INDEX(Jugadores!$C$2:$C$501,MATCH(B1336,Jugadores!$A$2:$A$501,0)),"⚠ ID no existe"))</f>
        <v/>
      </c>
      <c r="D1336" s="19" t="n"/>
      <c r="E1336" s="19" t="n"/>
      <c r="F1336" s="16">
        <f>IF(OR(B1336="",D1336=""),"",IFERROR(INDEX('Tabla XP'!$B$2:$B$12,MATCH(D1336,'Tabla XP'!$A$2:$A$12,0))*IF(E1336="",1,E1336),0))</f>
        <v/>
      </c>
      <c r="G1336" s="19" t="n"/>
      <c r="H1336" s="19" t="n"/>
    </row>
    <row r="1337">
      <c r="A1337" s="22" t="n"/>
      <c r="B1337" s="19" t="n"/>
      <c r="C1337" s="18">
        <f>IF(B1337="","",IFERROR(INDEX(Jugadores!$C$2:$C$501,MATCH(B1337,Jugadores!$A$2:$A$501,0)),"⚠ ID no existe"))</f>
        <v/>
      </c>
      <c r="D1337" s="19" t="n"/>
      <c r="E1337" s="19" t="n"/>
      <c r="F1337" s="16">
        <f>IF(OR(B1337="",D1337=""),"",IFERROR(INDEX('Tabla XP'!$B$2:$B$12,MATCH(D1337,'Tabla XP'!$A$2:$A$12,0))*IF(E1337="",1,E1337),0))</f>
        <v/>
      </c>
      <c r="G1337" s="19" t="n"/>
      <c r="H1337" s="19" t="n"/>
    </row>
    <row r="1338">
      <c r="A1338" s="22" t="n"/>
      <c r="B1338" s="19" t="n"/>
      <c r="C1338" s="18">
        <f>IF(B1338="","",IFERROR(INDEX(Jugadores!$C$2:$C$501,MATCH(B1338,Jugadores!$A$2:$A$501,0)),"⚠ ID no existe"))</f>
        <v/>
      </c>
      <c r="D1338" s="19" t="n"/>
      <c r="E1338" s="19" t="n"/>
      <c r="F1338" s="16">
        <f>IF(OR(B1338="",D1338=""),"",IFERROR(INDEX('Tabla XP'!$B$2:$B$12,MATCH(D1338,'Tabla XP'!$A$2:$A$12,0))*IF(E1338="",1,E1338),0))</f>
        <v/>
      </c>
      <c r="G1338" s="19" t="n"/>
      <c r="H1338" s="19" t="n"/>
    </row>
    <row r="1339">
      <c r="A1339" s="22" t="n"/>
      <c r="B1339" s="19" t="n"/>
      <c r="C1339" s="18">
        <f>IF(B1339="","",IFERROR(INDEX(Jugadores!$C$2:$C$501,MATCH(B1339,Jugadores!$A$2:$A$501,0)),"⚠ ID no existe"))</f>
        <v/>
      </c>
      <c r="D1339" s="19" t="n"/>
      <c r="E1339" s="19" t="n"/>
      <c r="F1339" s="16">
        <f>IF(OR(B1339="",D1339=""),"",IFERROR(INDEX('Tabla XP'!$B$2:$B$12,MATCH(D1339,'Tabla XP'!$A$2:$A$12,0))*IF(E1339="",1,E1339),0))</f>
        <v/>
      </c>
      <c r="G1339" s="19" t="n"/>
      <c r="H1339" s="19" t="n"/>
    </row>
    <row r="1340">
      <c r="A1340" s="22" t="n"/>
      <c r="B1340" s="19" t="n"/>
      <c r="C1340" s="18">
        <f>IF(B1340="","",IFERROR(INDEX(Jugadores!$C$2:$C$501,MATCH(B1340,Jugadores!$A$2:$A$501,0)),"⚠ ID no existe"))</f>
        <v/>
      </c>
      <c r="D1340" s="19" t="n"/>
      <c r="E1340" s="19" t="n"/>
      <c r="F1340" s="16">
        <f>IF(OR(B1340="",D1340=""),"",IFERROR(INDEX('Tabla XP'!$B$2:$B$12,MATCH(D1340,'Tabla XP'!$A$2:$A$12,0))*IF(E1340="",1,E1340),0))</f>
        <v/>
      </c>
      <c r="G1340" s="19" t="n"/>
      <c r="H1340" s="19" t="n"/>
    </row>
    <row r="1341">
      <c r="A1341" s="22" t="n"/>
      <c r="B1341" s="19" t="n"/>
      <c r="C1341" s="18">
        <f>IF(B1341="","",IFERROR(INDEX(Jugadores!$C$2:$C$501,MATCH(B1341,Jugadores!$A$2:$A$501,0)),"⚠ ID no existe"))</f>
        <v/>
      </c>
      <c r="D1341" s="19" t="n"/>
      <c r="E1341" s="19" t="n"/>
      <c r="F1341" s="16">
        <f>IF(OR(B1341="",D1341=""),"",IFERROR(INDEX('Tabla XP'!$B$2:$B$12,MATCH(D1341,'Tabla XP'!$A$2:$A$12,0))*IF(E1341="",1,E1341),0))</f>
        <v/>
      </c>
      <c r="G1341" s="19" t="n"/>
      <c r="H1341" s="19" t="n"/>
    </row>
    <row r="1342">
      <c r="A1342" s="22" t="n"/>
      <c r="B1342" s="19" t="n"/>
      <c r="C1342" s="18">
        <f>IF(B1342="","",IFERROR(INDEX(Jugadores!$C$2:$C$501,MATCH(B1342,Jugadores!$A$2:$A$501,0)),"⚠ ID no existe"))</f>
        <v/>
      </c>
      <c r="D1342" s="19" t="n"/>
      <c r="E1342" s="19" t="n"/>
      <c r="F1342" s="16">
        <f>IF(OR(B1342="",D1342=""),"",IFERROR(INDEX('Tabla XP'!$B$2:$B$12,MATCH(D1342,'Tabla XP'!$A$2:$A$12,0))*IF(E1342="",1,E1342),0))</f>
        <v/>
      </c>
      <c r="G1342" s="19" t="n"/>
      <c r="H1342" s="19" t="n"/>
    </row>
    <row r="1343">
      <c r="A1343" s="22" t="n"/>
      <c r="B1343" s="19" t="n"/>
      <c r="C1343" s="18">
        <f>IF(B1343="","",IFERROR(INDEX(Jugadores!$C$2:$C$501,MATCH(B1343,Jugadores!$A$2:$A$501,0)),"⚠ ID no existe"))</f>
        <v/>
      </c>
      <c r="D1343" s="19" t="n"/>
      <c r="E1343" s="19" t="n"/>
      <c r="F1343" s="16">
        <f>IF(OR(B1343="",D1343=""),"",IFERROR(INDEX('Tabla XP'!$B$2:$B$12,MATCH(D1343,'Tabla XP'!$A$2:$A$12,0))*IF(E1343="",1,E1343),0))</f>
        <v/>
      </c>
      <c r="G1343" s="19" t="n"/>
      <c r="H1343" s="19" t="n"/>
    </row>
    <row r="1344">
      <c r="A1344" s="22" t="n"/>
      <c r="B1344" s="19" t="n"/>
      <c r="C1344" s="18">
        <f>IF(B1344="","",IFERROR(INDEX(Jugadores!$C$2:$C$501,MATCH(B1344,Jugadores!$A$2:$A$501,0)),"⚠ ID no existe"))</f>
        <v/>
      </c>
      <c r="D1344" s="19" t="n"/>
      <c r="E1344" s="19" t="n"/>
      <c r="F1344" s="16">
        <f>IF(OR(B1344="",D1344=""),"",IFERROR(INDEX('Tabla XP'!$B$2:$B$12,MATCH(D1344,'Tabla XP'!$A$2:$A$12,0))*IF(E1344="",1,E1344),0))</f>
        <v/>
      </c>
      <c r="G1344" s="19" t="n"/>
      <c r="H1344" s="19" t="n"/>
    </row>
    <row r="1345">
      <c r="A1345" s="22" t="n"/>
      <c r="B1345" s="19" t="n"/>
      <c r="C1345" s="18">
        <f>IF(B1345="","",IFERROR(INDEX(Jugadores!$C$2:$C$501,MATCH(B1345,Jugadores!$A$2:$A$501,0)),"⚠ ID no existe"))</f>
        <v/>
      </c>
      <c r="D1345" s="19" t="n"/>
      <c r="E1345" s="19" t="n"/>
      <c r="F1345" s="16">
        <f>IF(OR(B1345="",D1345=""),"",IFERROR(INDEX('Tabla XP'!$B$2:$B$12,MATCH(D1345,'Tabla XP'!$A$2:$A$12,0))*IF(E1345="",1,E1345),0))</f>
        <v/>
      </c>
      <c r="G1345" s="19" t="n"/>
      <c r="H1345" s="19" t="n"/>
    </row>
    <row r="1346">
      <c r="A1346" s="22" t="n"/>
      <c r="B1346" s="19" t="n"/>
      <c r="C1346" s="18">
        <f>IF(B1346="","",IFERROR(INDEX(Jugadores!$C$2:$C$501,MATCH(B1346,Jugadores!$A$2:$A$501,0)),"⚠ ID no existe"))</f>
        <v/>
      </c>
      <c r="D1346" s="19" t="n"/>
      <c r="E1346" s="19" t="n"/>
      <c r="F1346" s="16">
        <f>IF(OR(B1346="",D1346=""),"",IFERROR(INDEX('Tabla XP'!$B$2:$B$12,MATCH(D1346,'Tabla XP'!$A$2:$A$12,0))*IF(E1346="",1,E1346),0))</f>
        <v/>
      </c>
      <c r="G1346" s="19" t="n"/>
      <c r="H1346" s="19" t="n"/>
    </row>
    <row r="1347">
      <c r="A1347" s="22" t="n"/>
      <c r="B1347" s="19" t="n"/>
      <c r="C1347" s="18">
        <f>IF(B1347="","",IFERROR(INDEX(Jugadores!$C$2:$C$501,MATCH(B1347,Jugadores!$A$2:$A$501,0)),"⚠ ID no existe"))</f>
        <v/>
      </c>
      <c r="D1347" s="19" t="n"/>
      <c r="E1347" s="19" t="n"/>
      <c r="F1347" s="16">
        <f>IF(OR(B1347="",D1347=""),"",IFERROR(INDEX('Tabla XP'!$B$2:$B$12,MATCH(D1347,'Tabla XP'!$A$2:$A$12,0))*IF(E1347="",1,E1347),0))</f>
        <v/>
      </c>
      <c r="G1347" s="19" t="n"/>
      <c r="H1347" s="19" t="n"/>
    </row>
    <row r="1348">
      <c r="A1348" s="22" t="n"/>
      <c r="B1348" s="19" t="n"/>
      <c r="C1348" s="18">
        <f>IF(B1348="","",IFERROR(INDEX(Jugadores!$C$2:$C$501,MATCH(B1348,Jugadores!$A$2:$A$501,0)),"⚠ ID no existe"))</f>
        <v/>
      </c>
      <c r="D1348" s="19" t="n"/>
      <c r="E1348" s="19" t="n"/>
      <c r="F1348" s="16">
        <f>IF(OR(B1348="",D1348=""),"",IFERROR(INDEX('Tabla XP'!$B$2:$B$12,MATCH(D1348,'Tabla XP'!$A$2:$A$12,0))*IF(E1348="",1,E1348),0))</f>
        <v/>
      </c>
      <c r="G1348" s="19" t="n"/>
      <c r="H1348" s="19" t="n"/>
    </row>
    <row r="1349">
      <c r="A1349" s="22" t="n"/>
      <c r="B1349" s="19" t="n"/>
      <c r="C1349" s="18">
        <f>IF(B1349="","",IFERROR(INDEX(Jugadores!$C$2:$C$501,MATCH(B1349,Jugadores!$A$2:$A$501,0)),"⚠ ID no existe"))</f>
        <v/>
      </c>
      <c r="D1349" s="19" t="n"/>
      <c r="E1349" s="19" t="n"/>
      <c r="F1349" s="16">
        <f>IF(OR(B1349="",D1349=""),"",IFERROR(INDEX('Tabla XP'!$B$2:$B$12,MATCH(D1349,'Tabla XP'!$A$2:$A$12,0))*IF(E1349="",1,E1349),0))</f>
        <v/>
      </c>
      <c r="G1349" s="19" t="n"/>
      <c r="H1349" s="19" t="n"/>
    </row>
    <row r="1350">
      <c r="A1350" s="22" t="n"/>
      <c r="B1350" s="19" t="n"/>
      <c r="C1350" s="18">
        <f>IF(B1350="","",IFERROR(INDEX(Jugadores!$C$2:$C$501,MATCH(B1350,Jugadores!$A$2:$A$501,0)),"⚠ ID no existe"))</f>
        <v/>
      </c>
      <c r="D1350" s="19" t="n"/>
      <c r="E1350" s="19" t="n"/>
      <c r="F1350" s="16">
        <f>IF(OR(B1350="",D1350=""),"",IFERROR(INDEX('Tabla XP'!$B$2:$B$12,MATCH(D1350,'Tabla XP'!$A$2:$A$12,0))*IF(E1350="",1,E1350),0))</f>
        <v/>
      </c>
      <c r="G1350" s="19" t="n"/>
      <c r="H1350" s="19" t="n"/>
    </row>
    <row r="1351">
      <c r="A1351" s="22" t="n"/>
      <c r="B1351" s="19" t="n"/>
      <c r="C1351" s="18">
        <f>IF(B1351="","",IFERROR(INDEX(Jugadores!$C$2:$C$501,MATCH(B1351,Jugadores!$A$2:$A$501,0)),"⚠ ID no existe"))</f>
        <v/>
      </c>
      <c r="D1351" s="19" t="n"/>
      <c r="E1351" s="19" t="n"/>
      <c r="F1351" s="16">
        <f>IF(OR(B1351="",D1351=""),"",IFERROR(INDEX('Tabla XP'!$B$2:$B$12,MATCH(D1351,'Tabla XP'!$A$2:$A$12,0))*IF(E1351="",1,E1351),0))</f>
        <v/>
      </c>
      <c r="G1351" s="19" t="n"/>
      <c r="H1351" s="19" t="n"/>
    </row>
    <row r="1352">
      <c r="A1352" s="22" t="n"/>
      <c r="B1352" s="19" t="n"/>
      <c r="C1352" s="18">
        <f>IF(B1352="","",IFERROR(INDEX(Jugadores!$C$2:$C$501,MATCH(B1352,Jugadores!$A$2:$A$501,0)),"⚠ ID no existe"))</f>
        <v/>
      </c>
      <c r="D1352" s="19" t="n"/>
      <c r="E1352" s="19" t="n"/>
      <c r="F1352" s="16">
        <f>IF(OR(B1352="",D1352=""),"",IFERROR(INDEX('Tabla XP'!$B$2:$B$12,MATCH(D1352,'Tabla XP'!$A$2:$A$12,0))*IF(E1352="",1,E1352),0))</f>
        <v/>
      </c>
      <c r="G1352" s="19" t="n"/>
      <c r="H1352" s="19" t="n"/>
    </row>
    <row r="1353">
      <c r="A1353" s="22" t="n"/>
      <c r="B1353" s="19" t="n"/>
      <c r="C1353" s="18">
        <f>IF(B1353="","",IFERROR(INDEX(Jugadores!$C$2:$C$501,MATCH(B1353,Jugadores!$A$2:$A$501,0)),"⚠ ID no existe"))</f>
        <v/>
      </c>
      <c r="D1353" s="19" t="n"/>
      <c r="E1353" s="19" t="n"/>
      <c r="F1353" s="16">
        <f>IF(OR(B1353="",D1353=""),"",IFERROR(INDEX('Tabla XP'!$B$2:$B$12,MATCH(D1353,'Tabla XP'!$A$2:$A$12,0))*IF(E1353="",1,E1353),0))</f>
        <v/>
      </c>
      <c r="G1353" s="19" t="n"/>
      <c r="H1353" s="19" t="n"/>
    </row>
    <row r="1354">
      <c r="A1354" s="22" t="n"/>
      <c r="B1354" s="19" t="n"/>
      <c r="C1354" s="18">
        <f>IF(B1354="","",IFERROR(INDEX(Jugadores!$C$2:$C$501,MATCH(B1354,Jugadores!$A$2:$A$501,0)),"⚠ ID no existe"))</f>
        <v/>
      </c>
      <c r="D1354" s="19" t="n"/>
      <c r="E1354" s="19" t="n"/>
      <c r="F1354" s="16">
        <f>IF(OR(B1354="",D1354=""),"",IFERROR(INDEX('Tabla XP'!$B$2:$B$12,MATCH(D1354,'Tabla XP'!$A$2:$A$12,0))*IF(E1354="",1,E1354),0))</f>
        <v/>
      </c>
      <c r="G1354" s="19" t="n"/>
      <c r="H1354" s="19" t="n"/>
    </row>
    <row r="1355">
      <c r="A1355" s="22" t="n"/>
      <c r="B1355" s="19" t="n"/>
      <c r="C1355" s="18">
        <f>IF(B1355="","",IFERROR(INDEX(Jugadores!$C$2:$C$501,MATCH(B1355,Jugadores!$A$2:$A$501,0)),"⚠ ID no existe"))</f>
        <v/>
      </c>
      <c r="D1355" s="19" t="n"/>
      <c r="E1355" s="19" t="n"/>
      <c r="F1355" s="16">
        <f>IF(OR(B1355="",D1355=""),"",IFERROR(INDEX('Tabla XP'!$B$2:$B$12,MATCH(D1355,'Tabla XP'!$A$2:$A$12,0))*IF(E1355="",1,E1355),0))</f>
        <v/>
      </c>
      <c r="G1355" s="19" t="n"/>
      <c r="H1355" s="19" t="n"/>
    </row>
    <row r="1356">
      <c r="A1356" s="22" t="n"/>
      <c r="B1356" s="19" t="n"/>
      <c r="C1356" s="18">
        <f>IF(B1356="","",IFERROR(INDEX(Jugadores!$C$2:$C$501,MATCH(B1356,Jugadores!$A$2:$A$501,0)),"⚠ ID no existe"))</f>
        <v/>
      </c>
      <c r="D1356" s="19" t="n"/>
      <c r="E1356" s="19" t="n"/>
      <c r="F1356" s="16">
        <f>IF(OR(B1356="",D1356=""),"",IFERROR(INDEX('Tabla XP'!$B$2:$B$12,MATCH(D1356,'Tabla XP'!$A$2:$A$12,0))*IF(E1356="",1,E1356),0))</f>
        <v/>
      </c>
      <c r="G1356" s="19" t="n"/>
      <c r="H1356" s="19" t="n"/>
    </row>
    <row r="1357">
      <c r="A1357" s="22" t="n"/>
      <c r="B1357" s="19" t="n"/>
      <c r="C1357" s="18">
        <f>IF(B1357="","",IFERROR(INDEX(Jugadores!$C$2:$C$501,MATCH(B1357,Jugadores!$A$2:$A$501,0)),"⚠ ID no existe"))</f>
        <v/>
      </c>
      <c r="D1357" s="19" t="n"/>
      <c r="E1357" s="19" t="n"/>
      <c r="F1357" s="16">
        <f>IF(OR(B1357="",D1357=""),"",IFERROR(INDEX('Tabla XP'!$B$2:$B$12,MATCH(D1357,'Tabla XP'!$A$2:$A$12,0))*IF(E1357="",1,E1357),0))</f>
        <v/>
      </c>
      <c r="G1357" s="19" t="n"/>
      <c r="H1357" s="19" t="n"/>
    </row>
    <row r="1358">
      <c r="A1358" s="22" t="n"/>
      <c r="B1358" s="19" t="n"/>
      <c r="C1358" s="18">
        <f>IF(B1358="","",IFERROR(INDEX(Jugadores!$C$2:$C$501,MATCH(B1358,Jugadores!$A$2:$A$501,0)),"⚠ ID no existe"))</f>
        <v/>
      </c>
      <c r="D1358" s="19" t="n"/>
      <c r="E1358" s="19" t="n"/>
      <c r="F1358" s="16">
        <f>IF(OR(B1358="",D1358=""),"",IFERROR(INDEX('Tabla XP'!$B$2:$B$12,MATCH(D1358,'Tabla XP'!$A$2:$A$12,0))*IF(E1358="",1,E1358),0))</f>
        <v/>
      </c>
      <c r="G1358" s="19" t="n"/>
      <c r="H1358" s="19" t="n"/>
    </row>
    <row r="1359">
      <c r="A1359" s="22" t="n"/>
      <c r="B1359" s="19" t="n"/>
      <c r="C1359" s="18">
        <f>IF(B1359="","",IFERROR(INDEX(Jugadores!$C$2:$C$501,MATCH(B1359,Jugadores!$A$2:$A$501,0)),"⚠ ID no existe"))</f>
        <v/>
      </c>
      <c r="D1359" s="19" t="n"/>
      <c r="E1359" s="19" t="n"/>
      <c r="F1359" s="16">
        <f>IF(OR(B1359="",D1359=""),"",IFERROR(INDEX('Tabla XP'!$B$2:$B$12,MATCH(D1359,'Tabla XP'!$A$2:$A$12,0))*IF(E1359="",1,E1359),0))</f>
        <v/>
      </c>
      <c r="G1359" s="19" t="n"/>
      <c r="H1359" s="19" t="n"/>
    </row>
    <row r="1360">
      <c r="A1360" s="22" t="n"/>
      <c r="B1360" s="19" t="n"/>
      <c r="C1360" s="18">
        <f>IF(B1360="","",IFERROR(INDEX(Jugadores!$C$2:$C$501,MATCH(B1360,Jugadores!$A$2:$A$501,0)),"⚠ ID no existe"))</f>
        <v/>
      </c>
      <c r="D1360" s="19" t="n"/>
      <c r="E1360" s="19" t="n"/>
      <c r="F1360" s="16">
        <f>IF(OR(B1360="",D1360=""),"",IFERROR(INDEX('Tabla XP'!$B$2:$B$12,MATCH(D1360,'Tabla XP'!$A$2:$A$12,0))*IF(E1360="",1,E1360),0))</f>
        <v/>
      </c>
      <c r="G1360" s="19" t="n"/>
      <c r="H1360" s="19" t="n"/>
    </row>
    <row r="1361">
      <c r="A1361" s="22" t="n"/>
      <c r="B1361" s="19" t="n"/>
      <c r="C1361" s="18">
        <f>IF(B1361="","",IFERROR(INDEX(Jugadores!$C$2:$C$501,MATCH(B1361,Jugadores!$A$2:$A$501,0)),"⚠ ID no existe"))</f>
        <v/>
      </c>
      <c r="D1361" s="19" t="n"/>
      <c r="E1361" s="19" t="n"/>
      <c r="F1361" s="16">
        <f>IF(OR(B1361="",D1361=""),"",IFERROR(INDEX('Tabla XP'!$B$2:$B$12,MATCH(D1361,'Tabla XP'!$A$2:$A$12,0))*IF(E1361="",1,E1361),0))</f>
        <v/>
      </c>
      <c r="G1361" s="19" t="n"/>
      <c r="H1361" s="19" t="n"/>
    </row>
    <row r="1362">
      <c r="A1362" s="22" t="n"/>
      <c r="B1362" s="19" t="n"/>
      <c r="C1362" s="18">
        <f>IF(B1362="","",IFERROR(INDEX(Jugadores!$C$2:$C$501,MATCH(B1362,Jugadores!$A$2:$A$501,0)),"⚠ ID no existe"))</f>
        <v/>
      </c>
      <c r="D1362" s="19" t="n"/>
      <c r="E1362" s="19" t="n"/>
      <c r="F1362" s="16">
        <f>IF(OR(B1362="",D1362=""),"",IFERROR(INDEX('Tabla XP'!$B$2:$B$12,MATCH(D1362,'Tabla XP'!$A$2:$A$12,0))*IF(E1362="",1,E1362),0))</f>
        <v/>
      </c>
      <c r="G1362" s="19" t="n"/>
      <c r="H1362" s="19" t="n"/>
    </row>
    <row r="1363">
      <c r="A1363" s="22" t="n"/>
      <c r="B1363" s="19" t="n"/>
      <c r="C1363" s="18">
        <f>IF(B1363="","",IFERROR(INDEX(Jugadores!$C$2:$C$501,MATCH(B1363,Jugadores!$A$2:$A$501,0)),"⚠ ID no existe"))</f>
        <v/>
      </c>
      <c r="D1363" s="19" t="n"/>
      <c r="E1363" s="19" t="n"/>
      <c r="F1363" s="16">
        <f>IF(OR(B1363="",D1363=""),"",IFERROR(INDEX('Tabla XP'!$B$2:$B$12,MATCH(D1363,'Tabla XP'!$A$2:$A$12,0))*IF(E1363="",1,E1363),0))</f>
        <v/>
      </c>
      <c r="G1363" s="19" t="n"/>
      <c r="H1363" s="19" t="n"/>
    </row>
    <row r="1364">
      <c r="A1364" s="22" t="n"/>
      <c r="B1364" s="19" t="n"/>
      <c r="C1364" s="18">
        <f>IF(B1364="","",IFERROR(INDEX(Jugadores!$C$2:$C$501,MATCH(B1364,Jugadores!$A$2:$A$501,0)),"⚠ ID no existe"))</f>
        <v/>
      </c>
      <c r="D1364" s="19" t="n"/>
      <c r="E1364" s="19" t="n"/>
      <c r="F1364" s="16">
        <f>IF(OR(B1364="",D1364=""),"",IFERROR(INDEX('Tabla XP'!$B$2:$B$12,MATCH(D1364,'Tabla XP'!$A$2:$A$12,0))*IF(E1364="",1,E1364),0))</f>
        <v/>
      </c>
      <c r="G1364" s="19" t="n"/>
      <c r="H1364" s="19" t="n"/>
    </row>
    <row r="1365">
      <c r="A1365" s="22" t="n"/>
      <c r="B1365" s="19" t="n"/>
      <c r="C1365" s="18">
        <f>IF(B1365="","",IFERROR(INDEX(Jugadores!$C$2:$C$501,MATCH(B1365,Jugadores!$A$2:$A$501,0)),"⚠ ID no existe"))</f>
        <v/>
      </c>
      <c r="D1365" s="19" t="n"/>
      <c r="E1365" s="19" t="n"/>
      <c r="F1365" s="16">
        <f>IF(OR(B1365="",D1365=""),"",IFERROR(INDEX('Tabla XP'!$B$2:$B$12,MATCH(D1365,'Tabla XP'!$A$2:$A$12,0))*IF(E1365="",1,E1365),0))</f>
        <v/>
      </c>
      <c r="G1365" s="19" t="n"/>
      <c r="H1365" s="19" t="n"/>
    </row>
    <row r="1366">
      <c r="A1366" s="22" t="n"/>
      <c r="B1366" s="19" t="n"/>
      <c r="C1366" s="18">
        <f>IF(B1366="","",IFERROR(INDEX(Jugadores!$C$2:$C$501,MATCH(B1366,Jugadores!$A$2:$A$501,0)),"⚠ ID no existe"))</f>
        <v/>
      </c>
      <c r="D1366" s="19" t="n"/>
      <c r="E1366" s="19" t="n"/>
      <c r="F1366" s="16">
        <f>IF(OR(B1366="",D1366=""),"",IFERROR(INDEX('Tabla XP'!$B$2:$B$12,MATCH(D1366,'Tabla XP'!$A$2:$A$12,0))*IF(E1366="",1,E1366),0))</f>
        <v/>
      </c>
      <c r="G1366" s="19" t="n"/>
      <c r="H1366" s="19" t="n"/>
    </row>
    <row r="1367">
      <c r="A1367" s="22" t="n"/>
      <c r="B1367" s="19" t="n"/>
      <c r="C1367" s="18">
        <f>IF(B1367="","",IFERROR(INDEX(Jugadores!$C$2:$C$501,MATCH(B1367,Jugadores!$A$2:$A$501,0)),"⚠ ID no existe"))</f>
        <v/>
      </c>
      <c r="D1367" s="19" t="n"/>
      <c r="E1367" s="19" t="n"/>
      <c r="F1367" s="16">
        <f>IF(OR(B1367="",D1367=""),"",IFERROR(INDEX('Tabla XP'!$B$2:$B$12,MATCH(D1367,'Tabla XP'!$A$2:$A$12,0))*IF(E1367="",1,E1367),0))</f>
        <v/>
      </c>
      <c r="G1367" s="19" t="n"/>
      <c r="H1367" s="19" t="n"/>
    </row>
    <row r="1368">
      <c r="A1368" s="22" t="n"/>
      <c r="B1368" s="19" t="n"/>
      <c r="C1368" s="18">
        <f>IF(B1368="","",IFERROR(INDEX(Jugadores!$C$2:$C$501,MATCH(B1368,Jugadores!$A$2:$A$501,0)),"⚠ ID no existe"))</f>
        <v/>
      </c>
      <c r="D1368" s="19" t="n"/>
      <c r="E1368" s="19" t="n"/>
      <c r="F1368" s="16">
        <f>IF(OR(B1368="",D1368=""),"",IFERROR(INDEX('Tabla XP'!$B$2:$B$12,MATCH(D1368,'Tabla XP'!$A$2:$A$12,0))*IF(E1368="",1,E1368),0))</f>
        <v/>
      </c>
      <c r="G1368" s="19" t="n"/>
      <c r="H1368" s="19" t="n"/>
    </row>
    <row r="1369">
      <c r="A1369" s="22" t="n"/>
      <c r="B1369" s="19" t="n"/>
      <c r="C1369" s="18">
        <f>IF(B1369="","",IFERROR(INDEX(Jugadores!$C$2:$C$501,MATCH(B1369,Jugadores!$A$2:$A$501,0)),"⚠ ID no existe"))</f>
        <v/>
      </c>
      <c r="D1369" s="19" t="n"/>
      <c r="E1369" s="19" t="n"/>
      <c r="F1369" s="16">
        <f>IF(OR(B1369="",D1369=""),"",IFERROR(INDEX('Tabla XP'!$B$2:$B$12,MATCH(D1369,'Tabla XP'!$A$2:$A$12,0))*IF(E1369="",1,E1369),0))</f>
        <v/>
      </c>
      <c r="G1369" s="19" t="n"/>
      <c r="H1369" s="19" t="n"/>
    </row>
    <row r="1370">
      <c r="A1370" s="22" t="n"/>
      <c r="B1370" s="19" t="n"/>
      <c r="C1370" s="18">
        <f>IF(B1370="","",IFERROR(INDEX(Jugadores!$C$2:$C$501,MATCH(B1370,Jugadores!$A$2:$A$501,0)),"⚠ ID no existe"))</f>
        <v/>
      </c>
      <c r="D1370" s="19" t="n"/>
      <c r="E1370" s="19" t="n"/>
      <c r="F1370" s="16">
        <f>IF(OR(B1370="",D1370=""),"",IFERROR(INDEX('Tabla XP'!$B$2:$B$12,MATCH(D1370,'Tabla XP'!$A$2:$A$12,0))*IF(E1370="",1,E1370),0))</f>
        <v/>
      </c>
      <c r="G1370" s="19" t="n"/>
      <c r="H1370" s="19" t="n"/>
    </row>
    <row r="1371">
      <c r="A1371" s="22" t="n"/>
      <c r="B1371" s="19" t="n"/>
      <c r="C1371" s="18">
        <f>IF(B1371="","",IFERROR(INDEX(Jugadores!$C$2:$C$501,MATCH(B1371,Jugadores!$A$2:$A$501,0)),"⚠ ID no existe"))</f>
        <v/>
      </c>
      <c r="D1371" s="19" t="n"/>
      <c r="E1371" s="19" t="n"/>
      <c r="F1371" s="16">
        <f>IF(OR(B1371="",D1371=""),"",IFERROR(INDEX('Tabla XP'!$B$2:$B$12,MATCH(D1371,'Tabla XP'!$A$2:$A$12,0))*IF(E1371="",1,E1371),0))</f>
        <v/>
      </c>
      <c r="G1371" s="19" t="n"/>
      <c r="H1371" s="19" t="n"/>
    </row>
    <row r="1372">
      <c r="A1372" s="22" t="n"/>
      <c r="B1372" s="19" t="n"/>
      <c r="C1372" s="18">
        <f>IF(B1372="","",IFERROR(INDEX(Jugadores!$C$2:$C$501,MATCH(B1372,Jugadores!$A$2:$A$501,0)),"⚠ ID no existe"))</f>
        <v/>
      </c>
      <c r="D1372" s="19" t="n"/>
      <c r="E1372" s="19" t="n"/>
      <c r="F1372" s="16">
        <f>IF(OR(B1372="",D1372=""),"",IFERROR(INDEX('Tabla XP'!$B$2:$B$12,MATCH(D1372,'Tabla XP'!$A$2:$A$12,0))*IF(E1372="",1,E1372),0))</f>
        <v/>
      </c>
      <c r="G1372" s="19" t="n"/>
      <c r="H1372" s="19" t="n"/>
    </row>
    <row r="1373">
      <c r="A1373" s="22" t="n"/>
      <c r="B1373" s="19" t="n"/>
      <c r="C1373" s="18">
        <f>IF(B1373="","",IFERROR(INDEX(Jugadores!$C$2:$C$501,MATCH(B1373,Jugadores!$A$2:$A$501,0)),"⚠ ID no existe"))</f>
        <v/>
      </c>
      <c r="D1373" s="19" t="n"/>
      <c r="E1373" s="19" t="n"/>
      <c r="F1373" s="16">
        <f>IF(OR(B1373="",D1373=""),"",IFERROR(INDEX('Tabla XP'!$B$2:$B$12,MATCH(D1373,'Tabla XP'!$A$2:$A$12,0))*IF(E1373="",1,E1373),0))</f>
        <v/>
      </c>
      <c r="G1373" s="19" t="n"/>
      <c r="H1373" s="19" t="n"/>
    </row>
    <row r="1374">
      <c r="A1374" s="22" t="n"/>
      <c r="B1374" s="19" t="n"/>
      <c r="C1374" s="18">
        <f>IF(B1374="","",IFERROR(INDEX(Jugadores!$C$2:$C$501,MATCH(B1374,Jugadores!$A$2:$A$501,0)),"⚠ ID no existe"))</f>
        <v/>
      </c>
      <c r="D1374" s="19" t="n"/>
      <c r="E1374" s="19" t="n"/>
      <c r="F1374" s="16">
        <f>IF(OR(B1374="",D1374=""),"",IFERROR(INDEX('Tabla XP'!$B$2:$B$12,MATCH(D1374,'Tabla XP'!$A$2:$A$12,0))*IF(E1374="",1,E1374),0))</f>
        <v/>
      </c>
      <c r="G1374" s="19" t="n"/>
      <c r="H1374" s="19" t="n"/>
    </row>
    <row r="1375">
      <c r="A1375" s="22" t="n"/>
      <c r="B1375" s="19" t="n"/>
      <c r="C1375" s="18">
        <f>IF(B1375="","",IFERROR(INDEX(Jugadores!$C$2:$C$501,MATCH(B1375,Jugadores!$A$2:$A$501,0)),"⚠ ID no existe"))</f>
        <v/>
      </c>
      <c r="D1375" s="19" t="n"/>
      <c r="E1375" s="19" t="n"/>
      <c r="F1375" s="16">
        <f>IF(OR(B1375="",D1375=""),"",IFERROR(INDEX('Tabla XP'!$B$2:$B$12,MATCH(D1375,'Tabla XP'!$A$2:$A$12,0))*IF(E1375="",1,E1375),0))</f>
        <v/>
      </c>
      <c r="G1375" s="19" t="n"/>
      <c r="H1375" s="19" t="n"/>
    </row>
    <row r="1376">
      <c r="A1376" s="22" t="n"/>
      <c r="B1376" s="19" t="n"/>
      <c r="C1376" s="18">
        <f>IF(B1376="","",IFERROR(INDEX(Jugadores!$C$2:$C$501,MATCH(B1376,Jugadores!$A$2:$A$501,0)),"⚠ ID no existe"))</f>
        <v/>
      </c>
      <c r="D1376" s="19" t="n"/>
      <c r="E1376" s="19" t="n"/>
      <c r="F1376" s="16">
        <f>IF(OR(B1376="",D1376=""),"",IFERROR(INDEX('Tabla XP'!$B$2:$B$12,MATCH(D1376,'Tabla XP'!$A$2:$A$12,0))*IF(E1376="",1,E1376),0))</f>
        <v/>
      </c>
      <c r="G1376" s="19" t="n"/>
      <c r="H1376" s="19" t="n"/>
    </row>
    <row r="1377">
      <c r="A1377" s="22" t="n"/>
      <c r="B1377" s="19" t="n"/>
      <c r="C1377" s="18">
        <f>IF(B1377="","",IFERROR(INDEX(Jugadores!$C$2:$C$501,MATCH(B1377,Jugadores!$A$2:$A$501,0)),"⚠ ID no existe"))</f>
        <v/>
      </c>
      <c r="D1377" s="19" t="n"/>
      <c r="E1377" s="19" t="n"/>
      <c r="F1377" s="16">
        <f>IF(OR(B1377="",D1377=""),"",IFERROR(INDEX('Tabla XP'!$B$2:$B$12,MATCH(D1377,'Tabla XP'!$A$2:$A$12,0))*IF(E1377="",1,E1377),0))</f>
        <v/>
      </c>
      <c r="G1377" s="19" t="n"/>
      <c r="H1377" s="19" t="n"/>
    </row>
    <row r="1378">
      <c r="A1378" s="22" t="n"/>
      <c r="B1378" s="19" t="n"/>
      <c r="C1378" s="18">
        <f>IF(B1378="","",IFERROR(INDEX(Jugadores!$C$2:$C$501,MATCH(B1378,Jugadores!$A$2:$A$501,0)),"⚠ ID no existe"))</f>
        <v/>
      </c>
      <c r="D1378" s="19" t="n"/>
      <c r="E1378" s="19" t="n"/>
      <c r="F1378" s="16">
        <f>IF(OR(B1378="",D1378=""),"",IFERROR(INDEX('Tabla XP'!$B$2:$B$12,MATCH(D1378,'Tabla XP'!$A$2:$A$12,0))*IF(E1378="",1,E1378),0))</f>
        <v/>
      </c>
      <c r="G1378" s="19" t="n"/>
      <c r="H1378" s="19" t="n"/>
    </row>
    <row r="1379">
      <c r="A1379" s="22" t="n"/>
      <c r="B1379" s="19" t="n"/>
      <c r="C1379" s="18">
        <f>IF(B1379="","",IFERROR(INDEX(Jugadores!$C$2:$C$501,MATCH(B1379,Jugadores!$A$2:$A$501,0)),"⚠ ID no existe"))</f>
        <v/>
      </c>
      <c r="D1379" s="19" t="n"/>
      <c r="E1379" s="19" t="n"/>
      <c r="F1379" s="16">
        <f>IF(OR(B1379="",D1379=""),"",IFERROR(INDEX('Tabla XP'!$B$2:$B$12,MATCH(D1379,'Tabla XP'!$A$2:$A$12,0))*IF(E1379="",1,E1379),0))</f>
        <v/>
      </c>
      <c r="G1379" s="19" t="n"/>
      <c r="H1379" s="19" t="n"/>
    </row>
    <row r="1380">
      <c r="A1380" s="22" t="n"/>
      <c r="B1380" s="19" t="n"/>
      <c r="C1380" s="18">
        <f>IF(B1380="","",IFERROR(INDEX(Jugadores!$C$2:$C$501,MATCH(B1380,Jugadores!$A$2:$A$501,0)),"⚠ ID no existe"))</f>
        <v/>
      </c>
      <c r="D1380" s="19" t="n"/>
      <c r="E1380" s="19" t="n"/>
      <c r="F1380" s="16">
        <f>IF(OR(B1380="",D1380=""),"",IFERROR(INDEX('Tabla XP'!$B$2:$B$12,MATCH(D1380,'Tabla XP'!$A$2:$A$12,0))*IF(E1380="",1,E1380),0))</f>
        <v/>
      </c>
      <c r="G1380" s="19" t="n"/>
      <c r="H1380" s="19" t="n"/>
    </row>
    <row r="1381">
      <c r="A1381" s="22" t="n"/>
      <c r="B1381" s="19" t="n"/>
      <c r="C1381" s="18">
        <f>IF(B1381="","",IFERROR(INDEX(Jugadores!$C$2:$C$501,MATCH(B1381,Jugadores!$A$2:$A$501,0)),"⚠ ID no existe"))</f>
        <v/>
      </c>
      <c r="D1381" s="19" t="n"/>
      <c r="E1381" s="19" t="n"/>
      <c r="F1381" s="16">
        <f>IF(OR(B1381="",D1381=""),"",IFERROR(INDEX('Tabla XP'!$B$2:$B$12,MATCH(D1381,'Tabla XP'!$A$2:$A$12,0))*IF(E1381="",1,E1381),0))</f>
        <v/>
      </c>
      <c r="G1381" s="19" t="n"/>
      <c r="H1381" s="19" t="n"/>
    </row>
    <row r="1382">
      <c r="A1382" s="22" t="n"/>
      <c r="B1382" s="19" t="n"/>
      <c r="C1382" s="18">
        <f>IF(B1382="","",IFERROR(INDEX(Jugadores!$C$2:$C$501,MATCH(B1382,Jugadores!$A$2:$A$501,0)),"⚠ ID no existe"))</f>
        <v/>
      </c>
      <c r="D1382" s="19" t="n"/>
      <c r="E1382" s="19" t="n"/>
      <c r="F1382" s="16">
        <f>IF(OR(B1382="",D1382=""),"",IFERROR(INDEX('Tabla XP'!$B$2:$B$12,MATCH(D1382,'Tabla XP'!$A$2:$A$12,0))*IF(E1382="",1,E1382),0))</f>
        <v/>
      </c>
      <c r="G1382" s="19" t="n"/>
      <c r="H1382" s="19" t="n"/>
    </row>
    <row r="1383">
      <c r="A1383" s="22" t="n"/>
      <c r="B1383" s="19" t="n"/>
      <c r="C1383" s="18">
        <f>IF(B1383="","",IFERROR(INDEX(Jugadores!$C$2:$C$501,MATCH(B1383,Jugadores!$A$2:$A$501,0)),"⚠ ID no existe"))</f>
        <v/>
      </c>
      <c r="D1383" s="19" t="n"/>
      <c r="E1383" s="19" t="n"/>
      <c r="F1383" s="16">
        <f>IF(OR(B1383="",D1383=""),"",IFERROR(INDEX('Tabla XP'!$B$2:$B$12,MATCH(D1383,'Tabla XP'!$A$2:$A$12,0))*IF(E1383="",1,E1383),0))</f>
        <v/>
      </c>
      <c r="G1383" s="19" t="n"/>
      <c r="H1383" s="19" t="n"/>
    </row>
    <row r="1384">
      <c r="A1384" s="22" t="n"/>
      <c r="B1384" s="19" t="n"/>
      <c r="C1384" s="18">
        <f>IF(B1384="","",IFERROR(INDEX(Jugadores!$C$2:$C$501,MATCH(B1384,Jugadores!$A$2:$A$501,0)),"⚠ ID no existe"))</f>
        <v/>
      </c>
      <c r="D1384" s="19" t="n"/>
      <c r="E1384" s="19" t="n"/>
      <c r="F1384" s="16">
        <f>IF(OR(B1384="",D1384=""),"",IFERROR(INDEX('Tabla XP'!$B$2:$B$12,MATCH(D1384,'Tabla XP'!$A$2:$A$12,0))*IF(E1384="",1,E1384),0))</f>
        <v/>
      </c>
      <c r="G1384" s="19" t="n"/>
      <c r="H1384" s="19" t="n"/>
    </row>
    <row r="1385">
      <c r="A1385" s="22" t="n"/>
      <c r="B1385" s="19" t="n"/>
      <c r="C1385" s="18">
        <f>IF(B1385="","",IFERROR(INDEX(Jugadores!$C$2:$C$501,MATCH(B1385,Jugadores!$A$2:$A$501,0)),"⚠ ID no existe"))</f>
        <v/>
      </c>
      <c r="D1385" s="19" t="n"/>
      <c r="E1385" s="19" t="n"/>
      <c r="F1385" s="16">
        <f>IF(OR(B1385="",D1385=""),"",IFERROR(INDEX('Tabla XP'!$B$2:$B$12,MATCH(D1385,'Tabla XP'!$A$2:$A$12,0))*IF(E1385="",1,E1385),0))</f>
        <v/>
      </c>
      <c r="G1385" s="19" t="n"/>
      <c r="H1385" s="19" t="n"/>
    </row>
    <row r="1386">
      <c r="A1386" s="22" t="n"/>
      <c r="B1386" s="19" t="n"/>
      <c r="C1386" s="18">
        <f>IF(B1386="","",IFERROR(INDEX(Jugadores!$C$2:$C$501,MATCH(B1386,Jugadores!$A$2:$A$501,0)),"⚠ ID no existe"))</f>
        <v/>
      </c>
      <c r="D1386" s="19" t="n"/>
      <c r="E1386" s="19" t="n"/>
      <c r="F1386" s="16">
        <f>IF(OR(B1386="",D1386=""),"",IFERROR(INDEX('Tabla XP'!$B$2:$B$12,MATCH(D1386,'Tabla XP'!$A$2:$A$12,0))*IF(E1386="",1,E1386),0))</f>
        <v/>
      </c>
      <c r="G1386" s="19" t="n"/>
      <c r="H1386" s="19" t="n"/>
    </row>
    <row r="1387">
      <c r="A1387" s="22" t="n"/>
      <c r="B1387" s="19" t="n"/>
      <c r="C1387" s="18">
        <f>IF(B1387="","",IFERROR(INDEX(Jugadores!$C$2:$C$501,MATCH(B1387,Jugadores!$A$2:$A$501,0)),"⚠ ID no existe"))</f>
        <v/>
      </c>
      <c r="D1387" s="19" t="n"/>
      <c r="E1387" s="19" t="n"/>
      <c r="F1387" s="16">
        <f>IF(OR(B1387="",D1387=""),"",IFERROR(INDEX('Tabla XP'!$B$2:$B$12,MATCH(D1387,'Tabla XP'!$A$2:$A$12,0))*IF(E1387="",1,E1387),0))</f>
        <v/>
      </c>
      <c r="G1387" s="19" t="n"/>
      <c r="H1387" s="19" t="n"/>
    </row>
    <row r="1388">
      <c r="A1388" s="22" t="n"/>
      <c r="B1388" s="19" t="n"/>
      <c r="C1388" s="18">
        <f>IF(B1388="","",IFERROR(INDEX(Jugadores!$C$2:$C$501,MATCH(B1388,Jugadores!$A$2:$A$501,0)),"⚠ ID no existe"))</f>
        <v/>
      </c>
      <c r="D1388" s="19" t="n"/>
      <c r="E1388" s="19" t="n"/>
      <c r="F1388" s="16">
        <f>IF(OR(B1388="",D1388=""),"",IFERROR(INDEX('Tabla XP'!$B$2:$B$12,MATCH(D1388,'Tabla XP'!$A$2:$A$12,0))*IF(E1388="",1,E1388),0))</f>
        <v/>
      </c>
      <c r="G1388" s="19" t="n"/>
      <c r="H1388" s="19" t="n"/>
    </row>
    <row r="1389">
      <c r="A1389" s="22" t="n"/>
      <c r="B1389" s="19" t="n"/>
      <c r="C1389" s="18">
        <f>IF(B1389="","",IFERROR(INDEX(Jugadores!$C$2:$C$501,MATCH(B1389,Jugadores!$A$2:$A$501,0)),"⚠ ID no existe"))</f>
        <v/>
      </c>
      <c r="D1389" s="19" t="n"/>
      <c r="E1389" s="19" t="n"/>
      <c r="F1389" s="16">
        <f>IF(OR(B1389="",D1389=""),"",IFERROR(INDEX('Tabla XP'!$B$2:$B$12,MATCH(D1389,'Tabla XP'!$A$2:$A$12,0))*IF(E1389="",1,E1389),0))</f>
        <v/>
      </c>
      <c r="G1389" s="19" t="n"/>
      <c r="H1389" s="19" t="n"/>
    </row>
    <row r="1390">
      <c r="A1390" s="22" t="n"/>
      <c r="B1390" s="19" t="n"/>
      <c r="C1390" s="18">
        <f>IF(B1390="","",IFERROR(INDEX(Jugadores!$C$2:$C$501,MATCH(B1390,Jugadores!$A$2:$A$501,0)),"⚠ ID no existe"))</f>
        <v/>
      </c>
      <c r="D1390" s="19" t="n"/>
      <c r="E1390" s="19" t="n"/>
      <c r="F1390" s="16">
        <f>IF(OR(B1390="",D1390=""),"",IFERROR(INDEX('Tabla XP'!$B$2:$B$12,MATCH(D1390,'Tabla XP'!$A$2:$A$12,0))*IF(E1390="",1,E1390),0))</f>
        <v/>
      </c>
      <c r="G1390" s="19" t="n"/>
      <c r="H1390" s="19" t="n"/>
    </row>
    <row r="1391">
      <c r="A1391" s="22" t="n"/>
      <c r="B1391" s="19" t="n"/>
      <c r="C1391" s="18">
        <f>IF(B1391="","",IFERROR(INDEX(Jugadores!$C$2:$C$501,MATCH(B1391,Jugadores!$A$2:$A$501,0)),"⚠ ID no existe"))</f>
        <v/>
      </c>
      <c r="D1391" s="19" t="n"/>
      <c r="E1391" s="19" t="n"/>
      <c r="F1391" s="16">
        <f>IF(OR(B1391="",D1391=""),"",IFERROR(INDEX('Tabla XP'!$B$2:$B$12,MATCH(D1391,'Tabla XP'!$A$2:$A$12,0))*IF(E1391="",1,E1391),0))</f>
        <v/>
      </c>
      <c r="G1391" s="19" t="n"/>
      <c r="H1391" s="19" t="n"/>
    </row>
    <row r="1392">
      <c r="A1392" s="22" t="n"/>
      <c r="B1392" s="19" t="n"/>
      <c r="C1392" s="18">
        <f>IF(B1392="","",IFERROR(INDEX(Jugadores!$C$2:$C$501,MATCH(B1392,Jugadores!$A$2:$A$501,0)),"⚠ ID no existe"))</f>
        <v/>
      </c>
      <c r="D1392" s="19" t="n"/>
      <c r="E1392" s="19" t="n"/>
      <c r="F1392" s="16">
        <f>IF(OR(B1392="",D1392=""),"",IFERROR(INDEX('Tabla XP'!$B$2:$B$12,MATCH(D1392,'Tabla XP'!$A$2:$A$12,0))*IF(E1392="",1,E1392),0))</f>
        <v/>
      </c>
      <c r="G1392" s="19" t="n"/>
      <c r="H1392" s="19" t="n"/>
    </row>
    <row r="1393">
      <c r="A1393" s="22" t="n"/>
      <c r="B1393" s="19" t="n"/>
      <c r="C1393" s="18">
        <f>IF(B1393="","",IFERROR(INDEX(Jugadores!$C$2:$C$501,MATCH(B1393,Jugadores!$A$2:$A$501,0)),"⚠ ID no existe"))</f>
        <v/>
      </c>
      <c r="D1393" s="19" t="n"/>
      <c r="E1393" s="19" t="n"/>
      <c r="F1393" s="16">
        <f>IF(OR(B1393="",D1393=""),"",IFERROR(INDEX('Tabla XP'!$B$2:$B$12,MATCH(D1393,'Tabla XP'!$A$2:$A$12,0))*IF(E1393="",1,E1393),0))</f>
        <v/>
      </c>
      <c r="G1393" s="19" t="n"/>
      <c r="H1393" s="19" t="n"/>
    </row>
    <row r="1394">
      <c r="A1394" s="22" t="n"/>
      <c r="B1394" s="19" t="n"/>
      <c r="C1394" s="18">
        <f>IF(B1394="","",IFERROR(INDEX(Jugadores!$C$2:$C$501,MATCH(B1394,Jugadores!$A$2:$A$501,0)),"⚠ ID no existe"))</f>
        <v/>
      </c>
      <c r="D1394" s="19" t="n"/>
      <c r="E1394" s="19" t="n"/>
      <c r="F1394" s="16">
        <f>IF(OR(B1394="",D1394=""),"",IFERROR(INDEX('Tabla XP'!$B$2:$B$12,MATCH(D1394,'Tabla XP'!$A$2:$A$12,0))*IF(E1394="",1,E1394),0))</f>
        <v/>
      </c>
      <c r="G1394" s="19" t="n"/>
      <c r="H1394" s="19" t="n"/>
    </row>
    <row r="1395">
      <c r="A1395" s="22" t="n"/>
      <c r="B1395" s="19" t="n"/>
      <c r="C1395" s="18">
        <f>IF(B1395="","",IFERROR(INDEX(Jugadores!$C$2:$C$501,MATCH(B1395,Jugadores!$A$2:$A$501,0)),"⚠ ID no existe"))</f>
        <v/>
      </c>
      <c r="D1395" s="19" t="n"/>
      <c r="E1395" s="19" t="n"/>
      <c r="F1395" s="16">
        <f>IF(OR(B1395="",D1395=""),"",IFERROR(INDEX('Tabla XP'!$B$2:$B$12,MATCH(D1395,'Tabla XP'!$A$2:$A$12,0))*IF(E1395="",1,E1395),0))</f>
        <v/>
      </c>
      <c r="G1395" s="19" t="n"/>
      <c r="H1395" s="19" t="n"/>
    </row>
    <row r="1396">
      <c r="A1396" s="22" t="n"/>
      <c r="B1396" s="19" t="n"/>
      <c r="C1396" s="18">
        <f>IF(B1396="","",IFERROR(INDEX(Jugadores!$C$2:$C$501,MATCH(B1396,Jugadores!$A$2:$A$501,0)),"⚠ ID no existe"))</f>
        <v/>
      </c>
      <c r="D1396" s="19" t="n"/>
      <c r="E1396" s="19" t="n"/>
      <c r="F1396" s="16">
        <f>IF(OR(B1396="",D1396=""),"",IFERROR(INDEX('Tabla XP'!$B$2:$B$12,MATCH(D1396,'Tabla XP'!$A$2:$A$12,0))*IF(E1396="",1,E1396),0))</f>
        <v/>
      </c>
      <c r="G1396" s="19" t="n"/>
      <c r="H1396" s="19" t="n"/>
    </row>
    <row r="1397">
      <c r="A1397" s="22" t="n"/>
      <c r="B1397" s="19" t="n"/>
      <c r="C1397" s="18">
        <f>IF(B1397="","",IFERROR(INDEX(Jugadores!$C$2:$C$501,MATCH(B1397,Jugadores!$A$2:$A$501,0)),"⚠ ID no existe"))</f>
        <v/>
      </c>
      <c r="D1397" s="19" t="n"/>
      <c r="E1397" s="19" t="n"/>
      <c r="F1397" s="16">
        <f>IF(OR(B1397="",D1397=""),"",IFERROR(INDEX('Tabla XP'!$B$2:$B$12,MATCH(D1397,'Tabla XP'!$A$2:$A$12,0))*IF(E1397="",1,E1397),0))</f>
        <v/>
      </c>
      <c r="G1397" s="19" t="n"/>
      <c r="H1397" s="19" t="n"/>
    </row>
    <row r="1398">
      <c r="A1398" s="22" t="n"/>
      <c r="B1398" s="19" t="n"/>
      <c r="C1398" s="18">
        <f>IF(B1398="","",IFERROR(INDEX(Jugadores!$C$2:$C$501,MATCH(B1398,Jugadores!$A$2:$A$501,0)),"⚠ ID no existe"))</f>
        <v/>
      </c>
      <c r="D1398" s="19" t="n"/>
      <c r="E1398" s="19" t="n"/>
      <c r="F1398" s="16">
        <f>IF(OR(B1398="",D1398=""),"",IFERROR(INDEX('Tabla XP'!$B$2:$B$12,MATCH(D1398,'Tabla XP'!$A$2:$A$12,0))*IF(E1398="",1,E1398),0))</f>
        <v/>
      </c>
      <c r="G1398" s="19" t="n"/>
      <c r="H1398" s="19" t="n"/>
    </row>
    <row r="1399">
      <c r="A1399" s="22" t="n"/>
      <c r="B1399" s="19" t="n"/>
      <c r="C1399" s="18">
        <f>IF(B1399="","",IFERROR(INDEX(Jugadores!$C$2:$C$501,MATCH(B1399,Jugadores!$A$2:$A$501,0)),"⚠ ID no existe"))</f>
        <v/>
      </c>
      <c r="D1399" s="19" t="n"/>
      <c r="E1399" s="19" t="n"/>
      <c r="F1399" s="16">
        <f>IF(OR(B1399="",D1399=""),"",IFERROR(INDEX('Tabla XP'!$B$2:$B$12,MATCH(D1399,'Tabla XP'!$A$2:$A$12,0))*IF(E1399="",1,E1399),0))</f>
        <v/>
      </c>
      <c r="G1399" s="19" t="n"/>
      <c r="H1399" s="19" t="n"/>
    </row>
    <row r="1400">
      <c r="A1400" s="22" t="n"/>
      <c r="B1400" s="19" t="n"/>
      <c r="C1400" s="18">
        <f>IF(B1400="","",IFERROR(INDEX(Jugadores!$C$2:$C$501,MATCH(B1400,Jugadores!$A$2:$A$501,0)),"⚠ ID no existe"))</f>
        <v/>
      </c>
      <c r="D1400" s="19" t="n"/>
      <c r="E1400" s="19" t="n"/>
      <c r="F1400" s="16">
        <f>IF(OR(B1400="",D1400=""),"",IFERROR(INDEX('Tabla XP'!$B$2:$B$12,MATCH(D1400,'Tabla XP'!$A$2:$A$12,0))*IF(E1400="",1,E1400),0))</f>
        <v/>
      </c>
      <c r="G1400" s="19" t="n"/>
      <c r="H1400" s="19" t="n"/>
    </row>
    <row r="1401">
      <c r="A1401" s="22" t="n"/>
      <c r="B1401" s="19" t="n"/>
      <c r="C1401" s="18">
        <f>IF(B1401="","",IFERROR(INDEX(Jugadores!$C$2:$C$501,MATCH(B1401,Jugadores!$A$2:$A$501,0)),"⚠ ID no existe"))</f>
        <v/>
      </c>
      <c r="D1401" s="19" t="n"/>
      <c r="E1401" s="19" t="n"/>
      <c r="F1401" s="16">
        <f>IF(OR(B1401="",D1401=""),"",IFERROR(INDEX('Tabla XP'!$B$2:$B$12,MATCH(D1401,'Tabla XP'!$A$2:$A$12,0))*IF(E1401="",1,E1401),0))</f>
        <v/>
      </c>
      <c r="G1401" s="19" t="n"/>
      <c r="H1401" s="19" t="n"/>
    </row>
    <row r="1402">
      <c r="A1402" s="22" t="n"/>
      <c r="B1402" s="19" t="n"/>
      <c r="C1402" s="18">
        <f>IF(B1402="","",IFERROR(INDEX(Jugadores!$C$2:$C$501,MATCH(B1402,Jugadores!$A$2:$A$501,0)),"⚠ ID no existe"))</f>
        <v/>
      </c>
      <c r="D1402" s="19" t="n"/>
      <c r="E1402" s="19" t="n"/>
      <c r="F1402" s="16">
        <f>IF(OR(B1402="",D1402=""),"",IFERROR(INDEX('Tabla XP'!$B$2:$B$12,MATCH(D1402,'Tabla XP'!$A$2:$A$12,0))*IF(E1402="",1,E1402),0))</f>
        <v/>
      </c>
      <c r="G1402" s="19" t="n"/>
      <c r="H1402" s="19" t="n"/>
    </row>
    <row r="1403">
      <c r="A1403" s="22" t="n"/>
      <c r="B1403" s="19" t="n"/>
      <c r="C1403" s="18">
        <f>IF(B1403="","",IFERROR(INDEX(Jugadores!$C$2:$C$501,MATCH(B1403,Jugadores!$A$2:$A$501,0)),"⚠ ID no existe"))</f>
        <v/>
      </c>
      <c r="D1403" s="19" t="n"/>
      <c r="E1403" s="19" t="n"/>
      <c r="F1403" s="16">
        <f>IF(OR(B1403="",D1403=""),"",IFERROR(INDEX('Tabla XP'!$B$2:$B$12,MATCH(D1403,'Tabla XP'!$A$2:$A$12,0))*IF(E1403="",1,E1403),0))</f>
        <v/>
      </c>
      <c r="G1403" s="19" t="n"/>
      <c r="H1403" s="19" t="n"/>
    </row>
    <row r="1404">
      <c r="A1404" s="22" t="n"/>
      <c r="B1404" s="19" t="n"/>
      <c r="C1404" s="18">
        <f>IF(B1404="","",IFERROR(INDEX(Jugadores!$C$2:$C$501,MATCH(B1404,Jugadores!$A$2:$A$501,0)),"⚠ ID no existe"))</f>
        <v/>
      </c>
      <c r="D1404" s="19" t="n"/>
      <c r="E1404" s="19" t="n"/>
      <c r="F1404" s="16">
        <f>IF(OR(B1404="",D1404=""),"",IFERROR(INDEX('Tabla XP'!$B$2:$B$12,MATCH(D1404,'Tabla XP'!$A$2:$A$12,0))*IF(E1404="",1,E1404),0))</f>
        <v/>
      </c>
      <c r="G1404" s="19" t="n"/>
      <c r="H1404" s="19" t="n"/>
    </row>
    <row r="1405">
      <c r="A1405" s="22" t="n"/>
      <c r="B1405" s="19" t="n"/>
      <c r="C1405" s="18">
        <f>IF(B1405="","",IFERROR(INDEX(Jugadores!$C$2:$C$501,MATCH(B1405,Jugadores!$A$2:$A$501,0)),"⚠ ID no existe"))</f>
        <v/>
      </c>
      <c r="D1405" s="19" t="n"/>
      <c r="E1405" s="19" t="n"/>
      <c r="F1405" s="16">
        <f>IF(OR(B1405="",D1405=""),"",IFERROR(INDEX('Tabla XP'!$B$2:$B$12,MATCH(D1405,'Tabla XP'!$A$2:$A$12,0))*IF(E1405="",1,E1405),0))</f>
        <v/>
      </c>
      <c r="G1405" s="19" t="n"/>
      <c r="H1405" s="19" t="n"/>
    </row>
    <row r="1406">
      <c r="A1406" s="22" t="n"/>
      <c r="B1406" s="19" t="n"/>
      <c r="C1406" s="18">
        <f>IF(B1406="","",IFERROR(INDEX(Jugadores!$C$2:$C$501,MATCH(B1406,Jugadores!$A$2:$A$501,0)),"⚠ ID no existe"))</f>
        <v/>
      </c>
      <c r="D1406" s="19" t="n"/>
      <c r="E1406" s="19" t="n"/>
      <c r="F1406" s="16">
        <f>IF(OR(B1406="",D1406=""),"",IFERROR(INDEX('Tabla XP'!$B$2:$B$12,MATCH(D1406,'Tabla XP'!$A$2:$A$12,0))*IF(E1406="",1,E1406),0))</f>
        <v/>
      </c>
      <c r="G1406" s="19" t="n"/>
      <c r="H1406" s="19" t="n"/>
    </row>
    <row r="1407">
      <c r="A1407" s="22" t="n"/>
      <c r="B1407" s="19" t="n"/>
      <c r="C1407" s="18">
        <f>IF(B1407="","",IFERROR(INDEX(Jugadores!$C$2:$C$501,MATCH(B1407,Jugadores!$A$2:$A$501,0)),"⚠ ID no existe"))</f>
        <v/>
      </c>
      <c r="D1407" s="19" t="n"/>
      <c r="E1407" s="19" t="n"/>
      <c r="F1407" s="16">
        <f>IF(OR(B1407="",D1407=""),"",IFERROR(INDEX('Tabla XP'!$B$2:$B$12,MATCH(D1407,'Tabla XP'!$A$2:$A$12,0))*IF(E1407="",1,E1407),0))</f>
        <v/>
      </c>
      <c r="G1407" s="19" t="n"/>
      <c r="H1407" s="19" t="n"/>
    </row>
    <row r="1408">
      <c r="A1408" s="22" t="n"/>
      <c r="B1408" s="19" t="n"/>
      <c r="C1408" s="18">
        <f>IF(B1408="","",IFERROR(INDEX(Jugadores!$C$2:$C$501,MATCH(B1408,Jugadores!$A$2:$A$501,0)),"⚠ ID no existe"))</f>
        <v/>
      </c>
      <c r="D1408" s="19" t="n"/>
      <c r="E1408" s="19" t="n"/>
      <c r="F1408" s="16">
        <f>IF(OR(B1408="",D1408=""),"",IFERROR(INDEX('Tabla XP'!$B$2:$B$12,MATCH(D1408,'Tabla XP'!$A$2:$A$12,0))*IF(E1408="",1,E1408),0))</f>
        <v/>
      </c>
      <c r="G1408" s="19" t="n"/>
      <c r="H1408" s="19" t="n"/>
    </row>
    <row r="1409">
      <c r="A1409" s="22" t="n"/>
      <c r="B1409" s="19" t="n"/>
      <c r="C1409" s="18">
        <f>IF(B1409="","",IFERROR(INDEX(Jugadores!$C$2:$C$501,MATCH(B1409,Jugadores!$A$2:$A$501,0)),"⚠ ID no existe"))</f>
        <v/>
      </c>
      <c r="D1409" s="19" t="n"/>
      <c r="E1409" s="19" t="n"/>
      <c r="F1409" s="16">
        <f>IF(OR(B1409="",D1409=""),"",IFERROR(INDEX('Tabla XP'!$B$2:$B$12,MATCH(D1409,'Tabla XP'!$A$2:$A$12,0))*IF(E1409="",1,E1409),0))</f>
        <v/>
      </c>
      <c r="G1409" s="19" t="n"/>
      <c r="H1409" s="19" t="n"/>
    </row>
    <row r="1410">
      <c r="A1410" s="22" t="n"/>
      <c r="B1410" s="19" t="n"/>
      <c r="C1410" s="18">
        <f>IF(B1410="","",IFERROR(INDEX(Jugadores!$C$2:$C$501,MATCH(B1410,Jugadores!$A$2:$A$501,0)),"⚠ ID no existe"))</f>
        <v/>
      </c>
      <c r="D1410" s="19" t="n"/>
      <c r="E1410" s="19" t="n"/>
      <c r="F1410" s="16">
        <f>IF(OR(B1410="",D1410=""),"",IFERROR(INDEX('Tabla XP'!$B$2:$B$12,MATCH(D1410,'Tabla XP'!$A$2:$A$12,0))*IF(E1410="",1,E1410),0))</f>
        <v/>
      </c>
      <c r="G1410" s="19" t="n"/>
      <c r="H1410" s="19" t="n"/>
    </row>
    <row r="1411">
      <c r="A1411" s="22" t="n"/>
      <c r="B1411" s="19" t="n"/>
      <c r="C1411" s="18">
        <f>IF(B1411="","",IFERROR(INDEX(Jugadores!$C$2:$C$501,MATCH(B1411,Jugadores!$A$2:$A$501,0)),"⚠ ID no existe"))</f>
        <v/>
      </c>
      <c r="D1411" s="19" t="n"/>
      <c r="E1411" s="19" t="n"/>
      <c r="F1411" s="16">
        <f>IF(OR(B1411="",D1411=""),"",IFERROR(INDEX('Tabla XP'!$B$2:$B$12,MATCH(D1411,'Tabla XP'!$A$2:$A$12,0))*IF(E1411="",1,E1411),0))</f>
        <v/>
      </c>
      <c r="G1411" s="19" t="n"/>
      <c r="H1411" s="19" t="n"/>
    </row>
    <row r="1412">
      <c r="A1412" s="22" t="n"/>
      <c r="B1412" s="19" t="n"/>
      <c r="C1412" s="18">
        <f>IF(B1412="","",IFERROR(INDEX(Jugadores!$C$2:$C$501,MATCH(B1412,Jugadores!$A$2:$A$501,0)),"⚠ ID no existe"))</f>
        <v/>
      </c>
      <c r="D1412" s="19" t="n"/>
      <c r="E1412" s="19" t="n"/>
      <c r="F1412" s="16">
        <f>IF(OR(B1412="",D1412=""),"",IFERROR(INDEX('Tabla XP'!$B$2:$B$12,MATCH(D1412,'Tabla XP'!$A$2:$A$12,0))*IF(E1412="",1,E1412),0))</f>
        <v/>
      </c>
      <c r="G1412" s="19" t="n"/>
      <c r="H1412" s="19" t="n"/>
    </row>
    <row r="1413">
      <c r="A1413" s="22" t="n"/>
      <c r="B1413" s="19" t="n"/>
      <c r="C1413" s="18">
        <f>IF(B1413="","",IFERROR(INDEX(Jugadores!$C$2:$C$501,MATCH(B1413,Jugadores!$A$2:$A$501,0)),"⚠ ID no existe"))</f>
        <v/>
      </c>
      <c r="D1413" s="19" t="n"/>
      <c r="E1413" s="19" t="n"/>
      <c r="F1413" s="16">
        <f>IF(OR(B1413="",D1413=""),"",IFERROR(INDEX('Tabla XP'!$B$2:$B$12,MATCH(D1413,'Tabla XP'!$A$2:$A$12,0))*IF(E1413="",1,E1413),0))</f>
        <v/>
      </c>
      <c r="G1413" s="19" t="n"/>
      <c r="H1413" s="19" t="n"/>
    </row>
    <row r="1414">
      <c r="A1414" s="22" t="n"/>
      <c r="B1414" s="19" t="n"/>
      <c r="C1414" s="18">
        <f>IF(B1414="","",IFERROR(INDEX(Jugadores!$C$2:$C$501,MATCH(B1414,Jugadores!$A$2:$A$501,0)),"⚠ ID no existe"))</f>
        <v/>
      </c>
      <c r="D1414" s="19" t="n"/>
      <c r="E1414" s="19" t="n"/>
      <c r="F1414" s="16">
        <f>IF(OR(B1414="",D1414=""),"",IFERROR(INDEX('Tabla XP'!$B$2:$B$12,MATCH(D1414,'Tabla XP'!$A$2:$A$12,0))*IF(E1414="",1,E1414),0))</f>
        <v/>
      </c>
      <c r="G1414" s="19" t="n"/>
      <c r="H1414" s="19" t="n"/>
    </row>
    <row r="1415">
      <c r="A1415" s="22" t="n"/>
      <c r="B1415" s="19" t="n"/>
      <c r="C1415" s="18">
        <f>IF(B1415="","",IFERROR(INDEX(Jugadores!$C$2:$C$501,MATCH(B1415,Jugadores!$A$2:$A$501,0)),"⚠ ID no existe"))</f>
        <v/>
      </c>
      <c r="D1415" s="19" t="n"/>
      <c r="E1415" s="19" t="n"/>
      <c r="F1415" s="16">
        <f>IF(OR(B1415="",D1415=""),"",IFERROR(INDEX('Tabla XP'!$B$2:$B$12,MATCH(D1415,'Tabla XP'!$A$2:$A$12,0))*IF(E1415="",1,E1415),0))</f>
        <v/>
      </c>
      <c r="G1415" s="19" t="n"/>
      <c r="H1415" s="19" t="n"/>
    </row>
    <row r="1416">
      <c r="A1416" s="22" t="n"/>
      <c r="B1416" s="19" t="n"/>
      <c r="C1416" s="18">
        <f>IF(B1416="","",IFERROR(INDEX(Jugadores!$C$2:$C$501,MATCH(B1416,Jugadores!$A$2:$A$501,0)),"⚠ ID no existe"))</f>
        <v/>
      </c>
      <c r="D1416" s="19" t="n"/>
      <c r="E1416" s="19" t="n"/>
      <c r="F1416" s="16">
        <f>IF(OR(B1416="",D1416=""),"",IFERROR(INDEX('Tabla XP'!$B$2:$B$12,MATCH(D1416,'Tabla XP'!$A$2:$A$12,0))*IF(E1416="",1,E1416),0))</f>
        <v/>
      </c>
      <c r="G1416" s="19" t="n"/>
      <c r="H1416" s="19" t="n"/>
    </row>
    <row r="1417">
      <c r="A1417" s="22" t="n"/>
      <c r="B1417" s="19" t="n"/>
      <c r="C1417" s="18">
        <f>IF(B1417="","",IFERROR(INDEX(Jugadores!$C$2:$C$501,MATCH(B1417,Jugadores!$A$2:$A$501,0)),"⚠ ID no existe"))</f>
        <v/>
      </c>
      <c r="D1417" s="19" t="n"/>
      <c r="E1417" s="19" t="n"/>
      <c r="F1417" s="16">
        <f>IF(OR(B1417="",D1417=""),"",IFERROR(INDEX('Tabla XP'!$B$2:$B$12,MATCH(D1417,'Tabla XP'!$A$2:$A$12,0))*IF(E1417="",1,E1417),0))</f>
        <v/>
      </c>
      <c r="G1417" s="19" t="n"/>
      <c r="H1417" s="19" t="n"/>
    </row>
    <row r="1418">
      <c r="A1418" s="22" t="n"/>
      <c r="B1418" s="19" t="n"/>
      <c r="C1418" s="18">
        <f>IF(B1418="","",IFERROR(INDEX(Jugadores!$C$2:$C$501,MATCH(B1418,Jugadores!$A$2:$A$501,0)),"⚠ ID no existe"))</f>
        <v/>
      </c>
      <c r="D1418" s="19" t="n"/>
      <c r="E1418" s="19" t="n"/>
      <c r="F1418" s="16">
        <f>IF(OR(B1418="",D1418=""),"",IFERROR(INDEX('Tabla XP'!$B$2:$B$12,MATCH(D1418,'Tabla XP'!$A$2:$A$12,0))*IF(E1418="",1,E1418),0))</f>
        <v/>
      </c>
      <c r="G1418" s="19" t="n"/>
      <c r="H1418" s="19" t="n"/>
    </row>
    <row r="1419">
      <c r="A1419" s="22" t="n"/>
      <c r="B1419" s="19" t="n"/>
      <c r="C1419" s="18">
        <f>IF(B1419="","",IFERROR(INDEX(Jugadores!$C$2:$C$501,MATCH(B1419,Jugadores!$A$2:$A$501,0)),"⚠ ID no existe"))</f>
        <v/>
      </c>
      <c r="D1419" s="19" t="n"/>
      <c r="E1419" s="19" t="n"/>
      <c r="F1419" s="16">
        <f>IF(OR(B1419="",D1419=""),"",IFERROR(INDEX('Tabla XP'!$B$2:$B$12,MATCH(D1419,'Tabla XP'!$A$2:$A$12,0))*IF(E1419="",1,E1419),0))</f>
        <v/>
      </c>
      <c r="G1419" s="19" t="n"/>
      <c r="H1419" s="19" t="n"/>
    </row>
    <row r="1420">
      <c r="A1420" s="22" t="n"/>
      <c r="B1420" s="19" t="n"/>
      <c r="C1420" s="18">
        <f>IF(B1420="","",IFERROR(INDEX(Jugadores!$C$2:$C$501,MATCH(B1420,Jugadores!$A$2:$A$501,0)),"⚠ ID no existe"))</f>
        <v/>
      </c>
      <c r="D1420" s="19" t="n"/>
      <c r="E1420" s="19" t="n"/>
      <c r="F1420" s="16">
        <f>IF(OR(B1420="",D1420=""),"",IFERROR(INDEX('Tabla XP'!$B$2:$B$12,MATCH(D1420,'Tabla XP'!$A$2:$A$12,0))*IF(E1420="",1,E1420),0))</f>
        <v/>
      </c>
      <c r="G1420" s="19" t="n"/>
      <c r="H1420" s="19" t="n"/>
    </row>
    <row r="1421">
      <c r="A1421" s="22" t="n"/>
      <c r="B1421" s="19" t="n"/>
      <c r="C1421" s="18">
        <f>IF(B1421="","",IFERROR(INDEX(Jugadores!$C$2:$C$501,MATCH(B1421,Jugadores!$A$2:$A$501,0)),"⚠ ID no existe"))</f>
        <v/>
      </c>
      <c r="D1421" s="19" t="n"/>
      <c r="E1421" s="19" t="n"/>
      <c r="F1421" s="16">
        <f>IF(OR(B1421="",D1421=""),"",IFERROR(INDEX('Tabla XP'!$B$2:$B$12,MATCH(D1421,'Tabla XP'!$A$2:$A$12,0))*IF(E1421="",1,E1421),0))</f>
        <v/>
      </c>
      <c r="G1421" s="19" t="n"/>
      <c r="H1421" s="19" t="n"/>
    </row>
    <row r="1422">
      <c r="A1422" s="22" t="n"/>
      <c r="B1422" s="19" t="n"/>
      <c r="C1422" s="18">
        <f>IF(B1422="","",IFERROR(INDEX(Jugadores!$C$2:$C$501,MATCH(B1422,Jugadores!$A$2:$A$501,0)),"⚠ ID no existe"))</f>
        <v/>
      </c>
      <c r="D1422" s="19" t="n"/>
      <c r="E1422" s="19" t="n"/>
      <c r="F1422" s="16">
        <f>IF(OR(B1422="",D1422=""),"",IFERROR(INDEX('Tabla XP'!$B$2:$B$12,MATCH(D1422,'Tabla XP'!$A$2:$A$12,0))*IF(E1422="",1,E1422),0))</f>
        <v/>
      </c>
      <c r="G1422" s="19" t="n"/>
      <c r="H1422" s="19" t="n"/>
    </row>
    <row r="1423">
      <c r="A1423" s="22" t="n"/>
      <c r="B1423" s="19" t="n"/>
      <c r="C1423" s="18">
        <f>IF(B1423="","",IFERROR(INDEX(Jugadores!$C$2:$C$501,MATCH(B1423,Jugadores!$A$2:$A$501,0)),"⚠ ID no existe"))</f>
        <v/>
      </c>
      <c r="D1423" s="19" t="n"/>
      <c r="E1423" s="19" t="n"/>
      <c r="F1423" s="16">
        <f>IF(OR(B1423="",D1423=""),"",IFERROR(INDEX('Tabla XP'!$B$2:$B$12,MATCH(D1423,'Tabla XP'!$A$2:$A$12,0))*IF(E1423="",1,E1423),0))</f>
        <v/>
      </c>
      <c r="G1423" s="19" t="n"/>
      <c r="H1423" s="19" t="n"/>
    </row>
    <row r="1424">
      <c r="A1424" s="22" t="n"/>
      <c r="B1424" s="19" t="n"/>
      <c r="C1424" s="18">
        <f>IF(B1424="","",IFERROR(INDEX(Jugadores!$C$2:$C$501,MATCH(B1424,Jugadores!$A$2:$A$501,0)),"⚠ ID no existe"))</f>
        <v/>
      </c>
      <c r="D1424" s="19" t="n"/>
      <c r="E1424" s="19" t="n"/>
      <c r="F1424" s="16">
        <f>IF(OR(B1424="",D1424=""),"",IFERROR(INDEX('Tabla XP'!$B$2:$B$12,MATCH(D1424,'Tabla XP'!$A$2:$A$12,0))*IF(E1424="",1,E1424),0))</f>
        <v/>
      </c>
      <c r="G1424" s="19" t="n"/>
      <c r="H1424" s="19" t="n"/>
    </row>
    <row r="1425">
      <c r="A1425" s="22" t="n"/>
      <c r="B1425" s="19" t="n"/>
      <c r="C1425" s="18">
        <f>IF(B1425="","",IFERROR(INDEX(Jugadores!$C$2:$C$501,MATCH(B1425,Jugadores!$A$2:$A$501,0)),"⚠ ID no existe"))</f>
        <v/>
      </c>
      <c r="D1425" s="19" t="n"/>
      <c r="E1425" s="19" t="n"/>
      <c r="F1425" s="16">
        <f>IF(OR(B1425="",D1425=""),"",IFERROR(INDEX('Tabla XP'!$B$2:$B$12,MATCH(D1425,'Tabla XP'!$A$2:$A$12,0))*IF(E1425="",1,E1425),0))</f>
        <v/>
      </c>
      <c r="G1425" s="19" t="n"/>
      <c r="H1425" s="19" t="n"/>
    </row>
    <row r="1426">
      <c r="A1426" s="22" t="n"/>
      <c r="B1426" s="19" t="n"/>
      <c r="C1426" s="18">
        <f>IF(B1426="","",IFERROR(INDEX(Jugadores!$C$2:$C$501,MATCH(B1426,Jugadores!$A$2:$A$501,0)),"⚠ ID no existe"))</f>
        <v/>
      </c>
      <c r="D1426" s="19" t="n"/>
      <c r="E1426" s="19" t="n"/>
      <c r="F1426" s="16">
        <f>IF(OR(B1426="",D1426=""),"",IFERROR(INDEX('Tabla XP'!$B$2:$B$12,MATCH(D1426,'Tabla XP'!$A$2:$A$12,0))*IF(E1426="",1,E1426),0))</f>
        <v/>
      </c>
      <c r="G1426" s="19" t="n"/>
      <c r="H1426" s="19" t="n"/>
    </row>
    <row r="1427">
      <c r="A1427" s="22" t="n"/>
      <c r="B1427" s="19" t="n"/>
      <c r="C1427" s="18">
        <f>IF(B1427="","",IFERROR(INDEX(Jugadores!$C$2:$C$501,MATCH(B1427,Jugadores!$A$2:$A$501,0)),"⚠ ID no existe"))</f>
        <v/>
      </c>
      <c r="D1427" s="19" t="n"/>
      <c r="E1427" s="19" t="n"/>
      <c r="F1427" s="16">
        <f>IF(OR(B1427="",D1427=""),"",IFERROR(INDEX('Tabla XP'!$B$2:$B$12,MATCH(D1427,'Tabla XP'!$A$2:$A$12,0))*IF(E1427="",1,E1427),0))</f>
        <v/>
      </c>
      <c r="G1427" s="19" t="n"/>
      <c r="H1427" s="19" t="n"/>
    </row>
    <row r="1428">
      <c r="A1428" s="22" t="n"/>
      <c r="B1428" s="19" t="n"/>
      <c r="C1428" s="18">
        <f>IF(B1428="","",IFERROR(INDEX(Jugadores!$C$2:$C$501,MATCH(B1428,Jugadores!$A$2:$A$501,0)),"⚠ ID no existe"))</f>
        <v/>
      </c>
      <c r="D1428" s="19" t="n"/>
      <c r="E1428" s="19" t="n"/>
      <c r="F1428" s="16">
        <f>IF(OR(B1428="",D1428=""),"",IFERROR(INDEX('Tabla XP'!$B$2:$B$12,MATCH(D1428,'Tabla XP'!$A$2:$A$12,0))*IF(E1428="",1,E1428),0))</f>
        <v/>
      </c>
      <c r="G1428" s="19" t="n"/>
      <c r="H1428" s="19" t="n"/>
    </row>
    <row r="1429">
      <c r="A1429" s="22" t="n"/>
      <c r="B1429" s="19" t="n"/>
      <c r="C1429" s="18">
        <f>IF(B1429="","",IFERROR(INDEX(Jugadores!$C$2:$C$501,MATCH(B1429,Jugadores!$A$2:$A$501,0)),"⚠ ID no existe"))</f>
        <v/>
      </c>
      <c r="D1429" s="19" t="n"/>
      <c r="E1429" s="19" t="n"/>
      <c r="F1429" s="16">
        <f>IF(OR(B1429="",D1429=""),"",IFERROR(INDEX('Tabla XP'!$B$2:$B$12,MATCH(D1429,'Tabla XP'!$A$2:$A$12,0))*IF(E1429="",1,E1429),0))</f>
        <v/>
      </c>
      <c r="G1429" s="19" t="n"/>
      <c r="H1429" s="19" t="n"/>
    </row>
    <row r="1430">
      <c r="A1430" s="22" t="n"/>
      <c r="B1430" s="19" t="n"/>
      <c r="C1430" s="18">
        <f>IF(B1430="","",IFERROR(INDEX(Jugadores!$C$2:$C$501,MATCH(B1430,Jugadores!$A$2:$A$501,0)),"⚠ ID no existe"))</f>
        <v/>
      </c>
      <c r="D1430" s="19" t="n"/>
      <c r="E1430" s="19" t="n"/>
      <c r="F1430" s="16">
        <f>IF(OR(B1430="",D1430=""),"",IFERROR(INDEX('Tabla XP'!$B$2:$B$12,MATCH(D1430,'Tabla XP'!$A$2:$A$12,0))*IF(E1430="",1,E1430),0))</f>
        <v/>
      </c>
      <c r="G1430" s="19" t="n"/>
      <c r="H1430" s="19" t="n"/>
    </row>
    <row r="1431">
      <c r="A1431" s="22" t="n"/>
      <c r="B1431" s="19" t="n"/>
      <c r="C1431" s="18">
        <f>IF(B1431="","",IFERROR(INDEX(Jugadores!$C$2:$C$501,MATCH(B1431,Jugadores!$A$2:$A$501,0)),"⚠ ID no existe"))</f>
        <v/>
      </c>
      <c r="D1431" s="19" t="n"/>
      <c r="E1431" s="19" t="n"/>
      <c r="F1431" s="16">
        <f>IF(OR(B1431="",D1431=""),"",IFERROR(INDEX('Tabla XP'!$B$2:$B$12,MATCH(D1431,'Tabla XP'!$A$2:$A$12,0))*IF(E1431="",1,E1431),0))</f>
        <v/>
      </c>
      <c r="G1431" s="19" t="n"/>
      <c r="H1431" s="19" t="n"/>
    </row>
    <row r="1432">
      <c r="A1432" s="22" t="n"/>
      <c r="B1432" s="19" t="n"/>
      <c r="C1432" s="18">
        <f>IF(B1432="","",IFERROR(INDEX(Jugadores!$C$2:$C$501,MATCH(B1432,Jugadores!$A$2:$A$501,0)),"⚠ ID no existe"))</f>
        <v/>
      </c>
      <c r="D1432" s="19" t="n"/>
      <c r="E1432" s="19" t="n"/>
      <c r="F1432" s="16">
        <f>IF(OR(B1432="",D1432=""),"",IFERROR(INDEX('Tabla XP'!$B$2:$B$12,MATCH(D1432,'Tabla XP'!$A$2:$A$12,0))*IF(E1432="",1,E1432),0))</f>
        <v/>
      </c>
      <c r="G1432" s="19" t="n"/>
      <c r="H1432" s="19" t="n"/>
    </row>
    <row r="1433">
      <c r="A1433" s="22" t="n"/>
      <c r="B1433" s="19" t="n"/>
      <c r="C1433" s="18">
        <f>IF(B1433="","",IFERROR(INDEX(Jugadores!$C$2:$C$501,MATCH(B1433,Jugadores!$A$2:$A$501,0)),"⚠ ID no existe"))</f>
        <v/>
      </c>
      <c r="D1433" s="19" t="n"/>
      <c r="E1433" s="19" t="n"/>
      <c r="F1433" s="16">
        <f>IF(OR(B1433="",D1433=""),"",IFERROR(INDEX('Tabla XP'!$B$2:$B$12,MATCH(D1433,'Tabla XP'!$A$2:$A$12,0))*IF(E1433="",1,E1433),0))</f>
        <v/>
      </c>
      <c r="G1433" s="19" t="n"/>
      <c r="H1433" s="19" t="n"/>
    </row>
    <row r="1434">
      <c r="A1434" s="22" t="n"/>
      <c r="B1434" s="19" t="n"/>
      <c r="C1434" s="18">
        <f>IF(B1434="","",IFERROR(INDEX(Jugadores!$C$2:$C$501,MATCH(B1434,Jugadores!$A$2:$A$501,0)),"⚠ ID no existe"))</f>
        <v/>
      </c>
      <c r="D1434" s="19" t="n"/>
      <c r="E1434" s="19" t="n"/>
      <c r="F1434" s="16">
        <f>IF(OR(B1434="",D1434=""),"",IFERROR(INDEX('Tabla XP'!$B$2:$B$12,MATCH(D1434,'Tabla XP'!$A$2:$A$12,0))*IF(E1434="",1,E1434),0))</f>
        <v/>
      </c>
      <c r="G1434" s="19" t="n"/>
      <c r="H1434" s="19" t="n"/>
    </row>
    <row r="1435">
      <c r="A1435" s="22" t="n"/>
      <c r="B1435" s="19" t="n"/>
      <c r="C1435" s="18">
        <f>IF(B1435="","",IFERROR(INDEX(Jugadores!$C$2:$C$501,MATCH(B1435,Jugadores!$A$2:$A$501,0)),"⚠ ID no existe"))</f>
        <v/>
      </c>
      <c r="D1435" s="19" t="n"/>
      <c r="E1435" s="19" t="n"/>
      <c r="F1435" s="16">
        <f>IF(OR(B1435="",D1435=""),"",IFERROR(INDEX('Tabla XP'!$B$2:$B$12,MATCH(D1435,'Tabla XP'!$A$2:$A$12,0))*IF(E1435="",1,E1435),0))</f>
        <v/>
      </c>
      <c r="G1435" s="19" t="n"/>
      <c r="H1435" s="19" t="n"/>
    </row>
    <row r="1436">
      <c r="A1436" s="22" t="n"/>
      <c r="B1436" s="19" t="n"/>
      <c r="C1436" s="18">
        <f>IF(B1436="","",IFERROR(INDEX(Jugadores!$C$2:$C$501,MATCH(B1436,Jugadores!$A$2:$A$501,0)),"⚠ ID no existe"))</f>
        <v/>
      </c>
      <c r="D1436" s="19" t="n"/>
      <c r="E1436" s="19" t="n"/>
      <c r="F1436" s="16">
        <f>IF(OR(B1436="",D1436=""),"",IFERROR(INDEX('Tabla XP'!$B$2:$B$12,MATCH(D1436,'Tabla XP'!$A$2:$A$12,0))*IF(E1436="",1,E1436),0))</f>
        <v/>
      </c>
      <c r="G1436" s="19" t="n"/>
      <c r="H1436" s="19" t="n"/>
    </row>
    <row r="1437">
      <c r="A1437" s="22" t="n"/>
      <c r="B1437" s="19" t="n"/>
      <c r="C1437" s="18">
        <f>IF(B1437="","",IFERROR(INDEX(Jugadores!$C$2:$C$501,MATCH(B1437,Jugadores!$A$2:$A$501,0)),"⚠ ID no existe"))</f>
        <v/>
      </c>
      <c r="D1437" s="19" t="n"/>
      <c r="E1437" s="19" t="n"/>
      <c r="F1437" s="16">
        <f>IF(OR(B1437="",D1437=""),"",IFERROR(INDEX('Tabla XP'!$B$2:$B$12,MATCH(D1437,'Tabla XP'!$A$2:$A$12,0))*IF(E1437="",1,E1437),0))</f>
        <v/>
      </c>
      <c r="G1437" s="19" t="n"/>
      <c r="H1437" s="19" t="n"/>
    </row>
    <row r="1438">
      <c r="A1438" s="22" t="n"/>
      <c r="B1438" s="19" t="n"/>
      <c r="C1438" s="18">
        <f>IF(B1438="","",IFERROR(INDEX(Jugadores!$C$2:$C$501,MATCH(B1438,Jugadores!$A$2:$A$501,0)),"⚠ ID no existe"))</f>
        <v/>
      </c>
      <c r="D1438" s="19" t="n"/>
      <c r="E1438" s="19" t="n"/>
      <c r="F1438" s="16">
        <f>IF(OR(B1438="",D1438=""),"",IFERROR(INDEX('Tabla XP'!$B$2:$B$12,MATCH(D1438,'Tabla XP'!$A$2:$A$12,0))*IF(E1438="",1,E1438),0))</f>
        <v/>
      </c>
      <c r="G1438" s="19" t="n"/>
      <c r="H1438" s="19" t="n"/>
    </row>
    <row r="1439">
      <c r="A1439" s="22" t="n"/>
      <c r="B1439" s="19" t="n"/>
      <c r="C1439" s="18">
        <f>IF(B1439="","",IFERROR(INDEX(Jugadores!$C$2:$C$501,MATCH(B1439,Jugadores!$A$2:$A$501,0)),"⚠ ID no existe"))</f>
        <v/>
      </c>
      <c r="D1439" s="19" t="n"/>
      <c r="E1439" s="19" t="n"/>
      <c r="F1439" s="16">
        <f>IF(OR(B1439="",D1439=""),"",IFERROR(INDEX('Tabla XP'!$B$2:$B$12,MATCH(D1439,'Tabla XP'!$A$2:$A$12,0))*IF(E1439="",1,E1439),0))</f>
        <v/>
      </c>
      <c r="G1439" s="19" t="n"/>
      <c r="H1439" s="19" t="n"/>
    </row>
    <row r="1440">
      <c r="A1440" s="22" t="n"/>
      <c r="B1440" s="19" t="n"/>
      <c r="C1440" s="18">
        <f>IF(B1440="","",IFERROR(INDEX(Jugadores!$C$2:$C$501,MATCH(B1440,Jugadores!$A$2:$A$501,0)),"⚠ ID no existe"))</f>
        <v/>
      </c>
      <c r="D1440" s="19" t="n"/>
      <c r="E1440" s="19" t="n"/>
      <c r="F1440" s="16">
        <f>IF(OR(B1440="",D1440=""),"",IFERROR(INDEX('Tabla XP'!$B$2:$B$12,MATCH(D1440,'Tabla XP'!$A$2:$A$12,0))*IF(E1440="",1,E1440),0))</f>
        <v/>
      </c>
      <c r="G1440" s="19" t="n"/>
      <c r="H1440" s="19" t="n"/>
    </row>
    <row r="1441">
      <c r="A1441" s="22" t="n"/>
      <c r="B1441" s="19" t="n"/>
      <c r="C1441" s="18">
        <f>IF(B1441="","",IFERROR(INDEX(Jugadores!$C$2:$C$501,MATCH(B1441,Jugadores!$A$2:$A$501,0)),"⚠ ID no existe"))</f>
        <v/>
      </c>
      <c r="D1441" s="19" t="n"/>
      <c r="E1441" s="19" t="n"/>
      <c r="F1441" s="16">
        <f>IF(OR(B1441="",D1441=""),"",IFERROR(INDEX('Tabla XP'!$B$2:$B$12,MATCH(D1441,'Tabla XP'!$A$2:$A$12,0))*IF(E1441="",1,E1441),0))</f>
        <v/>
      </c>
      <c r="G1441" s="19" t="n"/>
      <c r="H1441" s="19" t="n"/>
    </row>
    <row r="1442">
      <c r="A1442" s="22" t="n"/>
      <c r="B1442" s="19" t="n"/>
      <c r="C1442" s="18">
        <f>IF(B1442="","",IFERROR(INDEX(Jugadores!$C$2:$C$501,MATCH(B1442,Jugadores!$A$2:$A$501,0)),"⚠ ID no existe"))</f>
        <v/>
      </c>
      <c r="D1442" s="19" t="n"/>
      <c r="E1442" s="19" t="n"/>
      <c r="F1442" s="16">
        <f>IF(OR(B1442="",D1442=""),"",IFERROR(INDEX('Tabla XP'!$B$2:$B$12,MATCH(D1442,'Tabla XP'!$A$2:$A$12,0))*IF(E1442="",1,E1442),0))</f>
        <v/>
      </c>
      <c r="G1442" s="19" t="n"/>
      <c r="H1442" s="19" t="n"/>
    </row>
    <row r="1443">
      <c r="A1443" s="22" t="n"/>
      <c r="B1443" s="19" t="n"/>
      <c r="C1443" s="18">
        <f>IF(B1443="","",IFERROR(INDEX(Jugadores!$C$2:$C$501,MATCH(B1443,Jugadores!$A$2:$A$501,0)),"⚠ ID no existe"))</f>
        <v/>
      </c>
      <c r="D1443" s="19" t="n"/>
      <c r="E1443" s="19" t="n"/>
      <c r="F1443" s="16">
        <f>IF(OR(B1443="",D1443=""),"",IFERROR(INDEX('Tabla XP'!$B$2:$B$12,MATCH(D1443,'Tabla XP'!$A$2:$A$12,0))*IF(E1443="",1,E1443),0))</f>
        <v/>
      </c>
      <c r="G1443" s="19" t="n"/>
      <c r="H1443" s="19" t="n"/>
    </row>
    <row r="1444">
      <c r="A1444" s="22" t="n"/>
      <c r="B1444" s="19" t="n"/>
      <c r="C1444" s="18">
        <f>IF(B1444="","",IFERROR(INDEX(Jugadores!$C$2:$C$501,MATCH(B1444,Jugadores!$A$2:$A$501,0)),"⚠ ID no existe"))</f>
        <v/>
      </c>
      <c r="D1444" s="19" t="n"/>
      <c r="E1444" s="19" t="n"/>
      <c r="F1444" s="16">
        <f>IF(OR(B1444="",D1444=""),"",IFERROR(INDEX('Tabla XP'!$B$2:$B$12,MATCH(D1444,'Tabla XP'!$A$2:$A$12,0))*IF(E1444="",1,E1444),0))</f>
        <v/>
      </c>
      <c r="G1444" s="19" t="n"/>
      <c r="H1444" s="19" t="n"/>
    </row>
    <row r="1445">
      <c r="A1445" s="22" t="n"/>
      <c r="B1445" s="19" t="n"/>
      <c r="C1445" s="18">
        <f>IF(B1445="","",IFERROR(INDEX(Jugadores!$C$2:$C$501,MATCH(B1445,Jugadores!$A$2:$A$501,0)),"⚠ ID no existe"))</f>
        <v/>
      </c>
      <c r="D1445" s="19" t="n"/>
      <c r="E1445" s="19" t="n"/>
      <c r="F1445" s="16">
        <f>IF(OR(B1445="",D1445=""),"",IFERROR(INDEX('Tabla XP'!$B$2:$B$12,MATCH(D1445,'Tabla XP'!$A$2:$A$12,0))*IF(E1445="",1,E1445),0))</f>
        <v/>
      </c>
      <c r="G1445" s="19" t="n"/>
      <c r="H1445" s="19" t="n"/>
    </row>
    <row r="1446">
      <c r="A1446" s="22" t="n"/>
      <c r="B1446" s="19" t="n"/>
      <c r="C1446" s="18">
        <f>IF(B1446="","",IFERROR(INDEX(Jugadores!$C$2:$C$501,MATCH(B1446,Jugadores!$A$2:$A$501,0)),"⚠ ID no existe"))</f>
        <v/>
      </c>
      <c r="D1446" s="19" t="n"/>
      <c r="E1446" s="19" t="n"/>
      <c r="F1446" s="16">
        <f>IF(OR(B1446="",D1446=""),"",IFERROR(INDEX('Tabla XP'!$B$2:$B$12,MATCH(D1446,'Tabla XP'!$A$2:$A$12,0))*IF(E1446="",1,E1446),0))</f>
        <v/>
      </c>
      <c r="G1446" s="19" t="n"/>
      <c r="H1446" s="19" t="n"/>
    </row>
    <row r="1447">
      <c r="A1447" s="22" t="n"/>
      <c r="B1447" s="19" t="n"/>
      <c r="C1447" s="18">
        <f>IF(B1447="","",IFERROR(INDEX(Jugadores!$C$2:$C$501,MATCH(B1447,Jugadores!$A$2:$A$501,0)),"⚠ ID no existe"))</f>
        <v/>
      </c>
      <c r="D1447" s="19" t="n"/>
      <c r="E1447" s="19" t="n"/>
      <c r="F1447" s="16">
        <f>IF(OR(B1447="",D1447=""),"",IFERROR(INDEX('Tabla XP'!$B$2:$B$12,MATCH(D1447,'Tabla XP'!$A$2:$A$12,0))*IF(E1447="",1,E1447),0))</f>
        <v/>
      </c>
      <c r="G1447" s="19" t="n"/>
      <c r="H1447" s="19" t="n"/>
    </row>
    <row r="1448">
      <c r="A1448" s="22" t="n"/>
      <c r="B1448" s="19" t="n"/>
      <c r="C1448" s="18">
        <f>IF(B1448="","",IFERROR(INDEX(Jugadores!$C$2:$C$501,MATCH(B1448,Jugadores!$A$2:$A$501,0)),"⚠ ID no existe"))</f>
        <v/>
      </c>
      <c r="D1448" s="19" t="n"/>
      <c r="E1448" s="19" t="n"/>
      <c r="F1448" s="16">
        <f>IF(OR(B1448="",D1448=""),"",IFERROR(INDEX('Tabla XP'!$B$2:$B$12,MATCH(D1448,'Tabla XP'!$A$2:$A$12,0))*IF(E1448="",1,E1448),0))</f>
        <v/>
      </c>
      <c r="G1448" s="19" t="n"/>
      <c r="H1448" s="19" t="n"/>
    </row>
    <row r="1449">
      <c r="A1449" s="22" t="n"/>
      <c r="B1449" s="19" t="n"/>
      <c r="C1449" s="18">
        <f>IF(B1449="","",IFERROR(INDEX(Jugadores!$C$2:$C$501,MATCH(B1449,Jugadores!$A$2:$A$501,0)),"⚠ ID no existe"))</f>
        <v/>
      </c>
      <c r="D1449" s="19" t="n"/>
      <c r="E1449" s="19" t="n"/>
      <c r="F1449" s="16">
        <f>IF(OR(B1449="",D1449=""),"",IFERROR(INDEX('Tabla XP'!$B$2:$B$12,MATCH(D1449,'Tabla XP'!$A$2:$A$12,0))*IF(E1449="",1,E1449),0))</f>
        <v/>
      </c>
      <c r="G1449" s="19" t="n"/>
      <c r="H1449" s="19" t="n"/>
    </row>
    <row r="1450">
      <c r="A1450" s="22" t="n"/>
      <c r="B1450" s="19" t="n"/>
      <c r="C1450" s="18">
        <f>IF(B1450="","",IFERROR(INDEX(Jugadores!$C$2:$C$501,MATCH(B1450,Jugadores!$A$2:$A$501,0)),"⚠ ID no existe"))</f>
        <v/>
      </c>
      <c r="D1450" s="19" t="n"/>
      <c r="E1450" s="19" t="n"/>
      <c r="F1450" s="16">
        <f>IF(OR(B1450="",D1450=""),"",IFERROR(INDEX('Tabla XP'!$B$2:$B$12,MATCH(D1450,'Tabla XP'!$A$2:$A$12,0))*IF(E1450="",1,E1450),0))</f>
        <v/>
      </c>
      <c r="G1450" s="19" t="n"/>
      <c r="H1450" s="19" t="n"/>
    </row>
    <row r="1451">
      <c r="A1451" s="22" t="n"/>
      <c r="B1451" s="19" t="n"/>
      <c r="C1451" s="18">
        <f>IF(B1451="","",IFERROR(INDEX(Jugadores!$C$2:$C$501,MATCH(B1451,Jugadores!$A$2:$A$501,0)),"⚠ ID no existe"))</f>
        <v/>
      </c>
      <c r="D1451" s="19" t="n"/>
      <c r="E1451" s="19" t="n"/>
      <c r="F1451" s="16">
        <f>IF(OR(B1451="",D1451=""),"",IFERROR(INDEX('Tabla XP'!$B$2:$B$12,MATCH(D1451,'Tabla XP'!$A$2:$A$12,0))*IF(E1451="",1,E1451),0))</f>
        <v/>
      </c>
      <c r="G1451" s="19" t="n"/>
      <c r="H1451" s="19" t="n"/>
    </row>
    <row r="1452">
      <c r="A1452" s="22" t="n"/>
      <c r="B1452" s="19" t="n"/>
      <c r="C1452" s="18">
        <f>IF(B1452="","",IFERROR(INDEX(Jugadores!$C$2:$C$501,MATCH(B1452,Jugadores!$A$2:$A$501,0)),"⚠ ID no existe"))</f>
        <v/>
      </c>
      <c r="D1452" s="19" t="n"/>
      <c r="E1452" s="19" t="n"/>
      <c r="F1452" s="16">
        <f>IF(OR(B1452="",D1452=""),"",IFERROR(INDEX('Tabla XP'!$B$2:$B$12,MATCH(D1452,'Tabla XP'!$A$2:$A$12,0))*IF(E1452="",1,E1452),0))</f>
        <v/>
      </c>
      <c r="G1452" s="19" t="n"/>
      <c r="H1452" s="19" t="n"/>
    </row>
    <row r="1453">
      <c r="A1453" s="22" t="n"/>
      <c r="B1453" s="19" t="n"/>
      <c r="C1453" s="18">
        <f>IF(B1453="","",IFERROR(INDEX(Jugadores!$C$2:$C$501,MATCH(B1453,Jugadores!$A$2:$A$501,0)),"⚠ ID no existe"))</f>
        <v/>
      </c>
      <c r="D1453" s="19" t="n"/>
      <c r="E1453" s="19" t="n"/>
      <c r="F1453" s="16">
        <f>IF(OR(B1453="",D1453=""),"",IFERROR(INDEX('Tabla XP'!$B$2:$B$12,MATCH(D1453,'Tabla XP'!$A$2:$A$12,0))*IF(E1453="",1,E1453),0))</f>
        <v/>
      </c>
      <c r="G1453" s="19" t="n"/>
      <c r="H1453" s="19" t="n"/>
    </row>
    <row r="1454">
      <c r="A1454" s="22" t="n"/>
      <c r="B1454" s="19" t="n"/>
      <c r="C1454" s="18">
        <f>IF(B1454="","",IFERROR(INDEX(Jugadores!$C$2:$C$501,MATCH(B1454,Jugadores!$A$2:$A$501,0)),"⚠ ID no existe"))</f>
        <v/>
      </c>
      <c r="D1454" s="19" t="n"/>
      <c r="E1454" s="19" t="n"/>
      <c r="F1454" s="16">
        <f>IF(OR(B1454="",D1454=""),"",IFERROR(INDEX('Tabla XP'!$B$2:$B$12,MATCH(D1454,'Tabla XP'!$A$2:$A$12,0))*IF(E1454="",1,E1454),0))</f>
        <v/>
      </c>
      <c r="G1454" s="19" t="n"/>
      <c r="H1454" s="19" t="n"/>
    </row>
    <row r="1455">
      <c r="A1455" s="22" t="n"/>
      <c r="B1455" s="19" t="n"/>
      <c r="C1455" s="18">
        <f>IF(B1455="","",IFERROR(INDEX(Jugadores!$C$2:$C$501,MATCH(B1455,Jugadores!$A$2:$A$501,0)),"⚠ ID no existe"))</f>
        <v/>
      </c>
      <c r="D1455" s="19" t="n"/>
      <c r="E1455" s="19" t="n"/>
      <c r="F1455" s="16">
        <f>IF(OR(B1455="",D1455=""),"",IFERROR(INDEX('Tabla XP'!$B$2:$B$12,MATCH(D1455,'Tabla XP'!$A$2:$A$12,0))*IF(E1455="",1,E1455),0))</f>
        <v/>
      </c>
      <c r="G1455" s="19" t="n"/>
      <c r="H1455" s="19" t="n"/>
    </row>
    <row r="1456">
      <c r="A1456" s="22" t="n"/>
      <c r="B1456" s="19" t="n"/>
      <c r="C1456" s="18">
        <f>IF(B1456="","",IFERROR(INDEX(Jugadores!$C$2:$C$501,MATCH(B1456,Jugadores!$A$2:$A$501,0)),"⚠ ID no existe"))</f>
        <v/>
      </c>
      <c r="D1456" s="19" t="n"/>
      <c r="E1456" s="19" t="n"/>
      <c r="F1456" s="16">
        <f>IF(OR(B1456="",D1456=""),"",IFERROR(INDEX('Tabla XP'!$B$2:$B$12,MATCH(D1456,'Tabla XP'!$A$2:$A$12,0))*IF(E1456="",1,E1456),0))</f>
        <v/>
      </c>
      <c r="G1456" s="19" t="n"/>
      <c r="H1456" s="19" t="n"/>
    </row>
    <row r="1457">
      <c r="A1457" s="22" t="n"/>
      <c r="B1457" s="19" t="n"/>
      <c r="C1457" s="18">
        <f>IF(B1457="","",IFERROR(INDEX(Jugadores!$C$2:$C$501,MATCH(B1457,Jugadores!$A$2:$A$501,0)),"⚠ ID no existe"))</f>
        <v/>
      </c>
      <c r="D1457" s="19" t="n"/>
      <c r="E1457" s="19" t="n"/>
      <c r="F1457" s="16">
        <f>IF(OR(B1457="",D1457=""),"",IFERROR(INDEX('Tabla XP'!$B$2:$B$12,MATCH(D1457,'Tabla XP'!$A$2:$A$12,0))*IF(E1457="",1,E1457),0))</f>
        <v/>
      </c>
      <c r="G1457" s="19" t="n"/>
      <c r="H1457" s="19" t="n"/>
    </row>
    <row r="1458">
      <c r="A1458" s="22" t="n"/>
      <c r="B1458" s="19" t="n"/>
      <c r="C1458" s="18">
        <f>IF(B1458="","",IFERROR(INDEX(Jugadores!$C$2:$C$501,MATCH(B1458,Jugadores!$A$2:$A$501,0)),"⚠ ID no existe"))</f>
        <v/>
      </c>
      <c r="D1458" s="19" t="n"/>
      <c r="E1458" s="19" t="n"/>
      <c r="F1458" s="16">
        <f>IF(OR(B1458="",D1458=""),"",IFERROR(INDEX('Tabla XP'!$B$2:$B$12,MATCH(D1458,'Tabla XP'!$A$2:$A$12,0))*IF(E1458="",1,E1458),0))</f>
        <v/>
      </c>
      <c r="G1458" s="19" t="n"/>
      <c r="H1458" s="19" t="n"/>
    </row>
    <row r="1459">
      <c r="A1459" s="22" t="n"/>
      <c r="B1459" s="19" t="n"/>
      <c r="C1459" s="18">
        <f>IF(B1459="","",IFERROR(INDEX(Jugadores!$C$2:$C$501,MATCH(B1459,Jugadores!$A$2:$A$501,0)),"⚠ ID no existe"))</f>
        <v/>
      </c>
      <c r="D1459" s="19" t="n"/>
      <c r="E1459" s="19" t="n"/>
      <c r="F1459" s="16">
        <f>IF(OR(B1459="",D1459=""),"",IFERROR(INDEX('Tabla XP'!$B$2:$B$12,MATCH(D1459,'Tabla XP'!$A$2:$A$12,0))*IF(E1459="",1,E1459),0))</f>
        <v/>
      </c>
      <c r="G1459" s="19" t="n"/>
      <c r="H1459" s="19" t="n"/>
    </row>
    <row r="1460">
      <c r="A1460" s="22" t="n"/>
      <c r="B1460" s="19" t="n"/>
      <c r="C1460" s="18">
        <f>IF(B1460="","",IFERROR(INDEX(Jugadores!$C$2:$C$501,MATCH(B1460,Jugadores!$A$2:$A$501,0)),"⚠ ID no existe"))</f>
        <v/>
      </c>
      <c r="D1460" s="19" t="n"/>
      <c r="E1460" s="19" t="n"/>
      <c r="F1460" s="16">
        <f>IF(OR(B1460="",D1460=""),"",IFERROR(INDEX('Tabla XP'!$B$2:$B$12,MATCH(D1460,'Tabla XP'!$A$2:$A$12,0))*IF(E1460="",1,E1460),0))</f>
        <v/>
      </c>
      <c r="G1460" s="19" t="n"/>
      <c r="H1460" s="19" t="n"/>
    </row>
    <row r="1461">
      <c r="A1461" s="22" t="n"/>
      <c r="B1461" s="19" t="n"/>
      <c r="C1461" s="18">
        <f>IF(B1461="","",IFERROR(INDEX(Jugadores!$C$2:$C$501,MATCH(B1461,Jugadores!$A$2:$A$501,0)),"⚠ ID no existe"))</f>
        <v/>
      </c>
      <c r="D1461" s="19" t="n"/>
      <c r="E1461" s="19" t="n"/>
      <c r="F1461" s="16">
        <f>IF(OR(B1461="",D1461=""),"",IFERROR(INDEX('Tabla XP'!$B$2:$B$12,MATCH(D1461,'Tabla XP'!$A$2:$A$12,0))*IF(E1461="",1,E1461),0))</f>
        <v/>
      </c>
      <c r="G1461" s="19" t="n"/>
      <c r="H1461" s="19" t="n"/>
    </row>
    <row r="1462">
      <c r="A1462" s="22" t="n"/>
      <c r="B1462" s="19" t="n"/>
      <c r="C1462" s="18">
        <f>IF(B1462="","",IFERROR(INDEX(Jugadores!$C$2:$C$501,MATCH(B1462,Jugadores!$A$2:$A$501,0)),"⚠ ID no existe"))</f>
        <v/>
      </c>
      <c r="D1462" s="19" t="n"/>
      <c r="E1462" s="19" t="n"/>
      <c r="F1462" s="16">
        <f>IF(OR(B1462="",D1462=""),"",IFERROR(INDEX('Tabla XP'!$B$2:$B$12,MATCH(D1462,'Tabla XP'!$A$2:$A$12,0))*IF(E1462="",1,E1462),0))</f>
        <v/>
      </c>
      <c r="G1462" s="19" t="n"/>
      <c r="H1462" s="19" t="n"/>
    </row>
    <row r="1463">
      <c r="A1463" s="22" t="n"/>
      <c r="B1463" s="19" t="n"/>
      <c r="C1463" s="18">
        <f>IF(B1463="","",IFERROR(INDEX(Jugadores!$C$2:$C$501,MATCH(B1463,Jugadores!$A$2:$A$501,0)),"⚠ ID no existe"))</f>
        <v/>
      </c>
      <c r="D1463" s="19" t="n"/>
      <c r="E1463" s="19" t="n"/>
      <c r="F1463" s="16">
        <f>IF(OR(B1463="",D1463=""),"",IFERROR(INDEX('Tabla XP'!$B$2:$B$12,MATCH(D1463,'Tabla XP'!$A$2:$A$12,0))*IF(E1463="",1,E1463),0))</f>
        <v/>
      </c>
      <c r="G1463" s="19" t="n"/>
      <c r="H1463" s="19" t="n"/>
    </row>
    <row r="1464">
      <c r="A1464" s="22" t="n"/>
      <c r="B1464" s="19" t="n"/>
      <c r="C1464" s="18">
        <f>IF(B1464="","",IFERROR(INDEX(Jugadores!$C$2:$C$501,MATCH(B1464,Jugadores!$A$2:$A$501,0)),"⚠ ID no existe"))</f>
        <v/>
      </c>
      <c r="D1464" s="19" t="n"/>
      <c r="E1464" s="19" t="n"/>
      <c r="F1464" s="16">
        <f>IF(OR(B1464="",D1464=""),"",IFERROR(INDEX('Tabla XP'!$B$2:$B$12,MATCH(D1464,'Tabla XP'!$A$2:$A$12,0))*IF(E1464="",1,E1464),0))</f>
        <v/>
      </c>
      <c r="G1464" s="19" t="n"/>
      <c r="H1464" s="19" t="n"/>
    </row>
    <row r="1465">
      <c r="A1465" s="22" t="n"/>
      <c r="B1465" s="19" t="n"/>
      <c r="C1465" s="18">
        <f>IF(B1465="","",IFERROR(INDEX(Jugadores!$C$2:$C$501,MATCH(B1465,Jugadores!$A$2:$A$501,0)),"⚠ ID no existe"))</f>
        <v/>
      </c>
      <c r="D1465" s="19" t="n"/>
      <c r="E1465" s="19" t="n"/>
      <c r="F1465" s="16">
        <f>IF(OR(B1465="",D1465=""),"",IFERROR(INDEX('Tabla XP'!$B$2:$B$12,MATCH(D1465,'Tabla XP'!$A$2:$A$12,0))*IF(E1465="",1,E1465),0))</f>
        <v/>
      </c>
      <c r="G1465" s="19" t="n"/>
      <c r="H1465" s="19" t="n"/>
    </row>
    <row r="1466">
      <c r="A1466" s="22" t="n"/>
      <c r="B1466" s="19" t="n"/>
      <c r="C1466" s="18">
        <f>IF(B1466="","",IFERROR(INDEX(Jugadores!$C$2:$C$501,MATCH(B1466,Jugadores!$A$2:$A$501,0)),"⚠ ID no existe"))</f>
        <v/>
      </c>
      <c r="D1466" s="19" t="n"/>
      <c r="E1466" s="19" t="n"/>
      <c r="F1466" s="16">
        <f>IF(OR(B1466="",D1466=""),"",IFERROR(INDEX('Tabla XP'!$B$2:$B$12,MATCH(D1466,'Tabla XP'!$A$2:$A$12,0))*IF(E1466="",1,E1466),0))</f>
        <v/>
      </c>
      <c r="G1466" s="19" t="n"/>
      <c r="H1466" s="19" t="n"/>
    </row>
    <row r="1467">
      <c r="A1467" s="22" t="n"/>
      <c r="B1467" s="19" t="n"/>
      <c r="C1467" s="18">
        <f>IF(B1467="","",IFERROR(INDEX(Jugadores!$C$2:$C$501,MATCH(B1467,Jugadores!$A$2:$A$501,0)),"⚠ ID no existe"))</f>
        <v/>
      </c>
      <c r="D1467" s="19" t="n"/>
      <c r="E1467" s="19" t="n"/>
      <c r="F1467" s="16">
        <f>IF(OR(B1467="",D1467=""),"",IFERROR(INDEX('Tabla XP'!$B$2:$B$12,MATCH(D1467,'Tabla XP'!$A$2:$A$12,0))*IF(E1467="",1,E1467),0))</f>
        <v/>
      </c>
      <c r="G1467" s="19" t="n"/>
      <c r="H1467" s="19" t="n"/>
    </row>
    <row r="1468">
      <c r="A1468" s="22" t="n"/>
      <c r="B1468" s="19" t="n"/>
      <c r="C1468" s="18">
        <f>IF(B1468="","",IFERROR(INDEX(Jugadores!$C$2:$C$501,MATCH(B1468,Jugadores!$A$2:$A$501,0)),"⚠ ID no existe"))</f>
        <v/>
      </c>
      <c r="D1468" s="19" t="n"/>
      <c r="E1468" s="19" t="n"/>
      <c r="F1468" s="16">
        <f>IF(OR(B1468="",D1468=""),"",IFERROR(INDEX('Tabla XP'!$B$2:$B$12,MATCH(D1468,'Tabla XP'!$A$2:$A$12,0))*IF(E1468="",1,E1468),0))</f>
        <v/>
      </c>
      <c r="G1468" s="19" t="n"/>
      <c r="H1468" s="19" t="n"/>
    </row>
    <row r="1469">
      <c r="A1469" s="22" t="n"/>
      <c r="B1469" s="19" t="n"/>
      <c r="C1469" s="18">
        <f>IF(B1469="","",IFERROR(INDEX(Jugadores!$C$2:$C$501,MATCH(B1469,Jugadores!$A$2:$A$501,0)),"⚠ ID no existe"))</f>
        <v/>
      </c>
      <c r="D1469" s="19" t="n"/>
      <c r="E1469" s="19" t="n"/>
      <c r="F1469" s="16">
        <f>IF(OR(B1469="",D1469=""),"",IFERROR(INDEX('Tabla XP'!$B$2:$B$12,MATCH(D1469,'Tabla XP'!$A$2:$A$12,0))*IF(E1469="",1,E1469),0))</f>
        <v/>
      </c>
      <c r="G1469" s="19" t="n"/>
      <c r="H1469" s="19" t="n"/>
    </row>
    <row r="1470">
      <c r="A1470" s="22" t="n"/>
      <c r="B1470" s="19" t="n"/>
      <c r="C1470" s="18">
        <f>IF(B1470="","",IFERROR(INDEX(Jugadores!$C$2:$C$501,MATCH(B1470,Jugadores!$A$2:$A$501,0)),"⚠ ID no existe"))</f>
        <v/>
      </c>
      <c r="D1470" s="19" t="n"/>
      <c r="E1470" s="19" t="n"/>
      <c r="F1470" s="16">
        <f>IF(OR(B1470="",D1470=""),"",IFERROR(INDEX('Tabla XP'!$B$2:$B$12,MATCH(D1470,'Tabla XP'!$A$2:$A$12,0))*IF(E1470="",1,E1470),0))</f>
        <v/>
      </c>
      <c r="G1470" s="19" t="n"/>
      <c r="H1470" s="19" t="n"/>
    </row>
    <row r="1471">
      <c r="A1471" s="22" t="n"/>
      <c r="B1471" s="19" t="n"/>
      <c r="C1471" s="18">
        <f>IF(B1471="","",IFERROR(INDEX(Jugadores!$C$2:$C$501,MATCH(B1471,Jugadores!$A$2:$A$501,0)),"⚠ ID no existe"))</f>
        <v/>
      </c>
      <c r="D1471" s="19" t="n"/>
      <c r="E1471" s="19" t="n"/>
      <c r="F1471" s="16">
        <f>IF(OR(B1471="",D1471=""),"",IFERROR(INDEX('Tabla XP'!$B$2:$B$12,MATCH(D1471,'Tabla XP'!$A$2:$A$12,0))*IF(E1471="",1,E1471),0))</f>
        <v/>
      </c>
      <c r="G1471" s="19" t="n"/>
      <c r="H1471" s="19" t="n"/>
    </row>
    <row r="1472">
      <c r="A1472" s="22" t="n"/>
      <c r="B1472" s="19" t="n"/>
      <c r="C1472" s="18">
        <f>IF(B1472="","",IFERROR(INDEX(Jugadores!$C$2:$C$501,MATCH(B1472,Jugadores!$A$2:$A$501,0)),"⚠ ID no existe"))</f>
        <v/>
      </c>
      <c r="D1472" s="19" t="n"/>
      <c r="E1472" s="19" t="n"/>
      <c r="F1472" s="16">
        <f>IF(OR(B1472="",D1472=""),"",IFERROR(INDEX('Tabla XP'!$B$2:$B$12,MATCH(D1472,'Tabla XP'!$A$2:$A$12,0))*IF(E1472="",1,E1472),0))</f>
        <v/>
      </c>
      <c r="G1472" s="19" t="n"/>
      <c r="H1472" s="19" t="n"/>
    </row>
    <row r="1473">
      <c r="A1473" s="22" t="n"/>
      <c r="B1473" s="19" t="n"/>
      <c r="C1473" s="18">
        <f>IF(B1473="","",IFERROR(INDEX(Jugadores!$C$2:$C$501,MATCH(B1473,Jugadores!$A$2:$A$501,0)),"⚠ ID no existe"))</f>
        <v/>
      </c>
      <c r="D1473" s="19" t="n"/>
      <c r="E1473" s="19" t="n"/>
      <c r="F1473" s="16">
        <f>IF(OR(B1473="",D1473=""),"",IFERROR(INDEX('Tabla XP'!$B$2:$B$12,MATCH(D1473,'Tabla XP'!$A$2:$A$12,0))*IF(E1473="",1,E1473),0))</f>
        <v/>
      </c>
      <c r="G1473" s="19" t="n"/>
      <c r="H1473" s="19" t="n"/>
    </row>
    <row r="1474">
      <c r="A1474" s="22" t="n"/>
      <c r="B1474" s="19" t="n"/>
      <c r="C1474" s="18">
        <f>IF(B1474="","",IFERROR(INDEX(Jugadores!$C$2:$C$501,MATCH(B1474,Jugadores!$A$2:$A$501,0)),"⚠ ID no existe"))</f>
        <v/>
      </c>
      <c r="D1474" s="19" t="n"/>
      <c r="E1474" s="19" t="n"/>
      <c r="F1474" s="16">
        <f>IF(OR(B1474="",D1474=""),"",IFERROR(INDEX('Tabla XP'!$B$2:$B$12,MATCH(D1474,'Tabla XP'!$A$2:$A$12,0))*IF(E1474="",1,E1474),0))</f>
        <v/>
      </c>
      <c r="G1474" s="19" t="n"/>
      <c r="H1474" s="19" t="n"/>
    </row>
    <row r="1475">
      <c r="A1475" s="22" t="n"/>
      <c r="B1475" s="19" t="n"/>
      <c r="C1475" s="18">
        <f>IF(B1475="","",IFERROR(INDEX(Jugadores!$C$2:$C$501,MATCH(B1475,Jugadores!$A$2:$A$501,0)),"⚠ ID no existe"))</f>
        <v/>
      </c>
      <c r="D1475" s="19" t="n"/>
      <c r="E1475" s="19" t="n"/>
      <c r="F1475" s="16">
        <f>IF(OR(B1475="",D1475=""),"",IFERROR(INDEX('Tabla XP'!$B$2:$B$12,MATCH(D1475,'Tabla XP'!$A$2:$A$12,0))*IF(E1475="",1,E1475),0))</f>
        <v/>
      </c>
      <c r="G1475" s="19" t="n"/>
      <c r="H1475" s="19" t="n"/>
    </row>
    <row r="1476">
      <c r="A1476" s="22" t="n"/>
      <c r="B1476" s="19" t="n"/>
      <c r="C1476" s="18">
        <f>IF(B1476="","",IFERROR(INDEX(Jugadores!$C$2:$C$501,MATCH(B1476,Jugadores!$A$2:$A$501,0)),"⚠ ID no existe"))</f>
        <v/>
      </c>
      <c r="D1476" s="19" t="n"/>
      <c r="E1476" s="19" t="n"/>
      <c r="F1476" s="16">
        <f>IF(OR(B1476="",D1476=""),"",IFERROR(INDEX('Tabla XP'!$B$2:$B$12,MATCH(D1476,'Tabla XP'!$A$2:$A$12,0))*IF(E1476="",1,E1476),0))</f>
        <v/>
      </c>
      <c r="G1476" s="19" t="n"/>
      <c r="H1476" s="19" t="n"/>
    </row>
    <row r="1477">
      <c r="A1477" s="22" t="n"/>
      <c r="B1477" s="19" t="n"/>
      <c r="C1477" s="18">
        <f>IF(B1477="","",IFERROR(INDEX(Jugadores!$C$2:$C$501,MATCH(B1477,Jugadores!$A$2:$A$501,0)),"⚠ ID no existe"))</f>
        <v/>
      </c>
      <c r="D1477" s="19" t="n"/>
      <c r="E1477" s="19" t="n"/>
      <c r="F1477" s="16">
        <f>IF(OR(B1477="",D1477=""),"",IFERROR(INDEX('Tabla XP'!$B$2:$B$12,MATCH(D1477,'Tabla XP'!$A$2:$A$12,0))*IF(E1477="",1,E1477),0))</f>
        <v/>
      </c>
      <c r="G1477" s="19" t="n"/>
      <c r="H1477" s="19" t="n"/>
    </row>
    <row r="1478">
      <c r="A1478" s="22" t="n"/>
      <c r="B1478" s="19" t="n"/>
      <c r="C1478" s="18">
        <f>IF(B1478="","",IFERROR(INDEX(Jugadores!$C$2:$C$501,MATCH(B1478,Jugadores!$A$2:$A$501,0)),"⚠ ID no existe"))</f>
        <v/>
      </c>
      <c r="D1478" s="19" t="n"/>
      <c r="E1478" s="19" t="n"/>
      <c r="F1478" s="16">
        <f>IF(OR(B1478="",D1478=""),"",IFERROR(INDEX('Tabla XP'!$B$2:$B$12,MATCH(D1478,'Tabla XP'!$A$2:$A$12,0))*IF(E1478="",1,E1478),0))</f>
        <v/>
      </c>
      <c r="G1478" s="19" t="n"/>
      <c r="H1478" s="19" t="n"/>
    </row>
    <row r="1479">
      <c r="A1479" s="22" t="n"/>
      <c r="B1479" s="19" t="n"/>
      <c r="C1479" s="18">
        <f>IF(B1479="","",IFERROR(INDEX(Jugadores!$C$2:$C$501,MATCH(B1479,Jugadores!$A$2:$A$501,0)),"⚠ ID no existe"))</f>
        <v/>
      </c>
      <c r="D1479" s="19" t="n"/>
      <c r="E1479" s="19" t="n"/>
      <c r="F1479" s="16">
        <f>IF(OR(B1479="",D1479=""),"",IFERROR(INDEX('Tabla XP'!$B$2:$B$12,MATCH(D1479,'Tabla XP'!$A$2:$A$12,0))*IF(E1479="",1,E1479),0))</f>
        <v/>
      </c>
      <c r="G1479" s="19" t="n"/>
      <c r="H1479" s="19" t="n"/>
    </row>
    <row r="1480">
      <c r="A1480" s="22" t="n"/>
      <c r="B1480" s="19" t="n"/>
      <c r="C1480" s="18">
        <f>IF(B1480="","",IFERROR(INDEX(Jugadores!$C$2:$C$501,MATCH(B1480,Jugadores!$A$2:$A$501,0)),"⚠ ID no existe"))</f>
        <v/>
      </c>
      <c r="D1480" s="19" t="n"/>
      <c r="E1480" s="19" t="n"/>
      <c r="F1480" s="16">
        <f>IF(OR(B1480="",D1480=""),"",IFERROR(INDEX('Tabla XP'!$B$2:$B$12,MATCH(D1480,'Tabla XP'!$A$2:$A$12,0))*IF(E1480="",1,E1480),0))</f>
        <v/>
      </c>
      <c r="G1480" s="19" t="n"/>
      <c r="H1480" s="19" t="n"/>
    </row>
    <row r="1481">
      <c r="A1481" s="22" t="n"/>
      <c r="B1481" s="19" t="n"/>
      <c r="C1481" s="18">
        <f>IF(B1481="","",IFERROR(INDEX(Jugadores!$C$2:$C$501,MATCH(B1481,Jugadores!$A$2:$A$501,0)),"⚠ ID no existe"))</f>
        <v/>
      </c>
      <c r="D1481" s="19" t="n"/>
      <c r="E1481" s="19" t="n"/>
      <c r="F1481" s="16">
        <f>IF(OR(B1481="",D1481=""),"",IFERROR(INDEX('Tabla XP'!$B$2:$B$12,MATCH(D1481,'Tabla XP'!$A$2:$A$12,0))*IF(E1481="",1,E1481),0))</f>
        <v/>
      </c>
      <c r="G1481" s="19" t="n"/>
      <c r="H1481" s="19" t="n"/>
    </row>
    <row r="1482">
      <c r="A1482" s="22" t="n"/>
      <c r="B1482" s="19" t="n"/>
      <c r="C1482" s="18">
        <f>IF(B1482="","",IFERROR(INDEX(Jugadores!$C$2:$C$501,MATCH(B1482,Jugadores!$A$2:$A$501,0)),"⚠ ID no existe"))</f>
        <v/>
      </c>
      <c r="D1482" s="19" t="n"/>
      <c r="E1482" s="19" t="n"/>
      <c r="F1482" s="16">
        <f>IF(OR(B1482="",D1482=""),"",IFERROR(INDEX('Tabla XP'!$B$2:$B$12,MATCH(D1482,'Tabla XP'!$A$2:$A$12,0))*IF(E1482="",1,E1482),0))</f>
        <v/>
      </c>
      <c r="G1482" s="19" t="n"/>
      <c r="H1482" s="19" t="n"/>
    </row>
    <row r="1483">
      <c r="A1483" s="22" t="n"/>
      <c r="B1483" s="19" t="n"/>
      <c r="C1483" s="18">
        <f>IF(B1483="","",IFERROR(INDEX(Jugadores!$C$2:$C$501,MATCH(B1483,Jugadores!$A$2:$A$501,0)),"⚠ ID no existe"))</f>
        <v/>
      </c>
      <c r="D1483" s="19" t="n"/>
      <c r="E1483" s="19" t="n"/>
      <c r="F1483" s="16">
        <f>IF(OR(B1483="",D1483=""),"",IFERROR(INDEX('Tabla XP'!$B$2:$B$12,MATCH(D1483,'Tabla XP'!$A$2:$A$12,0))*IF(E1483="",1,E1483),0))</f>
        <v/>
      </c>
      <c r="G1483" s="19" t="n"/>
      <c r="H1483" s="19" t="n"/>
    </row>
    <row r="1484">
      <c r="A1484" s="22" t="n"/>
      <c r="B1484" s="19" t="n"/>
      <c r="C1484" s="18">
        <f>IF(B1484="","",IFERROR(INDEX(Jugadores!$C$2:$C$501,MATCH(B1484,Jugadores!$A$2:$A$501,0)),"⚠ ID no existe"))</f>
        <v/>
      </c>
      <c r="D1484" s="19" t="n"/>
      <c r="E1484" s="19" t="n"/>
      <c r="F1484" s="16">
        <f>IF(OR(B1484="",D1484=""),"",IFERROR(INDEX('Tabla XP'!$B$2:$B$12,MATCH(D1484,'Tabla XP'!$A$2:$A$12,0))*IF(E1484="",1,E1484),0))</f>
        <v/>
      </c>
      <c r="G1484" s="19" t="n"/>
      <c r="H1484" s="19" t="n"/>
    </row>
    <row r="1485">
      <c r="A1485" s="22" t="n"/>
      <c r="B1485" s="19" t="n"/>
      <c r="C1485" s="18">
        <f>IF(B1485="","",IFERROR(INDEX(Jugadores!$C$2:$C$501,MATCH(B1485,Jugadores!$A$2:$A$501,0)),"⚠ ID no existe"))</f>
        <v/>
      </c>
      <c r="D1485" s="19" t="n"/>
      <c r="E1485" s="19" t="n"/>
      <c r="F1485" s="16">
        <f>IF(OR(B1485="",D1485=""),"",IFERROR(INDEX('Tabla XP'!$B$2:$B$12,MATCH(D1485,'Tabla XP'!$A$2:$A$12,0))*IF(E1485="",1,E1485),0))</f>
        <v/>
      </c>
      <c r="G1485" s="19" t="n"/>
      <c r="H1485" s="19" t="n"/>
    </row>
    <row r="1486">
      <c r="A1486" s="22" t="n"/>
      <c r="B1486" s="19" t="n"/>
      <c r="C1486" s="18">
        <f>IF(B1486="","",IFERROR(INDEX(Jugadores!$C$2:$C$501,MATCH(B1486,Jugadores!$A$2:$A$501,0)),"⚠ ID no existe"))</f>
        <v/>
      </c>
      <c r="D1486" s="19" t="n"/>
      <c r="E1486" s="19" t="n"/>
      <c r="F1486" s="16">
        <f>IF(OR(B1486="",D1486=""),"",IFERROR(INDEX('Tabla XP'!$B$2:$B$12,MATCH(D1486,'Tabla XP'!$A$2:$A$12,0))*IF(E1486="",1,E1486),0))</f>
        <v/>
      </c>
      <c r="G1486" s="19" t="n"/>
      <c r="H1486" s="19" t="n"/>
    </row>
    <row r="1487">
      <c r="A1487" s="22" t="n"/>
      <c r="B1487" s="19" t="n"/>
      <c r="C1487" s="18">
        <f>IF(B1487="","",IFERROR(INDEX(Jugadores!$C$2:$C$501,MATCH(B1487,Jugadores!$A$2:$A$501,0)),"⚠ ID no existe"))</f>
        <v/>
      </c>
      <c r="D1487" s="19" t="n"/>
      <c r="E1487" s="19" t="n"/>
      <c r="F1487" s="16">
        <f>IF(OR(B1487="",D1487=""),"",IFERROR(INDEX('Tabla XP'!$B$2:$B$12,MATCH(D1487,'Tabla XP'!$A$2:$A$12,0))*IF(E1487="",1,E1487),0))</f>
        <v/>
      </c>
      <c r="G1487" s="19" t="n"/>
      <c r="H1487" s="19" t="n"/>
    </row>
    <row r="1488">
      <c r="A1488" s="22" t="n"/>
      <c r="B1488" s="19" t="n"/>
      <c r="C1488" s="18">
        <f>IF(B1488="","",IFERROR(INDEX(Jugadores!$C$2:$C$501,MATCH(B1488,Jugadores!$A$2:$A$501,0)),"⚠ ID no existe"))</f>
        <v/>
      </c>
      <c r="D1488" s="19" t="n"/>
      <c r="E1488" s="19" t="n"/>
      <c r="F1488" s="16">
        <f>IF(OR(B1488="",D1488=""),"",IFERROR(INDEX('Tabla XP'!$B$2:$B$12,MATCH(D1488,'Tabla XP'!$A$2:$A$12,0))*IF(E1488="",1,E1488),0))</f>
        <v/>
      </c>
      <c r="G1488" s="19" t="n"/>
      <c r="H1488" s="19" t="n"/>
    </row>
    <row r="1489">
      <c r="A1489" s="22" t="n"/>
      <c r="B1489" s="19" t="n"/>
      <c r="C1489" s="18">
        <f>IF(B1489="","",IFERROR(INDEX(Jugadores!$C$2:$C$501,MATCH(B1489,Jugadores!$A$2:$A$501,0)),"⚠ ID no existe"))</f>
        <v/>
      </c>
      <c r="D1489" s="19" t="n"/>
      <c r="E1489" s="19" t="n"/>
      <c r="F1489" s="16">
        <f>IF(OR(B1489="",D1489=""),"",IFERROR(INDEX('Tabla XP'!$B$2:$B$12,MATCH(D1489,'Tabla XP'!$A$2:$A$12,0))*IF(E1489="",1,E1489),0))</f>
        <v/>
      </c>
      <c r="G1489" s="19" t="n"/>
      <c r="H1489" s="19" t="n"/>
    </row>
    <row r="1490">
      <c r="A1490" s="22" t="n"/>
      <c r="B1490" s="19" t="n"/>
      <c r="C1490" s="18">
        <f>IF(B1490="","",IFERROR(INDEX(Jugadores!$C$2:$C$501,MATCH(B1490,Jugadores!$A$2:$A$501,0)),"⚠ ID no existe"))</f>
        <v/>
      </c>
      <c r="D1490" s="19" t="n"/>
      <c r="E1490" s="19" t="n"/>
      <c r="F1490" s="16">
        <f>IF(OR(B1490="",D1490=""),"",IFERROR(INDEX('Tabla XP'!$B$2:$B$12,MATCH(D1490,'Tabla XP'!$A$2:$A$12,0))*IF(E1490="",1,E1490),0))</f>
        <v/>
      </c>
      <c r="G1490" s="19" t="n"/>
      <c r="H1490" s="19" t="n"/>
    </row>
    <row r="1491">
      <c r="A1491" s="22" t="n"/>
      <c r="B1491" s="19" t="n"/>
      <c r="C1491" s="18">
        <f>IF(B1491="","",IFERROR(INDEX(Jugadores!$C$2:$C$501,MATCH(B1491,Jugadores!$A$2:$A$501,0)),"⚠ ID no existe"))</f>
        <v/>
      </c>
      <c r="D1491" s="19" t="n"/>
      <c r="E1491" s="19" t="n"/>
      <c r="F1491" s="16">
        <f>IF(OR(B1491="",D1491=""),"",IFERROR(INDEX('Tabla XP'!$B$2:$B$12,MATCH(D1491,'Tabla XP'!$A$2:$A$12,0))*IF(E1491="",1,E1491),0))</f>
        <v/>
      </c>
      <c r="G1491" s="19" t="n"/>
      <c r="H1491" s="19" t="n"/>
    </row>
    <row r="1492">
      <c r="A1492" s="22" t="n"/>
      <c r="B1492" s="19" t="n"/>
      <c r="C1492" s="18">
        <f>IF(B1492="","",IFERROR(INDEX(Jugadores!$C$2:$C$501,MATCH(B1492,Jugadores!$A$2:$A$501,0)),"⚠ ID no existe"))</f>
        <v/>
      </c>
      <c r="D1492" s="19" t="n"/>
      <c r="E1492" s="19" t="n"/>
      <c r="F1492" s="16">
        <f>IF(OR(B1492="",D1492=""),"",IFERROR(INDEX('Tabla XP'!$B$2:$B$12,MATCH(D1492,'Tabla XP'!$A$2:$A$12,0))*IF(E1492="",1,E1492),0))</f>
        <v/>
      </c>
      <c r="G1492" s="19" t="n"/>
      <c r="H1492" s="19" t="n"/>
    </row>
    <row r="1493">
      <c r="A1493" s="22" t="n"/>
      <c r="B1493" s="19" t="n"/>
      <c r="C1493" s="18">
        <f>IF(B1493="","",IFERROR(INDEX(Jugadores!$C$2:$C$501,MATCH(B1493,Jugadores!$A$2:$A$501,0)),"⚠ ID no existe"))</f>
        <v/>
      </c>
      <c r="D1493" s="19" t="n"/>
      <c r="E1493" s="19" t="n"/>
      <c r="F1493" s="16">
        <f>IF(OR(B1493="",D1493=""),"",IFERROR(INDEX('Tabla XP'!$B$2:$B$12,MATCH(D1493,'Tabla XP'!$A$2:$A$12,0))*IF(E1493="",1,E1493),0))</f>
        <v/>
      </c>
      <c r="G1493" s="19" t="n"/>
      <c r="H1493" s="19" t="n"/>
    </row>
    <row r="1494">
      <c r="A1494" s="22" t="n"/>
      <c r="B1494" s="19" t="n"/>
      <c r="C1494" s="18">
        <f>IF(B1494="","",IFERROR(INDEX(Jugadores!$C$2:$C$501,MATCH(B1494,Jugadores!$A$2:$A$501,0)),"⚠ ID no existe"))</f>
        <v/>
      </c>
      <c r="D1494" s="19" t="n"/>
      <c r="E1494" s="19" t="n"/>
      <c r="F1494" s="16">
        <f>IF(OR(B1494="",D1494=""),"",IFERROR(INDEX('Tabla XP'!$B$2:$B$12,MATCH(D1494,'Tabla XP'!$A$2:$A$12,0))*IF(E1494="",1,E1494),0))</f>
        <v/>
      </c>
      <c r="G1494" s="19" t="n"/>
      <c r="H1494" s="19" t="n"/>
    </row>
    <row r="1495">
      <c r="A1495" s="22" t="n"/>
      <c r="B1495" s="19" t="n"/>
      <c r="C1495" s="18">
        <f>IF(B1495="","",IFERROR(INDEX(Jugadores!$C$2:$C$501,MATCH(B1495,Jugadores!$A$2:$A$501,0)),"⚠ ID no existe"))</f>
        <v/>
      </c>
      <c r="D1495" s="19" t="n"/>
      <c r="E1495" s="19" t="n"/>
      <c r="F1495" s="16">
        <f>IF(OR(B1495="",D1495=""),"",IFERROR(INDEX('Tabla XP'!$B$2:$B$12,MATCH(D1495,'Tabla XP'!$A$2:$A$12,0))*IF(E1495="",1,E1495),0))</f>
        <v/>
      </c>
      <c r="G1495" s="19" t="n"/>
      <c r="H1495" s="19" t="n"/>
    </row>
    <row r="1496">
      <c r="A1496" s="22" t="n"/>
      <c r="B1496" s="19" t="n"/>
      <c r="C1496" s="18">
        <f>IF(B1496="","",IFERROR(INDEX(Jugadores!$C$2:$C$501,MATCH(B1496,Jugadores!$A$2:$A$501,0)),"⚠ ID no existe"))</f>
        <v/>
      </c>
      <c r="D1496" s="19" t="n"/>
      <c r="E1496" s="19" t="n"/>
      <c r="F1496" s="16">
        <f>IF(OR(B1496="",D1496=""),"",IFERROR(INDEX('Tabla XP'!$B$2:$B$12,MATCH(D1496,'Tabla XP'!$A$2:$A$12,0))*IF(E1496="",1,E1496),0))</f>
        <v/>
      </c>
      <c r="G1496" s="19" t="n"/>
      <c r="H1496" s="19" t="n"/>
    </row>
    <row r="1497">
      <c r="A1497" s="22" t="n"/>
      <c r="B1497" s="19" t="n"/>
      <c r="C1497" s="18">
        <f>IF(B1497="","",IFERROR(INDEX(Jugadores!$C$2:$C$501,MATCH(B1497,Jugadores!$A$2:$A$501,0)),"⚠ ID no existe"))</f>
        <v/>
      </c>
      <c r="D1497" s="19" t="n"/>
      <c r="E1497" s="19" t="n"/>
      <c r="F1497" s="16">
        <f>IF(OR(B1497="",D1497=""),"",IFERROR(INDEX('Tabla XP'!$B$2:$B$12,MATCH(D1497,'Tabla XP'!$A$2:$A$12,0))*IF(E1497="",1,E1497),0))</f>
        <v/>
      </c>
      <c r="G1497" s="19" t="n"/>
      <c r="H1497" s="19" t="n"/>
    </row>
    <row r="1498">
      <c r="A1498" s="22" t="n"/>
      <c r="B1498" s="19" t="n"/>
      <c r="C1498" s="18">
        <f>IF(B1498="","",IFERROR(INDEX(Jugadores!$C$2:$C$501,MATCH(B1498,Jugadores!$A$2:$A$501,0)),"⚠ ID no existe"))</f>
        <v/>
      </c>
      <c r="D1498" s="19" t="n"/>
      <c r="E1498" s="19" t="n"/>
      <c r="F1498" s="16">
        <f>IF(OR(B1498="",D1498=""),"",IFERROR(INDEX('Tabla XP'!$B$2:$B$12,MATCH(D1498,'Tabla XP'!$A$2:$A$12,0))*IF(E1498="",1,E1498),0))</f>
        <v/>
      </c>
      <c r="G1498" s="19" t="n"/>
      <c r="H1498" s="19" t="n"/>
    </row>
    <row r="1499">
      <c r="A1499" s="22" t="n"/>
      <c r="B1499" s="19" t="n"/>
      <c r="C1499" s="18">
        <f>IF(B1499="","",IFERROR(INDEX(Jugadores!$C$2:$C$501,MATCH(B1499,Jugadores!$A$2:$A$501,0)),"⚠ ID no existe"))</f>
        <v/>
      </c>
      <c r="D1499" s="19" t="n"/>
      <c r="E1499" s="19" t="n"/>
      <c r="F1499" s="16">
        <f>IF(OR(B1499="",D1499=""),"",IFERROR(INDEX('Tabla XP'!$B$2:$B$12,MATCH(D1499,'Tabla XP'!$A$2:$A$12,0))*IF(E1499="",1,E1499),0))</f>
        <v/>
      </c>
      <c r="G1499" s="19" t="n"/>
      <c r="H1499" s="19" t="n"/>
    </row>
    <row r="1500">
      <c r="A1500" s="22" t="n"/>
      <c r="B1500" s="19" t="n"/>
      <c r="C1500" s="18">
        <f>IF(B1500="","",IFERROR(INDEX(Jugadores!$C$2:$C$501,MATCH(B1500,Jugadores!$A$2:$A$501,0)),"⚠ ID no existe"))</f>
        <v/>
      </c>
      <c r="D1500" s="19" t="n"/>
      <c r="E1500" s="19" t="n"/>
      <c r="F1500" s="16">
        <f>IF(OR(B1500="",D1500=""),"",IFERROR(INDEX('Tabla XP'!$B$2:$B$12,MATCH(D1500,'Tabla XP'!$A$2:$A$12,0))*IF(E1500="",1,E1500),0))</f>
        <v/>
      </c>
      <c r="G1500" s="19" t="n"/>
      <c r="H1500" s="19" t="n"/>
    </row>
    <row r="1501">
      <c r="A1501" s="22" t="n"/>
      <c r="B1501" s="19" t="n"/>
      <c r="C1501" s="18">
        <f>IF(B1501="","",IFERROR(INDEX(Jugadores!$C$2:$C$501,MATCH(B1501,Jugadores!$A$2:$A$501,0)),"⚠ ID no existe"))</f>
        <v/>
      </c>
      <c r="D1501" s="19" t="n"/>
      <c r="E1501" s="19" t="n"/>
      <c r="F1501" s="16">
        <f>IF(OR(B1501="",D1501=""),"",IFERROR(INDEX('Tabla XP'!$B$2:$B$12,MATCH(D1501,'Tabla XP'!$A$2:$A$12,0))*IF(E1501="",1,E1501),0))</f>
        <v/>
      </c>
      <c r="G1501" s="19" t="n"/>
      <c r="H1501" s="19" t="n"/>
    </row>
    <row r="1502">
      <c r="A1502" s="22" t="n"/>
      <c r="B1502" s="19" t="n"/>
      <c r="C1502" s="18">
        <f>IF(B1502="","",IFERROR(INDEX(Jugadores!$C$2:$C$501,MATCH(B1502,Jugadores!$A$2:$A$501,0)),"⚠ ID no existe"))</f>
        <v/>
      </c>
      <c r="D1502" s="19" t="n"/>
      <c r="E1502" s="19" t="n"/>
      <c r="F1502" s="16">
        <f>IF(OR(B1502="",D1502=""),"",IFERROR(INDEX('Tabla XP'!$B$2:$B$12,MATCH(D1502,'Tabla XP'!$A$2:$A$12,0))*IF(E1502="",1,E1502),0))</f>
        <v/>
      </c>
      <c r="G1502" s="19" t="n"/>
      <c r="H1502" s="19" t="n"/>
    </row>
    <row r="1503">
      <c r="A1503" s="22" t="n"/>
      <c r="B1503" s="19" t="n"/>
      <c r="C1503" s="18">
        <f>IF(B1503="","",IFERROR(INDEX(Jugadores!$C$2:$C$501,MATCH(B1503,Jugadores!$A$2:$A$501,0)),"⚠ ID no existe"))</f>
        <v/>
      </c>
      <c r="D1503" s="19" t="n"/>
      <c r="E1503" s="19" t="n"/>
      <c r="F1503" s="16">
        <f>IF(OR(B1503="",D1503=""),"",IFERROR(INDEX('Tabla XP'!$B$2:$B$12,MATCH(D1503,'Tabla XP'!$A$2:$A$12,0))*IF(E1503="",1,E1503),0))</f>
        <v/>
      </c>
      <c r="G1503" s="19" t="n"/>
      <c r="H1503" s="19" t="n"/>
    </row>
    <row r="1504">
      <c r="A1504" s="22" t="n"/>
      <c r="B1504" s="19" t="n"/>
      <c r="C1504" s="18">
        <f>IF(B1504="","",IFERROR(INDEX(Jugadores!$C$2:$C$501,MATCH(B1504,Jugadores!$A$2:$A$501,0)),"⚠ ID no existe"))</f>
        <v/>
      </c>
      <c r="D1504" s="19" t="n"/>
      <c r="E1504" s="19" t="n"/>
      <c r="F1504" s="16">
        <f>IF(OR(B1504="",D1504=""),"",IFERROR(INDEX('Tabla XP'!$B$2:$B$12,MATCH(D1504,'Tabla XP'!$A$2:$A$12,0))*IF(E1504="",1,E1504),0))</f>
        <v/>
      </c>
      <c r="G1504" s="19" t="n"/>
      <c r="H1504" s="19" t="n"/>
    </row>
    <row r="1505">
      <c r="A1505" s="22" t="n"/>
      <c r="B1505" s="19" t="n"/>
      <c r="C1505" s="18">
        <f>IF(B1505="","",IFERROR(INDEX(Jugadores!$C$2:$C$501,MATCH(B1505,Jugadores!$A$2:$A$501,0)),"⚠ ID no existe"))</f>
        <v/>
      </c>
      <c r="D1505" s="19" t="n"/>
      <c r="E1505" s="19" t="n"/>
      <c r="F1505" s="16">
        <f>IF(OR(B1505="",D1505=""),"",IFERROR(INDEX('Tabla XP'!$B$2:$B$12,MATCH(D1505,'Tabla XP'!$A$2:$A$12,0))*IF(E1505="",1,E1505),0))</f>
        <v/>
      </c>
      <c r="G1505" s="19" t="n"/>
      <c r="H1505" s="19" t="n"/>
    </row>
    <row r="1506">
      <c r="A1506" s="22" t="n"/>
      <c r="B1506" s="19" t="n"/>
      <c r="C1506" s="18">
        <f>IF(B1506="","",IFERROR(INDEX(Jugadores!$C$2:$C$501,MATCH(B1506,Jugadores!$A$2:$A$501,0)),"⚠ ID no existe"))</f>
        <v/>
      </c>
      <c r="D1506" s="19" t="n"/>
      <c r="E1506" s="19" t="n"/>
      <c r="F1506" s="16">
        <f>IF(OR(B1506="",D1506=""),"",IFERROR(INDEX('Tabla XP'!$B$2:$B$12,MATCH(D1506,'Tabla XP'!$A$2:$A$12,0))*IF(E1506="",1,E1506),0))</f>
        <v/>
      </c>
      <c r="G1506" s="19" t="n"/>
      <c r="H1506" s="19" t="n"/>
    </row>
    <row r="1507">
      <c r="A1507" s="22" t="n"/>
      <c r="B1507" s="19" t="n"/>
      <c r="C1507" s="18">
        <f>IF(B1507="","",IFERROR(INDEX(Jugadores!$C$2:$C$501,MATCH(B1507,Jugadores!$A$2:$A$501,0)),"⚠ ID no existe"))</f>
        <v/>
      </c>
      <c r="D1507" s="19" t="n"/>
      <c r="E1507" s="19" t="n"/>
      <c r="F1507" s="16">
        <f>IF(OR(B1507="",D1507=""),"",IFERROR(INDEX('Tabla XP'!$B$2:$B$12,MATCH(D1507,'Tabla XP'!$A$2:$A$12,0))*IF(E1507="",1,E1507),0))</f>
        <v/>
      </c>
      <c r="G1507" s="19" t="n"/>
      <c r="H1507" s="19" t="n"/>
    </row>
    <row r="1508">
      <c r="A1508" s="22" t="n"/>
      <c r="B1508" s="19" t="n"/>
      <c r="C1508" s="18">
        <f>IF(B1508="","",IFERROR(INDEX(Jugadores!$C$2:$C$501,MATCH(B1508,Jugadores!$A$2:$A$501,0)),"⚠ ID no existe"))</f>
        <v/>
      </c>
      <c r="D1508" s="19" t="n"/>
      <c r="E1508" s="19" t="n"/>
      <c r="F1508" s="16">
        <f>IF(OR(B1508="",D1508=""),"",IFERROR(INDEX('Tabla XP'!$B$2:$B$12,MATCH(D1508,'Tabla XP'!$A$2:$A$12,0))*IF(E1508="",1,E1508),0))</f>
        <v/>
      </c>
      <c r="G1508" s="19" t="n"/>
      <c r="H1508" s="19" t="n"/>
    </row>
    <row r="1509">
      <c r="A1509" s="22" t="n"/>
      <c r="B1509" s="19" t="n"/>
      <c r="C1509" s="18">
        <f>IF(B1509="","",IFERROR(INDEX(Jugadores!$C$2:$C$501,MATCH(B1509,Jugadores!$A$2:$A$501,0)),"⚠ ID no existe"))</f>
        <v/>
      </c>
      <c r="D1509" s="19" t="n"/>
      <c r="E1509" s="19" t="n"/>
      <c r="F1509" s="16">
        <f>IF(OR(B1509="",D1509=""),"",IFERROR(INDEX('Tabla XP'!$B$2:$B$12,MATCH(D1509,'Tabla XP'!$A$2:$A$12,0))*IF(E1509="",1,E1509),0))</f>
        <v/>
      </c>
      <c r="G1509" s="19" t="n"/>
      <c r="H1509" s="19" t="n"/>
    </row>
    <row r="1510">
      <c r="A1510" s="22" t="n"/>
      <c r="B1510" s="19" t="n"/>
      <c r="C1510" s="18">
        <f>IF(B1510="","",IFERROR(INDEX(Jugadores!$C$2:$C$501,MATCH(B1510,Jugadores!$A$2:$A$501,0)),"⚠ ID no existe"))</f>
        <v/>
      </c>
      <c r="D1510" s="19" t="n"/>
      <c r="E1510" s="19" t="n"/>
      <c r="F1510" s="16">
        <f>IF(OR(B1510="",D1510=""),"",IFERROR(INDEX('Tabla XP'!$B$2:$B$12,MATCH(D1510,'Tabla XP'!$A$2:$A$12,0))*IF(E1510="",1,E1510),0))</f>
        <v/>
      </c>
      <c r="G1510" s="19" t="n"/>
      <c r="H1510" s="19" t="n"/>
    </row>
    <row r="1511">
      <c r="A1511" s="22" t="n"/>
      <c r="B1511" s="19" t="n"/>
      <c r="C1511" s="18">
        <f>IF(B1511="","",IFERROR(INDEX(Jugadores!$C$2:$C$501,MATCH(B1511,Jugadores!$A$2:$A$501,0)),"⚠ ID no existe"))</f>
        <v/>
      </c>
      <c r="D1511" s="19" t="n"/>
      <c r="E1511" s="19" t="n"/>
      <c r="F1511" s="16">
        <f>IF(OR(B1511="",D1511=""),"",IFERROR(INDEX('Tabla XP'!$B$2:$B$12,MATCH(D1511,'Tabla XP'!$A$2:$A$12,0))*IF(E1511="",1,E1511),0))</f>
        <v/>
      </c>
      <c r="G1511" s="19" t="n"/>
      <c r="H1511" s="19" t="n"/>
    </row>
    <row r="1512">
      <c r="A1512" s="22" t="n"/>
      <c r="B1512" s="19" t="n"/>
      <c r="C1512" s="18">
        <f>IF(B1512="","",IFERROR(INDEX(Jugadores!$C$2:$C$501,MATCH(B1512,Jugadores!$A$2:$A$501,0)),"⚠ ID no existe"))</f>
        <v/>
      </c>
      <c r="D1512" s="19" t="n"/>
      <c r="E1512" s="19" t="n"/>
      <c r="F1512" s="16">
        <f>IF(OR(B1512="",D1512=""),"",IFERROR(INDEX('Tabla XP'!$B$2:$B$12,MATCH(D1512,'Tabla XP'!$A$2:$A$12,0))*IF(E1512="",1,E1512),0))</f>
        <v/>
      </c>
      <c r="G1512" s="19" t="n"/>
      <c r="H1512" s="19" t="n"/>
    </row>
    <row r="1513">
      <c r="A1513" s="22" t="n"/>
      <c r="B1513" s="19" t="n"/>
      <c r="C1513" s="18">
        <f>IF(B1513="","",IFERROR(INDEX(Jugadores!$C$2:$C$501,MATCH(B1513,Jugadores!$A$2:$A$501,0)),"⚠ ID no existe"))</f>
        <v/>
      </c>
      <c r="D1513" s="19" t="n"/>
      <c r="E1513" s="19" t="n"/>
      <c r="F1513" s="16">
        <f>IF(OR(B1513="",D1513=""),"",IFERROR(INDEX('Tabla XP'!$B$2:$B$12,MATCH(D1513,'Tabla XP'!$A$2:$A$12,0))*IF(E1513="",1,E1513),0))</f>
        <v/>
      </c>
      <c r="G1513" s="19" t="n"/>
      <c r="H1513" s="19" t="n"/>
    </row>
    <row r="1514">
      <c r="A1514" s="22" t="n"/>
      <c r="B1514" s="19" t="n"/>
      <c r="C1514" s="18">
        <f>IF(B1514="","",IFERROR(INDEX(Jugadores!$C$2:$C$501,MATCH(B1514,Jugadores!$A$2:$A$501,0)),"⚠ ID no existe"))</f>
        <v/>
      </c>
      <c r="D1514" s="19" t="n"/>
      <c r="E1514" s="19" t="n"/>
      <c r="F1514" s="16">
        <f>IF(OR(B1514="",D1514=""),"",IFERROR(INDEX('Tabla XP'!$B$2:$B$12,MATCH(D1514,'Tabla XP'!$A$2:$A$12,0))*IF(E1514="",1,E1514),0))</f>
        <v/>
      </c>
      <c r="G1514" s="19" t="n"/>
      <c r="H1514" s="19" t="n"/>
    </row>
    <row r="1515">
      <c r="A1515" s="22" t="n"/>
      <c r="B1515" s="19" t="n"/>
      <c r="C1515" s="18">
        <f>IF(B1515="","",IFERROR(INDEX(Jugadores!$C$2:$C$501,MATCH(B1515,Jugadores!$A$2:$A$501,0)),"⚠ ID no existe"))</f>
        <v/>
      </c>
      <c r="D1515" s="19" t="n"/>
      <c r="E1515" s="19" t="n"/>
      <c r="F1515" s="16">
        <f>IF(OR(B1515="",D1515=""),"",IFERROR(INDEX('Tabla XP'!$B$2:$B$12,MATCH(D1515,'Tabla XP'!$A$2:$A$12,0))*IF(E1515="",1,E1515),0))</f>
        <v/>
      </c>
      <c r="G1515" s="19" t="n"/>
      <c r="H1515" s="19" t="n"/>
    </row>
    <row r="1516">
      <c r="A1516" s="22" t="n"/>
      <c r="B1516" s="19" t="n"/>
      <c r="C1516" s="18">
        <f>IF(B1516="","",IFERROR(INDEX(Jugadores!$C$2:$C$501,MATCH(B1516,Jugadores!$A$2:$A$501,0)),"⚠ ID no existe"))</f>
        <v/>
      </c>
      <c r="D1516" s="19" t="n"/>
      <c r="E1516" s="19" t="n"/>
      <c r="F1516" s="16">
        <f>IF(OR(B1516="",D1516=""),"",IFERROR(INDEX('Tabla XP'!$B$2:$B$12,MATCH(D1516,'Tabla XP'!$A$2:$A$12,0))*IF(E1516="",1,E1516),0))</f>
        <v/>
      </c>
      <c r="G1516" s="19" t="n"/>
      <c r="H1516" s="19" t="n"/>
    </row>
    <row r="1517">
      <c r="A1517" s="22" t="n"/>
      <c r="B1517" s="19" t="n"/>
      <c r="C1517" s="18">
        <f>IF(B1517="","",IFERROR(INDEX(Jugadores!$C$2:$C$501,MATCH(B1517,Jugadores!$A$2:$A$501,0)),"⚠ ID no existe"))</f>
        <v/>
      </c>
      <c r="D1517" s="19" t="n"/>
      <c r="E1517" s="19" t="n"/>
      <c r="F1517" s="16">
        <f>IF(OR(B1517="",D1517=""),"",IFERROR(INDEX('Tabla XP'!$B$2:$B$12,MATCH(D1517,'Tabla XP'!$A$2:$A$12,0))*IF(E1517="",1,E1517),0))</f>
        <v/>
      </c>
      <c r="G1517" s="19" t="n"/>
      <c r="H1517" s="19" t="n"/>
    </row>
    <row r="1518">
      <c r="A1518" s="22" t="n"/>
      <c r="B1518" s="19" t="n"/>
      <c r="C1518" s="18">
        <f>IF(B1518="","",IFERROR(INDEX(Jugadores!$C$2:$C$501,MATCH(B1518,Jugadores!$A$2:$A$501,0)),"⚠ ID no existe"))</f>
        <v/>
      </c>
      <c r="D1518" s="19" t="n"/>
      <c r="E1518" s="19" t="n"/>
      <c r="F1518" s="16">
        <f>IF(OR(B1518="",D1518=""),"",IFERROR(INDEX('Tabla XP'!$B$2:$B$12,MATCH(D1518,'Tabla XP'!$A$2:$A$12,0))*IF(E1518="",1,E1518),0))</f>
        <v/>
      </c>
      <c r="G1518" s="19" t="n"/>
      <c r="H1518" s="19" t="n"/>
    </row>
    <row r="1519">
      <c r="A1519" s="22" t="n"/>
      <c r="B1519" s="19" t="n"/>
      <c r="C1519" s="18">
        <f>IF(B1519="","",IFERROR(INDEX(Jugadores!$C$2:$C$501,MATCH(B1519,Jugadores!$A$2:$A$501,0)),"⚠ ID no existe"))</f>
        <v/>
      </c>
      <c r="D1519" s="19" t="n"/>
      <c r="E1519" s="19" t="n"/>
      <c r="F1519" s="16">
        <f>IF(OR(B1519="",D1519=""),"",IFERROR(INDEX('Tabla XP'!$B$2:$B$12,MATCH(D1519,'Tabla XP'!$A$2:$A$12,0))*IF(E1519="",1,E1519),0))</f>
        <v/>
      </c>
      <c r="G1519" s="19" t="n"/>
      <c r="H1519" s="19" t="n"/>
    </row>
    <row r="1520">
      <c r="A1520" s="22" t="n"/>
      <c r="B1520" s="19" t="n"/>
      <c r="C1520" s="18">
        <f>IF(B1520="","",IFERROR(INDEX(Jugadores!$C$2:$C$501,MATCH(B1520,Jugadores!$A$2:$A$501,0)),"⚠ ID no existe"))</f>
        <v/>
      </c>
      <c r="D1520" s="19" t="n"/>
      <c r="E1520" s="19" t="n"/>
      <c r="F1520" s="16">
        <f>IF(OR(B1520="",D1520=""),"",IFERROR(INDEX('Tabla XP'!$B$2:$B$12,MATCH(D1520,'Tabla XP'!$A$2:$A$12,0))*IF(E1520="",1,E1520),0))</f>
        <v/>
      </c>
      <c r="G1520" s="19" t="n"/>
      <c r="H1520" s="19" t="n"/>
    </row>
    <row r="1521">
      <c r="A1521" s="22" t="n"/>
      <c r="B1521" s="19" t="n"/>
      <c r="C1521" s="18">
        <f>IF(B1521="","",IFERROR(INDEX(Jugadores!$C$2:$C$501,MATCH(B1521,Jugadores!$A$2:$A$501,0)),"⚠ ID no existe"))</f>
        <v/>
      </c>
      <c r="D1521" s="19" t="n"/>
      <c r="E1521" s="19" t="n"/>
      <c r="F1521" s="16">
        <f>IF(OR(B1521="",D1521=""),"",IFERROR(INDEX('Tabla XP'!$B$2:$B$12,MATCH(D1521,'Tabla XP'!$A$2:$A$12,0))*IF(E1521="",1,E1521),0))</f>
        <v/>
      </c>
      <c r="G1521" s="19" t="n"/>
      <c r="H1521" s="19" t="n"/>
    </row>
    <row r="1522">
      <c r="A1522" s="22" t="n"/>
      <c r="B1522" s="19" t="n"/>
      <c r="C1522" s="18">
        <f>IF(B1522="","",IFERROR(INDEX(Jugadores!$C$2:$C$501,MATCH(B1522,Jugadores!$A$2:$A$501,0)),"⚠ ID no existe"))</f>
        <v/>
      </c>
      <c r="D1522" s="19" t="n"/>
      <c r="E1522" s="19" t="n"/>
      <c r="F1522" s="16">
        <f>IF(OR(B1522="",D1522=""),"",IFERROR(INDEX('Tabla XP'!$B$2:$B$12,MATCH(D1522,'Tabla XP'!$A$2:$A$12,0))*IF(E1522="",1,E1522),0))</f>
        <v/>
      </c>
      <c r="G1522" s="19" t="n"/>
      <c r="H1522" s="19" t="n"/>
    </row>
    <row r="1523">
      <c r="A1523" s="22" t="n"/>
      <c r="B1523" s="19" t="n"/>
      <c r="C1523" s="18">
        <f>IF(B1523="","",IFERROR(INDEX(Jugadores!$C$2:$C$501,MATCH(B1523,Jugadores!$A$2:$A$501,0)),"⚠ ID no existe"))</f>
        <v/>
      </c>
      <c r="D1523" s="19" t="n"/>
      <c r="E1523" s="19" t="n"/>
      <c r="F1523" s="16">
        <f>IF(OR(B1523="",D1523=""),"",IFERROR(INDEX('Tabla XP'!$B$2:$B$12,MATCH(D1523,'Tabla XP'!$A$2:$A$12,0))*IF(E1523="",1,E1523),0))</f>
        <v/>
      </c>
      <c r="G1523" s="19" t="n"/>
      <c r="H1523" s="19" t="n"/>
    </row>
    <row r="1524">
      <c r="A1524" s="22" t="n"/>
      <c r="B1524" s="19" t="n"/>
      <c r="C1524" s="18">
        <f>IF(B1524="","",IFERROR(INDEX(Jugadores!$C$2:$C$501,MATCH(B1524,Jugadores!$A$2:$A$501,0)),"⚠ ID no existe"))</f>
        <v/>
      </c>
      <c r="D1524" s="19" t="n"/>
      <c r="E1524" s="19" t="n"/>
      <c r="F1524" s="16">
        <f>IF(OR(B1524="",D1524=""),"",IFERROR(INDEX('Tabla XP'!$B$2:$B$12,MATCH(D1524,'Tabla XP'!$A$2:$A$12,0))*IF(E1524="",1,E1524),0))</f>
        <v/>
      </c>
      <c r="G1524" s="19" t="n"/>
      <c r="H1524" s="19" t="n"/>
    </row>
    <row r="1525">
      <c r="A1525" s="22" t="n"/>
      <c r="B1525" s="19" t="n"/>
      <c r="C1525" s="18">
        <f>IF(B1525="","",IFERROR(INDEX(Jugadores!$C$2:$C$501,MATCH(B1525,Jugadores!$A$2:$A$501,0)),"⚠ ID no existe"))</f>
        <v/>
      </c>
      <c r="D1525" s="19" t="n"/>
      <c r="E1525" s="19" t="n"/>
      <c r="F1525" s="16">
        <f>IF(OR(B1525="",D1525=""),"",IFERROR(INDEX('Tabla XP'!$B$2:$B$12,MATCH(D1525,'Tabla XP'!$A$2:$A$12,0))*IF(E1525="",1,E1525),0))</f>
        <v/>
      </c>
      <c r="G1525" s="19" t="n"/>
      <c r="H1525" s="19" t="n"/>
    </row>
    <row r="1526">
      <c r="A1526" s="22" t="n"/>
      <c r="B1526" s="19" t="n"/>
      <c r="C1526" s="18">
        <f>IF(B1526="","",IFERROR(INDEX(Jugadores!$C$2:$C$501,MATCH(B1526,Jugadores!$A$2:$A$501,0)),"⚠ ID no existe"))</f>
        <v/>
      </c>
      <c r="D1526" s="19" t="n"/>
      <c r="E1526" s="19" t="n"/>
      <c r="F1526" s="16">
        <f>IF(OR(B1526="",D1526=""),"",IFERROR(INDEX('Tabla XP'!$B$2:$B$12,MATCH(D1526,'Tabla XP'!$A$2:$A$12,0))*IF(E1526="",1,E1526),0))</f>
        <v/>
      </c>
      <c r="G1526" s="19" t="n"/>
      <c r="H1526" s="19" t="n"/>
    </row>
    <row r="1527">
      <c r="A1527" s="22" t="n"/>
      <c r="B1527" s="19" t="n"/>
      <c r="C1527" s="18">
        <f>IF(B1527="","",IFERROR(INDEX(Jugadores!$C$2:$C$501,MATCH(B1527,Jugadores!$A$2:$A$501,0)),"⚠ ID no existe"))</f>
        <v/>
      </c>
      <c r="D1527" s="19" t="n"/>
      <c r="E1527" s="19" t="n"/>
      <c r="F1527" s="16">
        <f>IF(OR(B1527="",D1527=""),"",IFERROR(INDEX('Tabla XP'!$B$2:$B$12,MATCH(D1527,'Tabla XP'!$A$2:$A$12,0))*IF(E1527="",1,E1527),0))</f>
        <v/>
      </c>
      <c r="G1527" s="19" t="n"/>
      <c r="H1527" s="19" t="n"/>
    </row>
    <row r="1528">
      <c r="A1528" s="22" t="n"/>
      <c r="B1528" s="19" t="n"/>
      <c r="C1528" s="18">
        <f>IF(B1528="","",IFERROR(INDEX(Jugadores!$C$2:$C$501,MATCH(B1528,Jugadores!$A$2:$A$501,0)),"⚠ ID no existe"))</f>
        <v/>
      </c>
      <c r="D1528" s="19" t="n"/>
      <c r="E1528" s="19" t="n"/>
      <c r="F1528" s="16">
        <f>IF(OR(B1528="",D1528=""),"",IFERROR(INDEX('Tabla XP'!$B$2:$B$12,MATCH(D1528,'Tabla XP'!$A$2:$A$12,0))*IF(E1528="",1,E1528),0))</f>
        <v/>
      </c>
      <c r="G1528" s="19" t="n"/>
      <c r="H1528" s="19" t="n"/>
    </row>
    <row r="1529">
      <c r="A1529" s="22" t="n"/>
      <c r="B1529" s="19" t="n"/>
      <c r="C1529" s="18">
        <f>IF(B1529="","",IFERROR(INDEX(Jugadores!$C$2:$C$501,MATCH(B1529,Jugadores!$A$2:$A$501,0)),"⚠ ID no existe"))</f>
        <v/>
      </c>
      <c r="D1529" s="19" t="n"/>
      <c r="E1529" s="19" t="n"/>
      <c r="F1529" s="16">
        <f>IF(OR(B1529="",D1529=""),"",IFERROR(INDEX('Tabla XP'!$B$2:$B$12,MATCH(D1529,'Tabla XP'!$A$2:$A$12,0))*IF(E1529="",1,E1529),0))</f>
        <v/>
      </c>
      <c r="G1529" s="19" t="n"/>
      <c r="H1529" s="19" t="n"/>
    </row>
    <row r="1530">
      <c r="A1530" s="22" t="n"/>
      <c r="B1530" s="19" t="n"/>
      <c r="C1530" s="18">
        <f>IF(B1530="","",IFERROR(INDEX(Jugadores!$C$2:$C$501,MATCH(B1530,Jugadores!$A$2:$A$501,0)),"⚠ ID no existe"))</f>
        <v/>
      </c>
      <c r="D1530" s="19" t="n"/>
      <c r="E1530" s="19" t="n"/>
      <c r="F1530" s="16">
        <f>IF(OR(B1530="",D1530=""),"",IFERROR(INDEX('Tabla XP'!$B$2:$B$12,MATCH(D1530,'Tabla XP'!$A$2:$A$12,0))*IF(E1530="",1,E1530),0))</f>
        <v/>
      </c>
      <c r="G1530" s="19" t="n"/>
      <c r="H1530" s="19" t="n"/>
    </row>
    <row r="1531">
      <c r="A1531" s="22" t="n"/>
      <c r="B1531" s="19" t="n"/>
      <c r="C1531" s="18">
        <f>IF(B1531="","",IFERROR(INDEX(Jugadores!$C$2:$C$501,MATCH(B1531,Jugadores!$A$2:$A$501,0)),"⚠ ID no existe"))</f>
        <v/>
      </c>
      <c r="D1531" s="19" t="n"/>
      <c r="E1531" s="19" t="n"/>
      <c r="F1531" s="16">
        <f>IF(OR(B1531="",D1531=""),"",IFERROR(INDEX('Tabla XP'!$B$2:$B$12,MATCH(D1531,'Tabla XP'!$A$2:$A$12,0))*IF(E1531="",1,E1531),0))</f>
        <v/>
      </c>
      <c r="G1531" s="19" t="n"/>
      <c r="H1531" s="19" t="n"/>
    </row>
    <row r="1532">
      <c r="A1532" s="22" t="n"/>
      <c r="B1532" s="19" t="n"/>
      <c r="C1532" s="18">
        <f>IF(B1532="","",IFERROR(INDEX(Jugadores!$C$2:$C$501,MATCH(B1532,Jugadores!$A$2:$A$501,0)),"⚠ ID no existe"))</f>
        <v/>
      </c>
      <c r="D1532" s="19" t="n"/>
      <c r="E1532" s="19" t="n"/>
      <c r="F1532" s="16">
        <f>IF(OR(B1532="",D1532=""),"",IFERROR(INDEX('Tabla XP'!$B$2:$B$12,MATCH(D1532,'Tabla XP'!$A$2:$A$12,0))*IF(E1532="",1,E1532),0))</f>
        <v/>
      </c>
      <c r="G1532" s="19" t="n"/>
      <c r="H1532" s="19" t="n"/>
    </row>
    <row r="1533">
      <c r="A1533" s="22" t="n"/>
      <c r="B1533" s="19" t="n"/>
      <c r="C1533" s="18">
        <f>IF(B1533="","",IFERROR(INDEX(Jugadores!$C$2:$C$501,MATCH(B1533,Jugadores!$A$2:$A$501,0)),"⚠ ID no existe"))</f>
        <v/>
      </c>
      <c r="D1533" s="19" t="n"/>
      <c r="E1533" s="19" t="n"/>
      <c r="F1533" s="16">
        <f>IF(OR(B1533="",D1533=""),"",IFERROR(INDEX('Tabla XP'!$B$2:$B$12,MATCH(D1533,'Tabla XP'!$A$2:$A$12,0))*IF(E1533="",1,E1533),0))</f>
        <v/>
      </c>
      <c r="G1533" s="19" t="n"/>
      <c r="H1533" s="19" t="n"/>
    </row>
    <row r="1534">
      <c r="A1534" s="22" t="n"/>
      <c r="B1534" s="19" t="n"/>
      <c r="C1534" s="18">
        <f>IF(B1534="","",IFERROR(INDEX(Jugadores!$C$2:$C$501,MATCH(B1534,Jugadores!$A$2:$A$501,0)),"⚠ ID no existe"))</f>
        <v/>
      </c>
      <c r="D1534" s="19" t="n"/>
      <c r="E1534" s="19" t="n"/>
      <c r="F1534" s="16">
        <f>IF(OR(B1534="",D1534=""),"",IFERROR(INDEX('Tabla XP'!$B$2:$B$12,MATCH(D1534,'Tabla XP'!$A$2:$A$12,0))*IF(E1534="",1,E1534),0))</f>
        <v/>
      </c>
      <c r="G1534" s="19" t="n"/>
      <c r="H1534" s="19" t="n"/>
    </row>
    <row r="1535">
      <c r="A1535" s="22" t="n"/>
      <c r="B1535" s="19" t="n"/>
      <c r="C1535" s="18">
        <f>IF(B1535="","",IFERROR(INDEX(Jugadores!$C$2:$C$501,MATCH(B1535,Jugadores!$A$2:$A$501,0)),"⚠ ID no existe"))</f>
        <v/>
      </c>
      <c r="D1535" s="19" t="n"/>
      <c r="E1535" s="19" t="n"/>
      <c r="F1535" s="16">
        <f>IF(OR(B1535="",D1535=""),"",IFERROR(INDEX('Tabla XP'!$B$2:$B$12,MATCH(D1535,'Tabla XP'!$A$2:$A$12,0))*IF(E1535="",1,E1535),0))</f>
        <v/>
      </c>
      <c r="G1535" s="19" t="n"/>
      <c r="H1535" s="19" t="n"/>
    </row>
    <row r="1536">
      <c r="A1536" s="22" t="n"/>
      <c r="B1536" s="19" t="n"/>
      <c r="C1536" s="18">
        <f>IF(B1536="","",IFERROR(INDEX(Jugadores!$C$2:$C$501,MATCH(B1536,Jugadores!$A$2:$A$501,0)),"⚠ ID no existe"))</f>
        <v/>
      </c>
      <c r="D1536" s="19" t="n"/>
      <c r="E1536" s="19" t="n"/>
      <c r="F1536" s="16">
        <f>IF(OR(B1536="",D1536=""),"",IFERROR(INDEX('Tabla XP'!$B$2:$B$12,MATCH(D1536,'Tabla XP'!$A$2:$A$12,0))*IF(E1536="",1,E1536),0))</f>
        <v/>
      </c>
      <c r="G1536" s="19" t="n"/>
      <c r="H1536" s="19" t="n"/>
    </row>
    <row r="1537">
      <c r="A1537" s="22" t="n"/>
      <c r="B1537" s="19" t="n"/>
      <c r="C1537" s="18">
        <f>IF(B1537="","",IFERROR(INDEX(Jugadores!$C$2:$C$501,MATCH(B1537,Jugadores!$A$2:$A$501,0)),"⚠ ID no existe"))</f>
        <v/>
      </c>
      <c r="D1537" s="19" t="n"/>
      <c r="E1537" s="19" t="n"/>
      <c r="F1537" s="16">
        <f>IF(OR(B1537="",D1537=""),"",IFERROR(INDEX('Tabla XP'!$B$2:$B$12,MATCH(D1537,'Tabla XP'!$A$2:$A$12,0))*IF(E1537="",1,E1537),0))</f>
        <v/>
      </c>
      <c r="G1537" s="19" t="n"/>
      <c r="H1537" s="19" t="n"/>
    </row>
    <row r="1538">
      <c r="A1538" s="22" t="n"/>
      <c r="B1538" s="19" t="n"/>
      <c r="C1538" s="18">
        <f>IF(B1538="","",IFERROR(INDEX(Jugadores!$C$2:$C$501,MATCH(B1538,Jugadores!$A$2:$A$501,0)),"⚠ ID no existe"))</f>
        <v/>
      </c>
      <c r="D1538" s="19" t="n"/>
      <c r="E1538" s="19" t="n"/>
      <c r="F1538" s="16">
        <f>IF(OR(B1538="",D1538=""),"",IFERROR(INDEX('Tabla XP'!$B$2:$B$12,MATCH(D1538,'Tabla XP'!$A$2:$A$12,0))*IF(E1538="",1,E1538),0))</f>
        <v/>
      </c>
      <c r="G1538" s="19" t="n"/>
      <c r="H1538" s="19" t="n"/>
    </row>
    <row r="1539">
      <c r="A1539" s="22" t="n"/>
      <c r="B1539" s="19" t="n"/>
      <c r="C1539" s="18">
        <f>IF(B1539="","",IFERROR(INDEX(Jugadores!$C$2:$C$501,MATCH(B1539,Jugadores!$A$2:$A$501,0)),"⚠ ID no existe"))</f>
        <v/>
      </c>
      <c r="D1539" s="19" t="n"/>
      <c r="E1539" s="19" t="n"/>
      <c r="F1539" s="16">
        <f>IF(OR(B1539="",D1539=""),"",IFERROR(INDEX('Tabla XP'!$B$2:$B$12,MATCH(D1539,'Tabla XP'!$A$2:$A$12,0))*IF(E1539="",1,E1539),0))</f>
        <v/>
      </c>
      <c r="G1539" s="19" t="n"/>
      <c r="H1539" s="19" t="n"/>
    </row>
    <row r="1540">
      <c r="A1540" s="22" t="n"/>
      <c r="B1540" s="19" t="n"/>
      <c r="C1540" s="18">
        <f>IF(B1540="","",IFERROR(INDEX(Jugadores!$C$2:$C$501,MATCH(B1540,Jugadores!$A$2:$A$501,0)),"⚠ ID no existe"))</f>
        <v/>
      </c>
      <c r="D1540" s="19" t="n"/>
      <c r="E1540" s="19" t="n"/>
      <c r="F1540" s="16">
        <f>IF(OR(B1540="",D1540=""),"",IFERROR(INDEX('Tabla XP'!$B$2:$B$12,MATCH(D1540,'Tabla XP'!$A$2:$A$12,0))*IF(E1540="",1,E1540),0))</f>
        <v/>
      </c>
      <c r="G1540" s="19" t="n"/>
      <c r="H1540" s="19" t="n"/>
    </row>
    <row r="1541">
      <c r="A1541" s="22" t="n"/>
      <c r="B1541" s="19" t="n"/>
      <c r="C1541" s="18">
        <f>IF(B1541="","",IFERROR(INDEX(Jugadores!$C$2:$C$501,MATCH(B1541,Jugadores!$A$2:$A$501,0)),"⚠ ID no existe"))</f>
        <v/>
      </c>
      <c r="D1541" s="19" t="n"/>
      <c r="E1541" s="19" t="n"/>
      <c r="F1541" s="16">
        <f>IF(OR(B1541="",D1541=""),"",IFERROR(INDEX('Tabla XP'!$B$2:$B$12,MATCH(D1541,'Tabla XP'!$A$2:$A$12,0))*IF(E1541="",1,E1541),0))</f>
        <v/>
      </c>
      <c r="G1541" s="19" t="n"/>
      <c r="H1541" s="19" t="n"/>
    </row>
    <row r="1542">
      <c r="A1542" s="22" t="n"/>
      <c r="B1542" s="19" t="n"/>
      <c r="C1542" s="18">
        <f>IF(B1542="","",IFERROR(INDEX(Jugadores!$C$2:$C$501,MATCH(B1542,Jugadores!$A$2:$A$501,0)),"⚠ ID no existe"))</f>
        <v/>
      </c>
      <c r="D1542" s="19" t="n"/>
      <c r="E1542" s="19" t="n"/>
      <c r="F1542" s="16">
        <f>IF(OR(B1542="",D1542=""),"",IFERROR(INDEX('Tabla XP'!$B$2:$B$12,MATCH(D1542,'Tabla XP'!$A$2:$A$12,0))*IF(E1542="",1,E1542),0))</f>
        <v/>
      </c>
      <c r="G1542" s="19" t="n"/>
      <c r="H1542" s="19" t="n"/>
    </row>
    <row r="1543">
      <c r="A1543" s="22" t="n"/>
      <c r="B1543" s="19" t="n"/>
      <c r="C1543" s="18">
        <f>IF(B1543="","",IFERROR(INDEX(Jugadores!$C$2:$C$501,MATCH(B1543,Jugadores!$A$2:$A$501,0)),"⚠ ID no existe"))</f>
        <v/>
      </c>
      <c r="D1543" s="19" t="n"/>
      <c r="E1543" s="19" t="n"/>
      <c r="F1543" s="16">
        <f>IF(OR(B1543="",D1543=""),"",IFERROR(INDEX('Tabla XP'!$B$2:$B$12,MATCH(D1543,'Tabla XP'!$A$2:$A$12,0))*IF(E1543="",1,E1543),0))</f>
        <v/>
      </c>
      <c r="G1543" s="19" t="n"/>
      <c r="H1543" s="19" t="n"/>
    </row>
    <row r="1544">
      <c r="A1544" s="22" t="n"/>
      <c r="B1544" s="19" t="n"/>
      <c r="C1544" s="18">
        <f>IF(B1544="","",IFERROR(INDEX(Jugadores!$C$2:$C$501,MATCH(B1544,Jugadores!$A$2:$A$501,0)),"⚠ ID no existe"))</f>
        <v/>
      </c>
      <c r="D1544" s="19" t="n"/>
      <c r="E1544" s="19" t="n"/>
      <c r="F1544" s="16">
        <f>IF(OR(B1544="",D1544=""),"",IFERROR(INDEX('Tabla XP'!$B$2:$B$12,MATCH(D1544,'Tabla XP'!$A$2:$A$12,0))*IF(E1544="",1,E1544),0))</f>
        <v/>
      </c>
      <c r="G1544" s="19" t="n"/>
      <c r="H1544" s="19" t="n"/>
    </row>
    <row r="1545">
      <c r="A1545" s="22" t="n"/>
      <c r="B1545" s="19" t="n"/>
      <c r="C1545" s="18">
        <f>IF(B1545="","",IFERROR(INDEX(Jugadores!$C$2:$C$501,MATCH(B1545,Jugadores!$A$2:$A$501,0)),"⚠ ID no existe"))</f>
        <v/>
      </c>
      <c r="D1545" s="19" t="n"/>
      <c r="E1545" s="19" t="n"/>
      <c r="F1545" s="16">
        <f>IF(OR(B1545="",D1545=""),"",IFERROR(INDEX('Tabla XP'!$B$2:$B$12,MATCH(D1545,'Tabla XP'!$A$2:$A$12,0))*IF(E1545="",1,E1545),0))</f>
        <v/>
      </c>
      <c r="G1545" s="19" t="n"/>
      <c r="H1545" s="19" t="n"/>
    </row>
    <row r="1546">
      <c r="A1546" s="22" t="n"/>
      <c r="B1546" s="19" t="n"/>
      <c r="C1546" s="18">
        <f>IF(B1546="","",IFERROR(INDEX(Jugadores!$C$2:$C$501,MATCH(B1546,Jugadores!$A$2:$A$501,0)),"⚠ ID no existe"))</f>
        <v/>
      </c>
      <c r="D1546" s="19" t="n"/>
      <c r="E1546" s="19" t="n"/>
      <c r="F1546" s="16">
        <f>IF(OR(B1546="",D1546=""),"",IFERROR(INDEX('Tabla XP'!$B$2:$B$12,MATCH(D1546,'Tabla XP'!$A$2:$A$12,0))*IF(E1546="",1,E1546),0))</f>
        <v/>
      </c>
      <c r="G1546" s="19" t="n"/>
      <c r="H1546" s="19" t="n"/>
    </row>
    <row r="1547">
      <c r="A1547" s="22" t="n"/>
      <c r="B1547" s="19" t="n"/>
      <c r="C1547" s="18">
        <f>IF(B1547="","",IFERROR(INDEX(Jugadores!$C$2:$C$501,MATCH(B1547,Jugadores!$A$2:$A$501,0)),"⚠ ID no existe"))</f>
        <v/>
      </c>
      <c r="D1547" s="19" t="n"/>
      <c r="E1547" s="19" t="n"/>
      <c r="F1547" s="16">
        <f>IF(OR(B1547="",D1547=""),"",IFERROR(INDEX('Tabla XP'!$B$2:$B$12,MATCH(D1547,'Tabla XP'!$A$2:$A$12,0))*IF(E1547="",1,E1547),0))</f>
        <v/>
      </c>
      <c r="G1547" s="19" t="n"/>
      <c r="H1547" s="19" t="n"/>
    </row>
    <row r="1548">
      <c r="A1548" s="22" t="n"/>
      <c r="B1548" s="19" t="n"/>
      <c r="C1548" s="18">
        <f>IF(B1548="","",IFERROR(INDEX(Jugadores!$C$2:$C$501,MATCH(B1548,Jugadores!$A$2:$A$501,0)),"⚠ ID no existe"))</f>
        <v/>
      </c>
      <c r="D1548" s="19" t="n"/>
      <c r="E1548" s="19" t="n"/>
      <c r="F1548" s="16">
        <f>IF(OR(B1548="",D1548=""),"",IFERROR(INDEX('Tabla XP'!$B$2:$B$12,MATCH(D1548,'Tabla XP'!$A$2:$A$12,0))*IF(E1548="",1,E1548),0))</f>
        <v/>
      </c>
      <c r="G1548" s="19" t="n"/>
      <c r="H1548" s="19" t="n"/>
    </row>
    <row r="1549">
      <c r="A1549" s="22" t="n"/>
      <c r="B1549" s="19" t="n"/>
      <c r="C1549" s="18">
        <f>IF(B1549="","",IFERROR(INDEX(Jugadores!$C$2:$C$501,MATCH(B1549,Jugadores!$A$2:$A$501,0)),"⚠ ID no existe"))</f>
        <v/>
      </c>
      <c r="D1549" s="19" t="n"/>
      <c r="E1549" s="19" t="n"/>
      <c r="F1549" s="16">
        <f>IF(OR(B1549="",D1549=""),"",IFERROR(INDEX('Tabla XP'!$B$2:$B$12,MATCH(D1549,'Tabla XP'!$A$2:$A$12,0))*IF(E1549="",1,E1549),0))</f>
        <v/>
      </c>
      <c r="G1549" s="19" t="n"/>
      <c r="H1549" s="19" t="n"/>
    </row>
    <row r="1550">
      <c r="A1550" s="22" t="n"/>
      <c r="B1550" s="19" t="n"/>
      <c r="C1550" s="18">
        <f>IF(B1550="","",IFERROR(INDEX(Jugadores!$C$2:$C$501,MATCH(B1550,Jugadores!$A$2:$A$501,0)),"⚠ ID no existe"))</f>
        <v/>
      </c>
      <c r="D1550" s="19" t="n"/>
      <c r="E1550" s="19" t="n"/>
      <c r="F1550" s="16">
        <f>IF(OR(B1550="",D1550=""),"",IFERROR(INDEX('Tabla XP'!$B$2:$B$12,MATCH(D1550,'Tabla XP'!$A$2:$A$12,0))*IF(E1550="",1,E1550),0))</f>
        <v/>
      </c>
      <c r="G1550" s="19" t="n"/>
      <c r="H1550" s="19" t="n"/>
    </row>
    <row r="1551">
      <c r="A1551" s="22" t="n"/>
      <c r="B1551" s="19" t="n"/>
      <c r="C1551" s="18">
        <f>IF(B1551="","",IFERROR(INDEX(Jugadores!$C$2:$C$501,MATCH(B1551,Jugadores!$A$2:$A$501,0)),"⚠ ID no existe"))</f>
        <v/>
      </c>
      <c r="D1551" s="19" t="n"/>
      <c r="E1551" s="19" t="n"/>
      <c r="F1551" s="16">
        <f>IF(OR(B1551="",D1551=""),"",IFERROR(INDEX('Tabla XP'!$B$2:$B$12,MATCH(D1551,'Tabla XP'!$A$2:$A$12,0))*IF(E1551="",1,E1551),0))</f>
        <v/>
      </c>
      <c r="G1551" s="19" t="n"/>
      <c r="H1551" s="19" t="n"/>
    </row>
    <row r="1552">
      <c r="A1552" s="22" t="n"/>
      <c r="B1552" s="19" t="n"/>
      <c r="C1552" s="18">
        <f>IF(B1552="","",IFERROR(INDEX(Jugadores!$C$2:$C$501,MATCH(B1552,Jugadores!$A$2:$A$501,0)),"⚠ ID no existe"))</f>
        <v/>
      </c>
      <c r="D1552" s="19" t="n"/>
      <c r="E1552" s="19" t="n"/>
      <c r="F1552" s="16">
        <f>IF(OR(B1552="",D1552=""),"",IFERROR(INDEX('Tabla XP'!$B$2:$B$12,MATCH(D1552,'Tabla XP'!$A$2:$A$12,0))*IF(E1552="",1,E1552),0))</f>
        <v/>
      </c>
      <c r="G1552" s="19" t="n"/>
      <c r="H1552" s="19" t="n"/>
    </row>
    <row r="1553">
      <c r="A1553" s="22" t="n"/>
      <c r="B1553" s="19" t="n"/>
      <c r="C1553" s="18">
        <f>IF(B1553="","",IFERROR(INDEX(Jugadores!$C$2:$C$501,MATCH(B1553,Jugadores!$A$2:$A$501,0)),"⚠ ID no existe"))</f>
        <v/>
      </c>
      <c r="D1553" s="19" t="n"/>
      <c r="E1553" s="19" t="n"/>
      <c r="F1553" s="16">
        <f>IF(OR(B1553="",D1553=""),"",IFERROR(INDEX('Tabla XP'!$B$2:$B$12,MATCH(D1553,'Tabla XP'!$A$2:$A$12,0))*IF(E1553="",1,E1553),0))</f>
        <v/>
      </c>
      <c r="G1553" s="19" t="n"/>
      <c r="H1553" s="19" t="n"/>
    </row>
    <row r="1554">
      <c r="A1554" s="22" t="n"/>
      <c r="B1554" s="19" t="n"/>
      <c r="C1554" s="18">
        <f>IF(B1554="","",IFERROR(INDEX(Jugadores!$C$2:$C$501,MATCH(B1554,Jugadores!$A$2:$A$501,0)),"⚠ ID no existe"))</f>
        <v/>
      </c>
      <c r="D1554" s="19" t="n"/>
      <c r="E1554" s="19" t="n"/>
      <c r="F1554" s="16">
        <f>IF(OR(B1554="",D1554=""),"",IFERROR(INDEX('Tabla XP'!$B$2:$B$12,MATCH(D1554,'Tabla XP'!$A$2:$A$12,0))*IF(E1554="",1,E1554),0))</f>
        <v/>
      </c>
      <c r="G1554" s="19" t="n"/>
      <c r="H1554" s="19" t="n"/>
    </row>
    <row r="1555">
      <c r="A1555" s="22" t="n"/>
      <c r="B1555" s="19" t="n"/>
      <c r="C1555" s="18">
        <f>IF(B1555="","",IFERROR(INDEX(Jugadores!$C$2:$C$501,MATCH(B1555,Jugadores!$A$2:$A$501,0)),"⚠ ID no existe"))</f>
        <v/>
      </c>
      <c r="D1555" s="19" t="n"/>
      <c r="E1555" s="19" t="n"/>
      <c r="F1555" s="16">
        <f>IF(OR(B1555="",D1555=""),"",IFERROR(INDEX('Tabla XP'!$B$2:$B$12,MATCH(D1555,'Tabla XP'!$A$2:$A$12,0))*IF(E1555="",1,E1555),0))</f>
        <v/>
      </c>
      <c r="G1555" s="19" t="n"/>
      <c r="H1555" s="19" t="n"/>
    </row>
    <row r="1556">
      <c r="A1556" s="22" t="n"/>
      <c r="B1556" s="19" t="n"/>
      <c r="C1556" s="18">
        <f>IF(B1556="","",IFERROR(INDEX(Jugadores!$C$2:$C$501,MATCH(B1556,Jugadores!$A$2:$A$501,0)),"⚠ ID no existe"))</f>
        <v/>
      </c>
      <c r="D1556" s="19" t="n"/>
      <c r="E1556" s="19" t="n"/>
      <c r="F1556" s="16">
        <f>IF(OR(B1556="",D1556=""),"",IFERROR(INDEX('Tabla XP'!$B$2:$B$12,MATCH(D1556,'Tabla XP'!$A$2:$A$12,0))*IF(E1556="",1,E1556),0))</f>
        <v/>
      </c>
      <c r="G1556" s="19" t="n"/>
      <c r="H1556" s="19" t="n"/>
    </row>
    <row r="1557">
      <c r="A1557" s="22" t="n"/>
      <c r="B1557" s="19" t="n"/>
      <c r="C1557" s="18">
        <f>IF(B1557="","",IFERROR(INDEX(Jugadores!$C$2:$C$501,MATCH(B1557,Jugadores!$A$2:$A$501,0)),"⚠ ID no existe"))</f>
        <v/>
      </c>
      <c r="D1557" s="19" t="n"/>
      <c r="E1557" s="19" t="n"/>
      <c r="F1557" s="16">
        <f>IF(OR(B1557="",D1557=""),"",IFERROR(INDEX('Tabla XP'!$B$2:$B$12,MATCH(D1557,'Tabla XP'!$A$2:$A$12,0))*IF(E1557="",1,E1557),0))</f>
        <v/>
      </c>
      <c r="G1557" s="19" t="n"/>
      <c r="H1557" s="19" t="n"/>
    </row>
    <row r="1558">
      <c r="A1558" s="22" t="n"/>
      <c r="B1558" s="19" t="n"/>
      <c r="C1558" s="18">
        <f>IF(B1558="","",IFERROR(INDEX(Jugadores!$C$2:$C$501,MATCH(B1558,Jugadores!$A$2:$A$501,0)),"⚠ ID no existe"))</f>
        <v/>
      </c>
      <c r="D1558" s="19" t="n"/>
      <c r="E1558" s="19" t="n"/>
      <c r="F1558" s="16">
        <f>IF(OR(B1558="",D1558=""),"",IFERROR(INDEX('Tabla XP'!$B$2:$B$12,MATCH(D1558,'Tabla XP'!$A$2:$A$12,0))*IF(E1558="",1,E1558),0))</f>
        <v/>
      </c>
      <c r="G1558" s="19" t="n"/>
      <c r="H1558" s="19" t="n"/>
    </row>
    <row r="1559">
      <c r="A1559" s="22" t="n"/>
      <c r="B1559" s="19" t="n"/>
      <c r="C1559" s="18">
        <f>IF(B1559="","",IFERROR(INDEX(Jugadores!$C$2:$C$501,MATCH(B1559,Jugadores!$A$2:$A$501,0)),"⚠ ID no existe"))</f>
        <v/>
      </c>
      <c r="D1559" s="19" t="n"/>
      <c r="E1559" s="19" t="n"/>
      <c r="F1559" s="16">
        <f>IF(OR(B1559="",D1559=""),"",IFERROR(INDEX('Tabla XP'!$B$2:$B$12,MATCH(D1559,'Tabla XP'!$A$2:$A$12,0))*IF(E1559="",1,E1559),0))</f>
        <v/>
      </c>
      <c r="G1559" s="19" t="n"/>
      <c r="H1559" s="19" t="n"/>
    </row>
    <row r="1560">
      <c r="A1560" s="22" t="n"/>
      <c r="B1560" s="19" t="n"/>
      <c r="C1560" s="18">
        <f>IF(B1560="","",IFERROR(INDEX(Jugadores!$C$2:$C$501,MATCH(B1560,Jugadores!$A$2:$A$501,0)),"⚠ ID no existe"))</f>
        <v/>
      </c>
      <c r="D1560" s="19" t="n"/>
      <c r="E1560" s="19" t="n"/>
      <c r="F1560" s="16">
        <f>IF(OR(B1560="",D1560=""),"",IFERROR(INDEX('Tabla XP'!$B$2:$B$12,MATCH(D1560,'Tabla XP'!$A$2:$A$12,0))*IF(E1560="",1,E1560),0))</f>
        <v/>
      </c>
      <c r="G1560" s="19" t="n"/>
      <c r="H1560" s="19" t="n"/>
    </row>
    <row r="1561">
      <c r="A1561" s="22" t="n"/>
      <c r="B1561" s="19" t="n"/>
      <c r="C1561" s="18">
        <f>IF(B1561="","",IFERROR(INDEX(Jugadores!$C$2:$C$501,MATCH(B1561,Jugadores!$A$2:$A$501,0)),"⚠ ID no existe"))</f>
        <v/>
      </c>
      <c r="D1561" s="19" t="n"/>
      <c r="E1561" s="19" t="n"/>
      <c r="F1561" s="16">
        <f>IF(OR(B1561="",D1561=""),"",IFERROR(INDEX('Tabla XP'!$B$2:$B$12,MATCH(D1561,'Tabla XP'!$A$2:$A$12,0))*IF(E1561="",1,E1561),0))</f>
        <v/>
      </c>
      <c r="G1561" s="19" t="n"/>
      <c r="H1561" s="19" t="n"/>
    </row>
    <row r="1562">
      <c r="A1562" s="22" t="n"/>
      <c r="B1562" s="19" t="n"/>
      <c r="C1562" s="18">
        <f>IF(B1562="","",IFERROR(INDEX(Jugadores!$C$2:$C$501,MATCH(B1562,Jugadores!$A$2:$A$501,0)),"⚠ ID no existe"))</f>
        <v/>
      </c>
      <c r="D1562" s="19" t="n"/>
      <c r="E1562" s="19" t="n"/>
      <c r="F1562" s="16">
        <f>IF(OR(B1562="",D1562=""),"",IFERROR(INDEX('Tabla XP'!$B$2:$B$12,MATCH(D1562,'Tabla XP'!$A$2:$A$12,0))*IF(E1562="",1,E1562),0))</f>
        <v/>
      </c>
      <c r="G1562" s="19" t="n"/>
      <c r="H1562" s="19" t="n"/>
    </row>
    <row r="1563">
      <c r="A1563" s="22" t="n"/>
      <c r="B1563" s="19" t="n"/>
      <c r="C1563" s="18">
        <f>IF(B1563="","",IFERROR(INDEX(Jugadores!$C$2:$C$501,MATCH(B1563,Jugadores!$A$2:$A$501,0)),"⚠ ID no existe"))</f>
        <v/>
      </c>
      <c r="D1563" s="19" t="n"/>
      <c r="E1563" s="19" t="n"/>
      <c r="F1563" s="16">
        <f>IF(OR(B1563="",D1563=""),"",IFERROR(INDEX('Tabla XP'!$B$2:$B$12,MATCH(D1563,'Tabla XP'!$A$2:$A$12,0))*IF(E1563="",1,E1563),0))</f>
        <v/>
      </c>
      <c r="G1563" s="19" t="n"/>
      <c r="H1563" s="19" t="n"/>
    </row>
    <row r="1564">
      <c r="A1564" s="22" t="n"/>
      <c r="B1564" s="19" t="n"/>
      <c r="C1564" s="18">
        <f>IF(B1564="","",IFERROR(INDEX(Jugadores!$C$2:$C$501,MATCH(B1564,Jugadores!$A$2:$A$501,0)),"⚠ ID no existe"))</f>
        <v/>
      </c>
      <c r="D1564" s="19" t="n"/>
      <c r="E1564" s="19" t="n"/>
      <c r="F1564" s="16">
        <f>IF(OR(B1564="",D1564=""),"",IFERROR(INDEX('Tabla XP'!$B$2:$B$12,MATCH(D1564,'Tabla XP'!$A$2:$A$12,0))*IF(E1564="",1,E1564),0))</f>
        <v/>
      </c>
      <c r="G1564" s="19" t="n"/>
      <c r="H1564" s="19" t="n"/>
    </row>
    <row r="1565">
      <c r="A1565" s="22" t="n"/>
      <c r="B1565" s="19" t="n"/>
      <c r="C1565" s="18">
        <f>IF(B1565="","",IFERROR(INDEX(Jugadores!$C$2:$C$501,MATCH(B1565,Jugadores!$A$2:$A$501,0)),"⚠ ID no existe"))</f>
        <v/>
      </c>
      <c r="D1565" s="19" t="n"/>
      <c r="E1565" s="19" t="n"/>
      <c r="F1565" s="16">
        <f>IF(OR(B1565="",D1565=""),"",IFERROR(INDEX('Tabla XP'!$B$2:$B$12,MATCH(D1565,'Tabla XP'!$A$2:$A$12,0))*IF(E1565="",1,E1565),0))</f>
        <v/>
      </c>
      <c r="G1565" s="19" t="n"/>
      <c r="H1565" s="19" t="n"/>
    </row>
    <row r="1566">
      <c r="A1566" s="22" t="n"/>
      <c r="B1566" s="19" t="n"/>
      <c r="C1566" s="18">
        <f>IF(B1566="","",IFERROR(INDEX(Jugadores!$C$2:$C$501,MATCH(B1566,Jugadores!$A$2:$A$501,0)),"⚠ ID no existe"))</f>
        <v/>
      </c>
      <c r="D1566" s="19" t="n"/>
      <c r="E1566" s="19" t="n"/>
      <c r="F1566" s="16">
        <f>IF(OR(B1566="",D1566=""),"",IFERROR(INDEX('Tabla XP'!$B$2:$B$12,MATCH(D1566,'Tabla XP'!$A$2:$A$12,0))*IF(E1566="",1,E1566),0))</f>
        <v/>
      </c>
      <c r="G1566" s="19" t="n"/>
      <c r="H1566" s="19" t="n"/>
    </row>
    <row r="1567">
      <c r="A1567" s="22" t="n"/>
      <c r="B1567" s="19" t="n"/>
      <c r="C1567" s="18">
        <f>IF(B1567="","",IFERROR(INDEX(Jugadores!$C$2:$C$501,MATCH(B1567,Jugadores!$A$2:$A$501,0)),"⚠ ID no existe"))</f>
        <v/>
      </c>
      <c r="D1567" s="19" t="n"/>
      <c r="E1567" s="19" t="n"/>
      <c r="F1567" s="16">
        <f>IF(OR(B1567="",D1567=""),"",IFERROR(INDEX('Tabla XP'!$B$2:$B$12,MATCH(D1567,'Tabla XP'!$A$2:$A$12,0))*IF(E1567="",1,E1567),0))</f>
        <v/>
      </c>
      <c r="G1567" s="19" t="n"/>
      <c r="H1567" s="19" t="n"/>
    </row>
    <row r="1568">
      <c r="A1568" s="22" t="n"/>
      <c r="B1568" s="19" t="n"/>
      <c r="C1568" s="18">
        <f>IF(B1568="","",IFERROR(INDEX(Jugadores!$C$2:$C$501,MATCH(B1568,Jugadores!$A$2:$A$501,0)),"⚠ ID no existe"))</f>
        <v/>
      </c>
      <c r="D1568" s="19" t="n"/>
      <c r="E1568" s="19" t="n"/>
      <c r="F1568" s="16">
        <f>IF(OR(B1568="",D1568=""),"",IFERROR(INDEX('Tabla XP'!$B$2:$B$12,MATCH(D1568,'Tabla XP'!$A$2:$A$12,0))*IF(E1568="",1,E1568),0))</f>
        <v/>
      </c>
      <c r="G1568" s="19" t="n"/>
      <c r="H1568" s="19" t="n"/>
    </row>
    <row r="1569">
      <c r="A1569" s="22" t="n"/>
      <c r="B1569" s="19" t="n"/>
      <c r="C1569" s="18">
        <f>IF(B1569="","",IFERROR(INDEX(Jugadores!$C$2:$C$501,MATCH(B1569,Jugadores!$A$2:$A$501,0)),"⚠ ID no existe"))</f>
        <v/>
      </c>
      <c r="D1569" s="19" t="n"/>
      <c r="E1569" s="19" t="n"/>
      <c r="F1569" s="16">
        <f>IF(OR(B1569="",D1569=""),"",IFERROR(INDEX('Tabla XP'!$B$2:$B$12,MATCH(D1569,'Tabla XP'!$A$2:$A$12,0))*IF(E1569="",1,E1569),0))</f>
        <v/>
      </c>
      <c r="G1569" s="19" t="n"/>
      <c r="H1569" s="19" t="n"/>
    </row>
    <row r="1570">
      <c r="A1570" s="22" t="n"/>
      <c r="B1570" s="19" t="n"/>
      <c r="C1570" s="18">
        <f>IF(B1570="","",IFERROR(INDEX(Jugadores!$C$2:$C$501,MATCH(B1570,Jugadores!$A$2:$A$501,0)),"⚠ ID no existe"))</f>
        <v/>
      </c>
      <c r="D1570" s="19" t="n"/>
      <c r="E1570" s="19" t="n"/>
      <c r="F1570" s="16">
        <f>IF(OR(B1570="",D1570=""),"",IFERROR(INDEX('Tabla XP'!$B$2:$B$12,MATCH(D1570,'Tabla XP'!$A$2:$A$12,0))*IF(E1570="",1,E1570),0))</f>
        <v/>
      </c>
      <c r="G1570" s="19" t="n"/>
      <c r="H1570" s="19" t="n"/>
    </row>
    <row r="1571">
      <c r="A1571" s="22" t="n"/>
      <c r="B1571" s="19" t="n"/>
      <c r="C1571" s="18">
        <f>IF(B1571="","",IFERROR(INDEX(Jugadores!$C$2:$C$501,MATCH(B1571,Jugadores!$A$2:$A$501,0)),"⚠ ID no existe"))</f>
        <v/>
      </c>
      <c r="D1571" s="19" t="n"/>
      <c r="E1571" s="19" t="n"/>
      <c r="F1571" s="16">
        <f>IF(OR(B1571="",D1571=""),"",IFERROR(INDEX('Tabla XP'!$B$2:$B$12,MATCH(D1571,'Tabla XP'!$A$2:$A$12,0))*IF(E1571="",1,E1571),0))</f>
        <v/>
      </c>
      <c r="G1571" s="19" t="n"/>
      <c r="H1571" s="19" t="n"/>
    </row>
    <row r="1572">
      <c r="A1572" s="22" t="n"/>
      <c r="B1572" s="19" t="n"/>
      <c r="C1572" s="18">
        <f>IF(B1572="","",IFERROR(INDEX(Jugadores!$C$2:$C$501,MATCH(B1572,Jugadores!$A$2:$A$501,0)),"⚠ ID no existe"))</f>
        <v/>
      </c>
      <c r="D1572" s="19" t="n"/>
      <c r="E1572" s="19" t="n"/>
      <c r="F1572" s="16">
        <f>IF(OR(B1572="",D1572=""),"",IFERROR(INDEX('Tabla XP'!$B$2:$B$12,MATCH(D1572,'Tabla XP'!$A$2:$A$12,0))*IF(E1572="",1,E1572),0))</f>
        <v/>
      </c>
      <c r="G1572" s="19" t="n"/>
      <c r="H1572" s="19" t="n"/>
    </row>
    <row r="1573">
      <c r="A1573" s="22" t="n"/>
      <c r="B1573" s="19" t="n"/>
      <c r="C1573" s="18">
        <f>IF(B1573="","",IFERROR(INDEX(Jugadores!$C$2:$C$501,MATCH(B1573,Jugadores!$A$2:$A$501,0)),"⚠ ID no existe"))</f>
        <v/>
      </c>
      <c r="D1573" s="19" t="n"/>
      <c r="E1573" s="19" t="n"/>
      <c r="F1573" s="16">
        <f>IF(OR(B1573="",D1573=""),"",IFERROR(INDEX('Tabla XP'!$B$2:$B$12,MATCH(D1573,'Tabla XP'!$A$2:$A$12,0))*IF(E1573="",1,E1573),0))</f>
        <v/>
      </c>
      <c r="G1573" s="19" t="n"/>
      <c r="H1573" s="19" t="n"/>
    </row>
    <row r="1574">
      <c r="A1574" s="22" t="n"/>
      <c r="B1574" s="19" t="n"/>
      <c r="C1574" s="18">
        <f>IF(B1574="","",IFERROR(INDEX(Jugadores!$C$2:$C$501,MATCH(B1574,Jugadores!$A$2:$A$501,0)),"⚠ ID no existe"))</f>
        <v/>
      </c>
      <c r="D1574" s="19" t="n"/>
      <c r="E1574" s="19" t="n"/>
      <c r="F1574" s="16">
        <f>IF(OR(B1574="",D1574=""),"",IFERROR(INDEX('Tabla XP'!$B$2:$B$12,MATCH(D1574,'Tabla XP'!$A$2:$A$12,0))*IF(E1574="",1,E1574),0))</f>
        <v/>
      </c>
      <c r="G1574" s="19" t="n"/>
      <c r="H1574" s="19" t="n"/>
    </row>
    <row r="1575">
      <c r="A1575" s="22" t="n"/>
      <c r="B1575" s="19" t="n"/>
      <c r="C1575" s="18">
        <f>IF(B1575="","",IFERROR(INDEX(Jugadores!$C$2:$C$501,MATCH(B1575,Jugadores!$A$2:$A$501,0)),"⚠ ID no existe"))</f>
        <v/>
      </c>
      <c r="D1575" s="19" t="n"/>
      <c r="E1575" s="19" t="n"/>
      <c r="F1575" s="16">
        <f>IF(OR(B1575="",D1575=""),"",IFERROR(INDEX('Tabla XP'!$B$2:$B$12,MATCH(D1575,'Tabla XP'!$A$2:$A$12,0))*IF(E1575="",1,E1575),0))</f>
        <v/>
      </c>
      <c r="G1575" s="19" t="n"/>
      <c r="H1575" s="19" t="n"/>
    </row>
    <row r="1576">
      <c r="A1576" s="22" t="n"/>
      <c r="B1576" s="19" t="n"/>
      <c r="C1576" s="18">
        <f>IF(B1576="","",IFERROR(INDEX(Jugadores!$C$2:$C$501,MATCH(B1576,Jugadores!$A$2:$A$501,0)),"⚠ ID no existe"))</f>
        <v/>
      </c>
      <c r="D1576" s="19" t="n"/>
      <c r="E1576" s="19" t="n"/>
      <c r="F1576" s="16">
        <f>IF(OR(B1576="",D1576=""),"",IFERROR(INDEX('Tabla XP'!$B$2:$B$12,MATCH(D1576,'Tabla XP'!$A$2:$A$12,0))*IF(E1576="",1,E1576),0))</f>
        <v/>
      </c>
      <c r="G1576" s="19" t="n"/>
      <c r="H1576" s="19" t="n"/>
    </row>
    <row r="1577">
      <c r="A1577" s="22" t="n"/>
      <c r="B1577" s="19" t="n"/>
      <c r="C1577" s="18">
        <f>IF(B1577="","",IFERROR(INDEX(Jugadores!$C$2:$C$501,MATCH(B1577,Jugadores!$A$2:$A$501,0)),"⚠ ID no existe"))</f>
        <v/>
      </c>
      <c r="D1577" s="19" t="n"/>
      <c r="E1577" s="19" t="n"/>
      <c r="F1577" s="16">
        <f>IF(OR(B1577="",D1577=""),"",IFERROR(INDEX('Tabla XP'!$B$2:$B$12,MATCH(D1577,'Tabla XP'!$A$2:$A$12,0))*IF(E1577="",1,E1577),0))</f>
        <v/>
      </c>
      <c r="G1577" s="19" t="n"/>
      <c r="H1577" s="19" t="n"/>
    </row>
    <row r="1578">
      <c r="A1578" s="22" t="n"/>
      <c r="B1578" s="19" t="n"/>
      <c r="C1578" s="18">
        <f>IF(B1578="","",IFERROR(INDEX(Jugadores!$C$2:$C$501,MATCH(B1578,Jugadores!$A$2:$A$501,0)),"⚠ ID no existe"))</f>
        <v/>
      </c>
      <c r="D1578" s="19" t="n"/>
      <c r="E1578" s="19" t="n"/>
      <c r="F1578" s="16">
        <f>IF(OR(B1578="",D1578=""),"",IFERROR(INDEX('Tabla XP'!$B$2:$B$12,MATCH(D1578,'Tabla XP'!$A$2:$A$12,0))*IF(E1578="",1,E1578),0))</f>
        <v/>
      </c>
      <c r="G1578" s="19" t="n"/>
      <c r="H1578" s="19" t="n"/>
    </row>
    <row r="1579">
      <c r="A1579" s="22" t="n"/>
      <c r="B1579" s="19" t="n"/>
      <c r="C1579" s="18">
        <f>IF(B1579="","",IFERROR(INDEX(Jugadores!$C$2:$C$501,MATCH(B1579,Jugadores!$A$2:$A$501,0)),"⚠ ID no existe"))</f>
        <v/>
      </c>
      <c r="D1579" s="19" t="n"/>
      <c r="E1579" s="19" t="n"/>
      <c r="F1579" s="16">
        <f>IF(OR(B1579="",D1579=""),"",IFERROR(INDEX('Tabla XP'!$B$2:$B$12,MATCH(D1579,'Tabla XP'!$A$2:$A$12,0))*IF(E1579="",1,E1579),0))</f>
        <v/>
      </c>
      <c r="G1579" s="19" t="n"/>
      <c r="H1579" s="19" t="n"/>
    </row>
    <row r="1580">
      <c r="A1580" s="22" t="n"/>
      <c r="B1580" s="19" t="n"/>
      <c r="C1580" s="18">
        <f>IF(B1580="","",IFERROR(INDEX(Jugadores!$C$2:$C$501,MATCH(B1580,Jugadores!$A$2:$A$501,0)),"⚠ ID no existe"))</f>
        <v/>
      </c>
      <c r="D1580" s="19" t="n"/>
      <c r="E1580" s="19" t="n"/>
      <c r="F1580" s="16">
        <f>IF(OR(B1580="",D1580=""),"",IFERROR(INDEX('Tabla XP'!$B$2:$B$12,MATCH(D1580,'Tabla XP'!$A$2:$A$12,0))*IF(E1580="",1,E1580),0))</f>
        <v/>
      </c>
      <c r="G1580" s="19" t="n"/>
      <c r="H1580" s="19" t="n"/>
    </row>
    <row r="1581">
      <c r="A1581" s="22" t="n"/>
      <c r="B1581" s="19" t="n"/>
      <c r="C1581" s="18">
        <f>IF(B1581="","",IFERROR(INDEX(Jugadores!$C$2:$C$501,MATCH(B1581,Jugadores!$A$2:$A$501,0)),"⚠ ID no existe"))</f>
        <v/>
      </c>
      <c r="D1581" s="19" t="n"/>
      <c r="E1581" s="19" t="n"/>
      <c r="F1581" s="16">
        <f>IF(OR(B1581="",D1581=""),"",IFERROR(INDEX('Tabla XP'!$B$2:$B$12,MATCH(D1581,'Tabla XP'!$A$2:$A$12,0))*IF(E1581="",1,E1581),0))</f>
        <v/>
      </c>
      <c r="G1581" s="19" t="n"/>
      <c r="H1581" s="19" t="n"/>
    </row>
    <row r="1582">
      <c r="A1582" s="22" t="n"/>
      <c r="B1582" s="19" t="n"/>
      <c r="C1582" s="18">
        <f>IF(B1582="","",IFERROR(INDEX(Jugadores!$C$2:$C$501,MATCH(B1582,Jugadores!$A$2:$A$501,0)),"⚠ ID no existe"))</f>
        <v/>
      </c>
      <c r="D1582" s="19" t="n"/>
      <c r="E1582" s="19" t="n"/>
      <c r="F1582" s="16">
        <f>IF(OR(B1582="",D1582=""),"",IFERROR(INDEX('Tabla XP'!$B$2:$B$12,MATCH(D1582,'Tabla XP'!$A$2:$A$12,0))*IF(E1582="",1,E1582),0))</f>
        <v/>
      </c>
      <c r="G1582" s="19" t="n"/>
      <c r="H1582" s="19" t="n"/>
    </row>
    <row r="1583">
      <c r="A1583" s="22" t="n"/>
      <c r="B1583" s="19" t="n"/>
      <c r="C1583" s="18">
        <f>IF(B1583="","",IFERROR(INDEX(Jugadores!$C$2:$C$501,MATCH(B1583,Jugadores!$A$2:$A$501,0)),"⚠ ID no existe"))</f>
        <v/>
      </c>
      <c r="D1583" s="19" t="n"/>
      <c r="E1583" s="19" t="n"/>
      <c r="F1583" s="16">
        <f>IF(OR(B1583="",D1583=""),"",IFERROR(INDEX('Tabla XP'!$B$2:$B$12,MATCH(D1583,'Tabla XP'!$A$2:$A$12,0))*IF(E1583="",1,E1583),0))</f>
        <v/>
      </c>
      <c r="G1583" s="19" t="n"/>
      <c r="H1583" s="19" t="n"/>
    </row>
    <row r="1584">
      <c r="A1584" s="22" t="n"/>
      <c r="B1584" s="19" t="n"/>
      <c r="C1584" s="18">
        <f>IF(B1584="","",IFERROR(INDEX(Jugadores!$C$2:$C$501,MATCH(B1584,Jugadores!$A$2:$A$501,0)),"⚠ ID no existe"))</f>
        <v/>
      </c>
      <c r="D1584" s="19" t="n"/>
      <c r="E1584" s="19" t="n"/>
      <c r="F1584" s="16">
        <f>IF(OR(B1584="",D1584=""),"",IFERROR(INDEX('Tabla XP'!$B$2:$B$12,MATCH(D1584,'Tabla XP'!$A$2:$A$12,0))*IF(E1584="",1,E1584),0))</f>
        <v/>
      </c>
      <c r="G1584" s="19" t="n"/>
      <c r="H1584" s="19" t="n"/>
    </row>
    <row r="1585">
      <c r="A1585" s="22" t="n"/>
      <c r="B1585" s="19" t="n"/>
      <c r="C1585" s="18">
        <f>IF(B1585="","",IFERROR(INDEX(Jugadores!$C$2:$C$501,MATCH(B1585,Jugadores!$A$2:$A$501,0)),"⚠ ID no existe"))</f>
        <v/>
      </c>
      <c r="D1585" s="19" t="n"/>
      <c r="E1585" s="19" t="n"/>
      <c r="F1585" s="16">
        <f>IF(OR(B1585="",D1585=""),"",IFERROR(INDEX('Tabla XP'!$B$2:$B$12,MATCH(D1585,'Tabla XP'!$A$2:$A$12,0))*IF(E1585="",1,E1585),0))</f>
        <v/>
      </c>
      <c r="G1585" s="19" t="n"/>
      <c r="H1585" s="19" t="n"/>
    </row>
    <row r="1586">
      <c r="A1586" s="22" t="n"/>
      <c r="B1586" s="19" t="n"/>
      <c r="C1586" s="18">
        <f>IF(B1586="","",IFERROR(INDEX(Jugadores!$C$2:$C$501,MATCH(B1586,Jugadores!$A$2:$A$501,0)),"⚠ ID no existe"))</f>
        <v/>
      </c>
      <c r="D1586" s="19" t="n"/>
      <c r="E1586" s="19" t="n"/>
      <c r="F1586" s="16">
        <f>IF(OR(B1586="",D1586=""),"",IFERROR(INDEX('Tabla XP'!$B$2:$B$12,MATCH(D1586,'Tabla XP'!$A$2:$A$12,0))*IF(E1586="",1,E1586),0))</f>
        <v/>
      </c>
      <c r="G1586" s="19" t="n"/>
      <c r="H1586" s="19" t="n"/>
    </row>
    <row r="1587">
      <c r="A1587" s="22" t="n"/>
      <c r="B1587" s="19" t="n"/>
      <c r="C1587" s="18">
        <f>IF(B1587="","",IFERROR(INDEX(Jugadores!$C$2:$C$501,MATCH(B1587,Jugadores!$A$2:$A$501,0)),"⚠ ID no existe"))</f>
        <v/>
      </c>
      <c r="D1587" s="19" t="n"/>
      <c r="E1587" s="19" t="n"/>
      <c r="F1587" s="16">
        <f>IF(OR(B1587="",D1587=""),"",IFERROR(INDEX('Tabla XP'!$B$2:$B$12,MATCH(D1587,'Tabla XP'!$A$2:$A$12,0))*IF(E1587="",1,E1587),0))</f>
        <v/>
      </c>
      <c r="G1587" s="19" t="n"/>
      <c r="H1587" s="19" t="n"/>
    </row>
    <row r="1588">
      <c r="A1588" s="22" t="n"/>
      <c r="B1588" s="19" t="n"/>
      <c r="C1588" s="18">
        <f>IF(B1588="","",IFERROR(INDEX(Jugadores!$C$2:$C$501,MATCH(B1588,Jugadores!$A$2:$A$501,0)),"⚠ ID no existe"))</f>
        <v/>
      </c>
      <c r="D1588" s="19" t="n"/>
      <c r="E1588" s="19" t="n"/>
      <c r="F1588" s="16">
        <f>IF(OR(B1588="",D1588=""),"",IFERROR(INDEX('Tabla XP'!$B$2:$B$12,MATCH(D1588,'Tabla XP'!$A$2:$A$12,0))*IF(E1588="",1,E1588),0))</f>
        <v/>
      </c>
      <c r="G1588" s="19" t="n"/>
      <c r="H1588" s="19" t="n"/>
    </row>
    <row r="1589">
      <c r="A1589" s="22" t="n"/>
      <c r="B1589" s="19" t="n"/>
      <c r="C1589" s="18">
        <f>IF(B1589="","",IFERROR(INDEX(Jugadores!$C$2:$C$501,MATCH(B1589,Jugadores!$A$2:$A$501,0)),"⚠ ID no existe"))</f>
        <v/>
      </c>
      <c r="D1589" s="19" t="n"/>
      <c r="E1589" s="19" t="n"/>
      <c r="F1589" s="16">
        <f>IF(OR(B1589="",D1589=""),"",IFERROR(INDEX('Tabla XP'!$B$2:$B$12,MATCH(D1589,'Tabla XP'!$A$2:$A$12,0))*IF(E1589="",1,E1589),0))</f>
        <v/>
      </c>
      <c r="G1589" s="19" t="n"/>
      <c r="H1589" s="19" t="n"/>
    </row>
    <row r="1590">
      <c r="A1590" s="22" t="n"/>
      <c r="B1590" s="19" t="n"/>
      <c r="C1590" s="18">
        <f>IF(B1590="","",IFERROR(INDEX(Jugadores!$C$2:$C$501,MATCH(B1590,Jugadores!$A$2:$A$501,0)),"⚠ ID no existe"))</f>
        <v/>
      </c>
      <c r="D1590" s="19" t="n"/>
      <c r="E1590" s="19" t="n"/>
      <c r="F1590" s="16">
        <f>IF(OR(B1590="",D1590=""),"",IFERROR(INDEX('Tabla XP'!$B$2:$B$12,MATCH(D1590,'Tabla XP'!$A$2:$A$12,0))*IF(E1590="",1,E1590),0))</f>
        <v/>
      </c>
      <c r="G1590" s="19" t="n"/>
      <c r="H1590" s="19" t="n"/>
    </row>
    <row r="1591">
      <c r="A1591" s="22" t="n"/>
      <c r="B1591" s="19" t="n"/>
      <c r="C1591" s="18">
        <f>IF(B1591="","",IFERROR(INDEX(Jugadores!$C$2:$C$501,MATCH(B1591,Jugadores!$A$2:$A$501,0)),"⚠ ID no existe"))</f>
        <v/>
      </c>
      <c r="D1591" s="19" t="n"/>
      <c r="E1591" s="19" t="n"/>
      <c r="F1591" s="16">
        <f>IF(OR(B1591="",D1591=""),"",IFERROR(INDEX('Tabla XP'!$B$2:$B$12,MATCH(D1591,'Tabla XP'!$A$2:$A$12,0))*IF(E1591="",1,E1591),0))</f>
        <v/>
      </c>
      <c r="G1591" s="19" t="n"/>
      <c r="H1591" s="19" t="n"/>
    </row>
    <row r="1592">
      <c r="A1592" s="22" t="n"/>
      <c r="B1592" s="19" t="n"/>
      <c r="C1592" s="18">
        <f>IF(B1592="","",IFERROR(INDEX(Jugadores!$C$2:$C$501,MATCH(B1592,Jugadores!$A$2:$A$501,0)),"⚠ ID no existe"))</f>
        <v/>
      </c>
      <c r="D1592" s="19" t="n"/>
      <c r="E1592" s="19" t="n"/>
      <c r="F1592" s="16">
        <f>IF(OR(B1592="",D1592=""),"",IFERROR(INDEX('Tabla XP'!$B$2:$B$12,MATCH(D1592,'Tabla XP'!$A$2:$A$12,0))*IF(E1592="",1,E1592),0))</f>
        <v/>
      </c>
      <c r="G1592" s="19" t="n"/>
      <c r="H1592" s="19" t="n"/>
    </row>
    <row r="1593">
      <c r="A1593" s="22" t="n"/>
      <c r="B1593" s="19" t="n"/>
      <c r="C1593" s="18">
        <f>IF(B1593="","",IFERROR(INDEX(Jugadores!$C$2:$C$501,MATCH(B1593,Jugadores!$A$2:$A$501,0)),"⚠ ID no existe"))</f>
        <v/>
      </c>
      <c r="D1593" s="19" t="n"/>
      <c r="E1593" s="19" t="n"/>
      <c r="F1593" s="16">
        <f>IF(OR(B1593="",D1593=""),"",IFERROR(INDEX('Tabla XP'!$B$2:$B$12,MATCH(D1593,'Tabla XP'!$A$2:$A$12,0))*IF(E1593="",1,E1593),0))</f>
        <v/>
      </c>
      <c r="G1593" s="19" t="n"/>
      <c r="H1593" s="19" t="n"/>
    </row>
    <row r="1594">
      <c r="A1594" s="22" t="n"/>
      <c r="B1594" s="19" t="n"/>
      <c r="C1594" s="18">
        <f>IF(B1594="","",IFERROR(INDEX(Jugadores!$C$2:$C$501,MATCH(B1594,Jugadores!$A$2:$A$501,0)),"⚠ ID no existe"))</f>
        <v/>
      </c>
      <c r="D1594" s="19" t="n"/>
      <c r="E1594" s="19" t="n"/>
      <c r="F1594" s="16">
        <f>IF(OR(B1594="",D1594=""),"",IFERROR(INDEX('Tabla XP'!$B$2:$B$12,MATCH(D1594,'Tabla XP'!$A$2:$A$12,0))*IF(E1594="",1,E1594),0))</f>
        <v/>
      </c>
      <c r="G1594" s="19" t="n"/>
      <c r="H1594" s="19" t="n"/>
    </row>
    <row r="1595">
      <c r="A1595" s="22" t="n"/>
      <c r="B1595" s="19" t="n"/>
      <c r="C1595" s="18">
        <f>IF(B1595="","",IFERROR(INDEX(Jugadores!$C$2:$C$501,MATCH(B1595,Jugadores!$A$2:$A$501,0)),"⚠ ID no existe"))</f>
        <v/>
      </c>
      <c r="D1595" s="19" t="n"/>
      <c r="E1595" s="19" t="n"/>
      <c r="F1595" s="16">
        <f>IF(OR(B1595="",D1595=""),"",IFERROR(INDEX('Tabla XP'!$B$2:$B$12,MATCH(D1595,'Tabla XP'!$A$2:$A$12,0))*IF(E1595="",1,E1595),0))</f>
        <v/>
      </c>
      <c r="G1595" s="19" t="n"/>
      <c r="H1595" s="19" t="n"/>
    </row>
    <row r="1596">
      <c r="A1596" s="22" t="n"/>
      <c r="B1596" s="19" t="n"/>
      <c r="C1596" s="18">
        <f>IF(B1596="","",IFERROR(INDEX(Jugadores!$C$2:$C$501,MATCH(B1596,Jugadores!$A$2:$A$501,0)),"⚠ ID no existe"))</f>
        <v/>
      </c>
      <c r="D1596" s="19" t="n"/>
      <c r="E1596" s="19" t="n"/>
      <c r="F1596" s="16">
        <f>IF(OR(B1596="",D1596=""),"",IFERROR(INDEX('Tabla XP'!$B$2:$B$12,MATCH(D1596,'Tabla XP'!$A$2:$A$12,0))*IF(E1596="",1,E1596),0))</f>
        <v/>
      </c>
      <c r="G1596" s="19" t="n"/>
      <c r="H1596" s="19" t="n"/>
    </row>
    <row r="1597">
      <c r="A1597" s="22" t="n"/>
      <c r="B1597" s="19" t="n"/>
      <c r="C1597" s="18">
        <f>IF(B1597="","",IFERROR(INDEX(Jugadores!$C$2:$C$501,MATCH(B1597,Jugadores!$A$2:$A$501,0)),"⚠ ID no existe"))</f>
        <v/>
      </c>
      <c r="D1597" s="19" t="n"/>
      <c r="E1597" s="19" t="n"/>
      <c r="F1597" s="16">
        <f>IF(OR(B1597="",D1597=""),"",IFERROR(INDEX('Tabla XP'!$B$2:$B$12,MATCH(D1597,'Tabla XP'!$A$2:$A$12,0))*IF(E1597="",1,E1597),0))</f>
        <v/>
      </c>
      <c r="G1597" s="19" t="n"/>
      <c r="H1597" s="19" t="n"/>
    </row>
    <row r="1598">
      <c r="A1598" s="22" t="n"/>
      <c r="B1598" s="19" t="n"/>
      <c r="C1598" s="18">
        <f>IF(B1598="","",IFERROR(INDEX(Jugadores!$C$2:$C$501,MATCH(B1598,Jugadores!$A$2:$A$501,0)),"⚠ ID no existe"))</f>
        <v/>
      </c>
      <c r="D1598" s="19" t="n"/>
      <c r="E1598" s="19" t="n"/>
      <c r="F1598" s="16">
        <f>IF(OR(B1598="",D1598=""),"",IFERROR(INDEX('Tabla XP'!$B$2:$B$12,MATCH(D1598,'Tabla XP'!$A$2:$A$12,0))*IF(E1598="",1,E1598),0))</f>
        <v/>
      </c>
      <c r="G1598" s="19" t="n"/>
      <c r="H1598" s="19" t="n"/>
    </row>
    <row r="1599">
      <c r="A1599" s="22" t="n"/>
      <c r="B1599" s="19" t="n"/>
      <c r="C1599" s="18">
        <f>IF(B1599="","",IFERROR(INDEX(Jugadores!$C$2:$C$501,MATCH(B1599,Jugadores!$A$2:$A$501,0)),"⚠ ID no existe"))</f>
        <v/>
      </c>
      <c r="D1599" s="19" t="n"/>
      <c r="E1599" s="19" t="n"/>
      <c r="F1599" s="16">
        <f>IF(OR(B1599="",D1599=""),"",IFERROR(INDEX('Tabla XP'!$B$2:$B$12,MATCH(D1599,'Tabla XP'!$A$2:$A$12,0))*IF(E1599="",1,E1599),0))</f>
        <v/>
      </c>
      <c r="G1599" s="19" t="n"/>
      <c r="H1599" s="19" t="n"/>
    </row>
    <row r="1600">
      <c r="A1600" s="22" t="n"/>
      <c r="B1600" s="19" t="n"/>
      <c r="C1600" s="18">
        <f>IF(B1600="","",IFERROR(INDEX(Jugadores!$C$2:$C$501,MATCH(B1600,Jugadores!$A$2:$A$501,0)),"⚠ ID no existe"))</f>
        <v/>
      </c>
      <c r="D1600" s="19" t="n"/>
      <c r="E1600" s="19" t="n"/>
      <c r="F1600" s="16">
        <f>IF(OR(B1600="",D1600=""),"",IFERROR(INDEX('Tabla XP'!$B$2:$B$12,MATCH(D1600,'Tabla XP'!$A$2:$A$12,0))*IF(E1600="",1,E1600),0))</f>
        <v/>
      </c>
      <c r="G1600" s="19" t="n"/>
      <c r="H1600" s="19" t="n"/>
    </row>
    <row r="1601">
      <c r="A1601" s="22" t="n"/>
      <c r="B1601" s="19" t="n"/>
      <c r="C1601" s="18">
        <f>IF(B1601="","",IFERROR(INDEX(Jugadores!$C$2:$C$501,MATCH(B1601,Jugadores!$A$2:$A$501,0)),"⚠ ID no existe"))</f>
        <v/>
      </c>
      <c r="D1601" s="19" t="n"/>
      <c r="E1601" s="19" t="n"/>
      <c r="F1601" s="16">
        <f>IF(OR(B1601="",D1601=""),"",IFERROR(INDEX('Tabla XP'!$B$2:$B$12,MATCH(D1601,'Tabla XP'!$A$2:$A$12,0))*IF(E1601="",1,E1601),0))</f>
        <v/>
      </c>
      <c r="G1601" s="19" t="n"/>
      <c r="H1601" s="19" t="n"/>
    </row>
    <row r="1602">
      <c r="A1602" s="22" t="n"/>
      <c r="B1602" s="19" t="n"/>
      <c r="C1602" s="18">
        <f>IF(B1602="","",IFERROR(INDEX(Jugadores!$C$2:$C$501,MATCH(B1602,Jugadores!$A$2:$A$501,0)),"⚠ ID no existe"))</f>
        <v/>
      </c>
      <c r="D1602" s="19" t="n"/>
      <c r="E1602" s="19" t="n"/>
      <c r="F1602" s="16">
        <f>IF(OR(B1602="",D1602=""),"",IFERROR(INDEX('Tabla XP'!$B$2:$B$12,MATCH(D1602,'Tabla XP'!$A$2:$A$12,0))*IF(E1602="",1,E1602),0))</f>
        <v/>
      </c>
      <c r="G1602" s="19" t="n"/>
      <c r="H1602" s="19" t="n"/>
    </row>
    <row r="1603">
      <c r="A1603" s="22" t="n"/>
      <c r="B1603" s="19" t="n"/>
      <c r="C1603" s="18">
        <f>IF(B1603="","",IFERROR(INDEX(Jugadores!$C$2:$C$501,MATCH(B1603,Jugadores!$A$2:$A$501,0)),"⚠ ID no existe"))</f>
        <v/>
      </c>
      <c r="D1603" s="19" t="n"/>
      <c r="E1603" s="19" t="n"/>
      <c r="F1603" s="16">
        <f>IF(OR(B1603="",D1603=""),"",IFERROR(INDEX('Tabla XP'!$B$2:$B$12,MATCH(D1603,'Tabla XP'!$A$2:$A$12,0))*IF(E1603="",1,E1603),0))</f>
        <v/>
      </c>
      <c r="G1603" s="19" t="n"/>
      <c r="H1603" s="19" t="n"/>
    </row>
    <row r="1604">
      <c r="A1604" s="22" t="n"/>
      <c r="B1604" s="19" t="n"/>
      <c r="C1604" s="18">
        <f>IF(B1604="","",IFERROR(INDEX(Jugadores!$C$2:$C$501,MATCH(B1604,Jugadores!$A$2:$A$501,0)),"⚠ ID no existe"))</f>
        <v/>
      </c>
      <c r="D1604" s="19" t="n"/>
      <c r="E1604" s="19" t="n"/>
      <c r="F1604" s="16">
        <f>IF(OR(B1604="",D1604=""),"",IFERROR(INDEX('Tabla XP'!$B$2:$B$12,MATCH(D1604,'Tabla XP'!$A$2:$A$12,0))*IF(E1604="",1,E1604),0))</f>
        <v/>
      </c>
      <c r="G1604" s="19" t="n"/>
      <c r="H1604" s="19" t="n"/>
    </row>
    <row r="1605">
      <c r="A1605" s="22" t="n"/>
      <c r="B1605" s="19" t="n"/>
      <c r="C1605" s="18">
        <f>IF(B1605="","",IFERROR(INDEX(Jugadores!$C$2:$C$501,MATCH(B1605,Jugadores!$A$2:$A$501,0)),"⚠ ID no existe"))</f>
        <v/>
      </c>
      <c r="D1605" s="19" t="n"/>
      <c r="E1605" s="19" t="n"/>
      <c r="F1605" s="16">
        <f>IF(OR(B1605="",D1605=""),"",IFERROR(INDEX('Tabla XP'!$B$2:$B$12,MATCH(D1605,'Tabla XP'!$A$2:$A$12,0))*IF(E1605="",1,E1605),0))</f>
        <v/>
      </c>
      <c r="G1605" s="19" t="n"/>
      <c r="H1605" s="19" t="n"/>
    </row>
    <row r="1606">
      <c r="A1606" s="22" t="n"/>
      <c r="B1606" s="19" t="n"/>
      <c r="C1606" s="18">
        <f>IF(B1606="","",IFERROR(INDEX(Jugadores!$C$2:$C$501,MATCH(B1606,Jugadores!$A$2:$A$501,0)),"⚠ ID no existe"))</f>
        <v/>
      </c>
      <c r="D1606" s="19" t="n"/>
      <c r="E1606" s="19" t="n"/>
      <c r="F1606" s="16">
        <f>IF(OR(B1606="",D1606=""),"",IFERROR(INDEX('Tabla XP'!$B$2:$B$12,MATCH(D1606,'Tabla XP'!$A$2:$A$12,0))*IF(E1606="",1,E1606),0))</f>
        <v/>
      </c>
      <c r="G1606" s="19" t="n"/>
      <c r="H1606" s="19" t="n"/>
    </row>
    <row r="1607">
      <c r="A1607" s="22" t="n"/>
      <c r="B1607" s="19" t="n"/>
      <c r="C1607" s="18">
        <f>IF(B1607="","",IFERROR(INDEX(Jugadores!$C$2:$C$501,MATCH(B1607,Jugadores!$A$2:$A$501,0)),"⚠ ID no existe"))</f>
        <v/>
      </c>
      <c r="D1607" s="19" t="n"/>
      <c r="E1607" s="19" t="n"/>
      <c r="F1607" s="16">
        <f>IF(OR(B1607="",D1607=""),"",IFERROR(INDEX('Tabla XP'!$B$2:$B$12,MATCH(D1607,'Tabla XP'!$A$2:$A$12,0))*IF(E1607="",1,E1607),0))</f>
        <v/>
      </c>
      <c r="G1607" s="19" t="n"/>
      <c r="H1607" s="19" t="n"/>
    </row>
    <row r="1608">
      <c r="A1608" s="22" t="n"/>
      <c r="B1608" s="19" t="n"/>
      <c r="C1608" s="18">
        <f>IF(B1608="","",IFERROR(INDEX(Jugadores!$C$2:$C$501,MATCH(B1608,Jugadores!$A$2:$A$501,0)),"⚠ ID no existe"))</f>
        <v/>
      </c>
      <c r="D1608" s="19" t="n"/>
      <c r="E1608" s="19" t="n"/>
      <c r="F1608" s="16">
        <f>IF(OR(B1608="",D1608=""),"",IFERROR(INDEX('Tabla XP'!$B$2:$B$12,MATCH(D1608,'Tabla XP'!$A$2:$A$12,0))*IF(E1608="",1,E1608),0))</f>
        <v/>
      </c>
      <c r="G1608" s="19" t="n"/>
      <c r="H1608" s="19" t="n"/>
    </row>
    <row r="1609">
      <c r="A1609" s="22" t="n"/>
      <c r="B1609" s="19" t="n"/>
      <c r="C1609" s="18">
        <f>IF(B1609="","",IFERROR(INDEX(Jugadores!$C$2:$C$501,MATCH(B1609,Jugadores!$A$2:$A$501,0)),"⚠ ID no existe"))</f>
        <v/>
      </c>
      <c r="D1609" s="19" t="n"/>
      <c r="E1609" s="19" t="n"/>
      <c r="F1609" s="16">
        <f>IF(OR(B1609="",D1609=""),"",IFERROR(INDEX('Tabla XP'!$B$2:$B$12,MATCH(D1609,'Tabla XP'!$A$2:$A$12,0))*IF(E1609="",1,E1609),0))</f>
        <v/>
      </c>
      <c r="G1609" s="19" t="n"/>
      <c r="H1609" s="19" t="n"/>
    </row>
    <row r="1610">
      <c r="A1610" s="22" t="n"/>
      <c r="B1610" s="19" t="n"/>
      <c r="C1610" s="18">
        <f>IF(B1610="","",IFERROR(INDEX(Jugadores!$C$2:$C$501,MATCH(B1610,Jugadores!$A$2:$A$501,0)),"⚠ ID no existe"))</f>
        <v/>
      </c>
      <c r="D1610" s="19" t="n"/>
      <c r="E1610" s="19" t="n"/>
      <c r="F1610" s="16">
        <f>IF(OR(B1610="",D1610=""),"",IFERROR(INDEX('Tabla XP'!$B$2:$B$12,MATCH(D1610,'Tabla XP'!$A$2:$A$12,0))*IF(E1610="",1,E1610),0))</f>
        <v/>
      </c>
      <c r="G1610" s="19" t="n"/>
      <c r="H1610" s="19" t="n"/>
    </row>
    <row r="1611">
      <c r="A1611" s="22" t="n"/>
      <c r="B1611" s="19" t="n"/>
      <c r="C1611" s="18">
        <f>IF(B1611="","",IFERROR(INDEX(Jugadores!$C$2:$C$501,MATCH(B1611,Jugadores!$A$2:$A$501,0)),"⚠ ID no existe"))</f>
        <v/>
      </c>
      <c r="D1611" s="19" t="n"/>
      <c r="E1611" s="19" t="n"/>
      <c r="F1611" s="16">
        <f>IF(OR(B1611="",D1611=""),"",IFERROR(INDEX('Tabla XP'!$B$2:$B$12,MATCH(D1611,'Tabla XP'!$A$2:$A$12,0))*IF(E1611="",1,E1611),0))</f>
        <v/>
      </c>
      <c r="G1611" s="19" t="n"/>
      <c r="H1611" s="19" t="n"/>
    </row>
    <row r="1612">
      <c r="A1612" s="22" t="n"/>
      <c r="B1612" s="19" t="n"/>
      <c r="C1612" s="18">
        <f>IF(B1612="","",IFERROR(INDEX(Jugadores!$C$2:$C$501,MATCH(B1612,Jugadores!$A$2:$A$501,0)),"⚠ ID no existe"))</f>
        <v/>
      </c>
      <c r="D1612" s="19" t="n"/>
      <c r="E1612" s="19" t="n"/>
      <c r="F1612" s="16">
        <f>IF(OR(B1612="",D1612=""),"",IFERROR(INDEX('Tabla XP'!$B$2:$B$12,MATCH(D1612,'Tabla XP'!$A$2:$A$12,0))*IF(E1612="",1,E1612),0))</f>
        <v/>
      </c>
      <c r="G1612" s="19" t="n"/>
      <c r="H1612" s="19" t="n"/>
    </row>
    <row r="1613">
      <c r="A1613" s="22" t="n"/>
      <c r="B1613" s="19" t="n"/>
      <c r="C1613" s="18">
        <f>IF(B1613="","",IFERROR(INDEX(Jugadores!$C$2:$C$501,MATCH(B1613,Jugadores!$A$2:$A$501,0)),"⚠ ID no existe"))</f>
        <v/>
      </c>
      <c r="D1613" s="19" t="n"/>
      <c r="E1613" s="19" t="n"/>
      <c r="F1613" s="16">
        <f>IF(OR(B1613="",D1613=""),"",IFERROR(INDEX('Tabla XP'!$B$2:$B$12,MATCH(D1613,'Tabla XP'!$A$2:$A$12,0))*IF(E1613="",1,E1613),0))</f>
        <v/>
      </c>
      <c r="G1613" s="19" t="n"/>
      <c r="H1613" s="19" t="n"/>
    </row>
    <row r="1614">
      <c r="A1614" s="22" t="n"/>
      <c r="B1614" s="19" t="n"/>
      <c r="C1614" s="18">
        <f>IF(B1614="","",IFERROR(INDEX(Jugadores!$C$2:$C$501,MATCH(B1614,Jugadores!$A$2:$A$501,0)),"⚠ ID no existe"))</f>
        <v/>
      </c>
      <c r="D1614" s="19" t="n"/>
      <c r="E1614" s="19" t="n"/>
      <c r="F1614" s="16">
        <f>IF(OR(B1614="",D1614=""),"",IFERROR(INDEX('Tabla XP'!$B$2:$B$12,MATCH(D1614,'Tabla XP'!$A$2:$A$12,0))*IF(E1614="",1,E1614),0))</f>
        <v/>
      </c>
      <c r="G1614" s="19" t="n"/>
      <c r="H1614" s="19" t="n"/>
    </row>
    <row r="1615">
      <c r="A1615" s="22" t="n"/>
      <c r="B1615" s="19" t="n"/>
      <c r="C1615" s="18">
        <f>IF(B1615="","",IFERROR(INDEX(Jugadores!$C$2:$C$501,MATCH(B1615,Jugadores!$A$2:$A$501,0)),"⚠ ID no existe"))</f>
        <v/>
      </c>
      <c r="D1615" s="19" t="n"/>
      <c r="E1615" s="19" t="n"/>
      <c r="F1615" s="16">
        <f>IF(OR(B1615="",D1615=""),"",IFERROR(INDEX('Tabla XP'!$B$2:$B$12,MATCH(D1615,'Tabla XP'!$A$2:$A$12,0))*IF(E1615="",1,E1615),0))</f>
        <v/>
      </c>
      <c r="G1615" s="19" t="n"/>
      <c r="H1615" s="19" t="n"/>
    </row>
    <row r="1616">
      <c r="A1616" s="22" t="n"/>
      <c r="B1616" s="19" t="n"/>
      <c r="C1616" s="18">
        <f>IF(B1616="","",IFERROR(INDEX(Jugadores!$C$2:$C$501,MATCH(B1616,Jugadores!$A$2:$A$501,0)),"⚠ ID no existe"))</f>
        <v/>
      </c>
      <c r="D1616" s="19" t="n"/>
      <c r="E1616" s="19" t="n"/>
      <c r="F1616" s="16">
        <f>IF(OR(B1616="",D1616=""),"",IFERROR(INDEX('Tabla XP'!$B$2:$B$12,MATCH(D1616,'Tabla XP'!$A$2:$A$12,0))*IF(E1616="",1,E1616),0))</f>
        <v/>
      </c>
      <c r="G1616" s="19" t="n"/>
      <c r="H1616" s="19" t="n"/>
    </row>
    <row r="1617">
      <c r="A1617" s="22" t="n"/>
      <c r="B1617" s="19" t="n"/>
      <c r="C1617" s="18">
        <f>IF(B1617="","",IFERROR(INDEX(Jugadores!$C$2:$C$501,MATCH(B1617,Jugadores!$A$2:$A$501,0)),"⚠ ID no existe"))</f>
        <v/>
      </c>
      <c r="D1617" s="19" t="n"/>
      <c r="E1617" s="19" t="n"/>
      <c r="F1617" s="16">
        <f>IF(OR(B1617="",D1617=""),"",IFERROR(INDEX('Tabla XP'!$B$2:$B$12,MATCH(D1617,'Tabla XP'!$A$2:$A$12,0))*IF(E1617="",1,E1617),0))</f>
        <v/>
      </c>
      <c r="G1617" s="19" t="n"/>
      <c r="H1617" s="19" t="n"/>
    </row>
    <row r="1618">
      <c r="A1618" s="22" t="n"/>
      <c r="B1618" s="19" t="n"/>
      <c r="C1618" s="18">
        <f>IF(B1618="","",IFERROR(INDEX(Jugadores!$C$2:$C$501,MATCH(B1618,Jugadores!$A$2:$A$501,0)),"⚠ ID no existe"))</f>
        <v/>
      </c>
      <c r="D1618" s="19" t="n"/>
      <c r="E1618" s="19" t="n"/>
      <c r="F1618" s="16">
        <f>IF(OR(B1618="",D1618=""),"",IFERROR(INDEX('Tabla XP'!$B$2:$B$12,MATCH(D1618,'Tabla XP'!$A$2:$A$12,0))*IF(E1618="",1,E1618),0))</f>
        <v/>
      </c>
      <c r="G1618" s="19" t="n"/>
      <c r="H1618" s="19" t="n"/>
    </row>
    <row r="1619">
      <c r="A1619" s="22" t="n"/>
      <c r="B1619" s="19" t="n"/>
      <c r="C1619" s="18">
        <f>IF(B1619="","",IFERROR(INDEX(Jugadores!$C$2:$C$501,MATCH(B1619,Jugadores!$A$2:$A$501,0)),"⚠ ID no existe"))</f>
        <v/>
      </c>
      <c r="D1619" s="19" t="n"/>
      <c r="E1619" s="19" t="n"/>
      <c r="F1619" s="16">
        <f>IF(OR(B1619="",D1619=""),"",IFERROR(INDEX('Tabla XP'!$B$2:$B$12,MATCH(D1619,'Tabla XP'!$A$2:$A$12,0))*IF(E1619="",1,E1619),0))</f>
        <v/>
      </c>
      <c r="G1619" s="19" t="n"/>
      <c r="H1619" s="19" t="n"/>
    </row>
    <row r="1620">
      <c r="A1620" s="22" t="n"/>
      <c r="B1620" s="19" t="n"/>
      <c r="C1620" s="18">
        <f>IF(B1620="","",IFERROR(INDEX(Jugadores!$C$2:$C$501,MATCH(B1620,Jugadores!$A$2:$A$501,0)),"⚠ ID no existe"))</f>
        <v/>
      </c>
      <c r="D1620" s="19" t="n"/>
      <c r="E1620" s="19" t="n"/>
      <c r="F1620" s="16">
        <f>IF(OR(B1620="",D1620=""),"",IFERROR(INDEX('Tabla XP'!$B$2:$B$12,MATCH(D1620,'Tabla XP'!$A$2:$A$12,0))*IF(E1620="",1,E1620),0))</f>
        <v/>
      </c>
      <c r="G1620" s="19" t="n"/>
      <c r="H1620" s="19" t="n"/>
    </row>
    <row r="1621">
      <c r="A1621" s="22" t="n"/>
      <c r="B1621" s="19" t="n"/>
      <c r="C1621" s="18">
        <f>IF(B1621="","",IFERROR(INDEX(Jugadores!$C$2:$C$501,MATCH(B1621,Jugadores!$A$2:$A$501,0)),"⚠ ID no existe"))</f>
        <v/>
      </c>
      <c r="D1621" s="19" t="n"/>
      <c r="E1621" s="19" t="n"/>
      <c r="F1621" s="16">
        <f>IF(OR(B1621="",D1621=""),"",IFERROR(INDEX('Tabla XP'!$B$2:$B$12,MATCH(D1621,'Tabla XP'!$A$2:$A$12,0))*IF(E1621="",1,E1621),0))</f>
        <v/>
      </c>
      <c r="G1621" s="19" t="n"/>
      <c r="H1621" s="19" t="n"/>
    </row>
    <row r="1622">
      <c r="A1622" s="22" t="n"/>
      <c r="B1622" s="19" t="n"/>
      <c r="C1622" s="18">
        <f>IF(B1622="","",IFERROR(INDEX(Jugadores!$C$2:$C$501,MATCH(B1622,Jugadores!$A$2:$A$501,0)),"⚠ ID no existe"))</f>
        <v/>
      </c>
      <c r="D1622" s="19" t="n"/>
      <c r="E1622" s="19" t="n"/>
      <c r="F1622" s="16">
        <f>IF(OR(B1622="",D1622=""),"",IFERROR(INDEX('Tabla XP'!$B$2:$B$12,MATCH(D1622,'Tabla XP'!$A$2:$A$12,0))*IF(E1622="",1,E1622),0))</f>
        <v/>
      </c>
      <c r="G1622" s="19" t="n"/>
      <c r="H1622" s="19" t="n"/>
    </row>
    <row r="1623">
      <c r="A1623" s="22" t="n"/>
      <c r="B1623" s="19" t="n"/>
      <c r="C1623" s="18">
        <f>IF(B1623="","",IFERROR(INDEX(Jugadores!$C$2:$C$501,MATCH(B1623,Jugadores!$A$2:$A$501,0)),"⚠ ID no existe"))</f>
        <v/>
      </c>
      <c r="D1623" s="19" t="n"/>
      <c r="E1623" s="19" t="n"/>
      <c r="F1623" s="16">
        <f>IF(OR(B1623="",D1623=""),"",IFERROR(INDEX('Tabla XP'!$B$2:$B$12,MATCH(D1623,'Tabla XP'!$A$2:$A$12,0))*IF(E1623="",1,E1623),0))</f>
        <v/>
      </c>
      <c r="G1623" s="19" t="n"/>
      <c r="H1623" s="19" t="n"/>
    </row>
    <row r="1624">
      <c r="A1624" s="22" t="n"/>
      <c r="B1624" s="19" t="n"/>
      <c r="C1624" s="18">
        <f>IF(B1624="","",IFERROR(INDEX(Jugadores!$C$2:$C$501,MATCH(B1624,Jugadores!$A$2:$A$501,0)),"⚠ ID no existe"))</f>
        <v/>
      </c>
      <c r="D1624" s="19" t="n"/>
      <c r="E1624" s="19" t="n"/>
      <c r="F1624" s="16">
        <f>IF(OR(B1624="",D1624=""),"",IFERROR(INDEX('Tabla XP'!$B$2:$B$12,MATCH(D1624,'Tabla XP'!$A$2:$A$12,0))*IF(E1624="",1,E1624),0))</f>
        <v/>
      </c>
      <c r="G1624" s="19" t="n"/>
      <c r="H1624" s="19" t="n"/>
    </row>
    <row r="1625">
      <c r="A1625" s="22" t="n"/>
      <c r="B1625" s="19" t="n"/>
      <c r="C1625" s="18">
        <f>IF(B1625="","",IFERROR(INDEX(Jugadores!$C$2:$C$501,MATCH(B1625,Jugadores!$A$2:$A$501,0)),"⚠ ID no existe"))</f>
        <v/>
      </c>
      <c r="D1625" s="19" t="n"/>
      <c r="E1625" s="19" t="n"/>
      <c r="F1625" s="16">
        <f>IF(OR(B1625="",D1625=""),"",IFERROR(INDEX('Tabla XP'!$B$2:$B$12,MATCH(D1625,'Tabla XP'!$A$2:$A$12,0))*IF(E1625="",1,E1625),0))</f>
        <v/>
      </c>
      <c r="G1625" s="19" t="n"/>
      <c r="H1625" s="19" t="n"/>
    </row>
    <row r="1626">
      <c r="A1626" s="22" t="n"/>
      <c r="B1626" s="19" t="n"/>
      <c r="C1626" s="18">
        <f>IF(B1626="","",IFERROR(INDEX(Jugadores!$C$2:$C$501,MATCH(B1626,Jugadores!$A$2:$A$501,0)),"⚠ ID no existe"))</f>
        <v/>
      </c>
      <c r="D1626" s="19" t="n"/>
      <c r="E1626" s="19" t="n"/>
      <c r="F1626" s="16">
        <f>IF(OR(B1626="",D1626=""),"",IFERROR(INDEX('Tabla XP'!$B$2:$B$12,MATCH(D1626,'Tabla XP'!$A$2:$A$12,0))*IF(E1626="",1,E1626),0))</f>
        <v/>
      </c>
      <c r="G1626" s="19" t="n"/>
      <c r="H1626" s="19" t="n"/>
    </row>
    <row r="1627">
      <c r="A1627" s="22" t="n"/>
      <c r="B1627" s="19" t="n"/>
      <c r="C1627" s="18">
        <f>IF(B1627="","",IFERROR(INDEX(Jugadores!$C$2:$C$501,MATCH(B1627,Jugadores!$A$2:$A$501,0)),"⚠ ID no existe"))</f>
        <v/>
      </c>
      <c r="D1627" s="19" t="n"/>
      <c r="E1627" s="19" t="n"/>
      <c r="F1627" s="16">
        <f>IF(OR(B1627="",D1627=""),"",IFERROR(INDEX('Tabla XP'!$B$2:$B$12,MATCH(D1627,'Tabla XP'!$A$2:$A$12,0))*IF(E1627="",1,E1627),0))</f>
        <v/>
      </c>
      <c r="G1627" s="19" t="n"/>
      <c r="H1627" s="19" t="n"/>
    </row>
    <row r="1628">
      <c r="A1628" s="22" t="n"/>
      <c r="B1628" s="19" t="n"/>
      <c r="C1628" s="18">
        <f>IF(B1628="","",IFERROR(INDEX(Jugadores!$C$2:$C$501,MATCH(B1628,Jugadores!$A$2:$A$501,0)),"⚠ ID no existe"))</f>
        <v/>
      </c>
      <c r="D1628" s="19" t="n"/>
      <c r="E1628" s="19" t="n"/>
      <c r="F1628" s="16">
        <f>IF(OR(B1628="",D1628=""),"",IFERROR(INDEX('Tabla XP'!$B$2:$B$12,MATCH(D1628,'Tabla XP'!$A$2:$A$12,0))*IF(E1628="",1,E1628),0))</f>
        <v/>
      </c>
      <c r="G1628" s="19" t="n"/>
      <c r="H1628" s="19" t="n"/>
    </row>
    <row r="1629">
      <c r="A1629" s="22" t="n"/>
      <c r="B1629" s="19" t="n"/>
      <c r="C1629" s="18">
        <f>IF(B1629="","",IFERROR(INDEX(Jugadores!$C$2:$C$501,MATCH(B1629,Jugadores!$A$2:$A$501,0)),"⚠ ID no existe"))</f>
        <v/>
      </c>
      <c r="D1629" s="19" t="n"/>
      <c r="E1629" s="19" t="n"/>
      <c r="F1629" s="16">
        <f>IF(OR(B1629="",D1629=""),"",IFERROR(INDEX('Tabla XP'!$B$2:$B$12,MATCH(D1629,'Tabla XP'!$A$2:$A$12,0))*IF(E1629="",1,E1629),0))</f>
        <v/>
      </c>
      <c r="G1629" s="19" t="n"/>
      <c r="H1629" s="19" t="n"/>
    </row>
    <row r="1630">
      <c r="A1630" s="22" t="n"/>
      <c r="B1630" s="19" t="n"/>
      <c r="C1630" s="18">
        <f>IF(B1630="","",IFERROR(INDEX(Jugadores!$C$2:$C$501,MATCH(B1630,Jugadores!$A$2:$A$501,0)),"⚠ ID no existe"))</f>
        <v/>
      </c>
      <c r="D1630" s="19" t="n"/>
      <c r="E1630" s="19" t="n"/>
      <c r="F1630" s="16">
        <f>IF(OR(B1630="",D1630=""),"",IFERROR(INDEX('Tabla XP'!$B$2:$B$12,MATCH(D1630,'Tabla XP'!$A$2:$A$12,0))*IF(E1630="",1,E1630),0))</f>
        <v/>
      </c>
      <c r="G1630" s="19" t="n"/>
      <c r="H1630" s="19" t="n"/>
    </row>
    <row r="1631">
      <c r="A1631" s="22" t="n"/>
      <c r="B1631" s="19" t="n"/>
      <c r="C1631" s="18">
        <f>IF(B1631="","",IFERROR(INDEX(Jugadores!$C$2:$C$501,MATCH(B1631,Jugadores!$A$2:$A$501,0)),"⚠ ID no existe"))</f>
        <v/>
      </c>
      <c r="D1631" s="19" t="n"/>
      <c r="E1631" s="19" t="n"/>
      <c r="F1631" s="16">
        <f>IF(OR(B1631="",D1631=""),"",IFERROR(INDEX('Tabla XP'!$B$2:$B$12,MATCH(D1631,'Tabla XP'!$A$2:$A$12,0))*IF(E1631="",1,E1631),0))</f>
        <v/>
      </c>
      <c r="G1631" s="19" t="n"/>
      <c r="H1631" s="19" t="n"/>
    </row>
    <row r="1632">
      <c r="A1632" s="22" t="n"/>
      <c r="B1632" s="19" t="n"/>
      <c r="C1632" s="18">
        <f>IF(B1632="","",IFERROR(INDEX(Jugadores!$C$2:$C$501,MATCH(B1632,Jugadores!$A$2:$A$501,0)),"⚠ ID no existe"))</f>
        <v/>
      </c>
      <c r="D1632" s="19" t="n"/>
      <c r="E1632" s="19" t="n"/>
      <c r="F1632" s="16">
        <f>IF(OR(B1632="",D1632=""),"",IFERROR(INDEX('Tabla XP'!$B$2:$B$12,MATCH(D1632,'Tabla XP'!$A$2:$A$12,0))*IF(E1632="",1,E1632),0))</f>
        <v/>
      </c>
      <c r="G1632" s="19" t="n"/>
      <c r="H1632" s="19" t="n"/>
    </row>
    <row r="1633">
      <c r="A1633" s="22" t="n"/>
      <c r="B1633" s="19" t="n"/>
      <c r="C1633" s="18">
        <f>IF(B1633="","",IFERROR(INDEX(Jugadores!$C$2:$C$501,MATCH(B1633,Jugadores!$A$2:$A$501,0)),"⚠ ID no existe"))</f>
        <v/>
      </c>
      <c r="D1633" s="19" t="n"/>
      <c r="E1633" s="19" t="n"/>
      <c r="F1633" s="16">
        <f>IF(OR(B1633="",D1633=""),"",IFERROR(INDEX('Tabla XP'!$B$2:$B$12,MATCH(D1633,'Tabla XP'!$A$2:$A$12,0))*IF(E1633="",1,E1633),0))</f>
        <v/>
      </c>
      <c r="G1633" s="19" t="n"/>
      <c r="H1633" s="19" t="n"/>
    </row>
    <row r="1634">
      <c r="A1634" s="22" t="n"/>
      <c r="B1634" s="19" t="n"/>
      <c r="C1634" s="18">
        <f>IF(B1634="","",IFERROR(INDEX(Jugadores!$C$2:$C$501,MATCH(B1634,Jugadores!$A$2:$A$501,0)),"⚠ ID no existe"))</f>
        <v/>
      </c>
      <c r="D1634" s="19" t="n"/>
      <c r="E1634" s="19" t="n"/>
      <c r="F1634" s="16">
        <f>IF(OR(B1634="",D1634=""),"",IFERROR(INDEX('Tabla XP'!$B$2:$B$12,MATCH(D1634,'Tabla XP'!$A$2:$A$12,0))*IF(E1634="",1,E1634),0))</f>
        <v/>
      </c>
      <c r="G1634" s="19" t="n"/>
      <c r="H1634" s="19" t="n"/>
    </row>
    <row r="1635">
      <c r="A1635" s="22" t="n"/>
      <c r="B1635" s="19" t="n"/>
      <c r="C1635" s="18">
        <f>IF(B1635="","",IFERROR(INDEX(Jugadores!$C$2:$C$501,MATCH(B1635,Jugadores!$A$2:$A$501,0)),"⚠ ID no existe"))</f>
        <v/>
      </c>
      <c r="D1635" s="19" t="n"/>
      <c r="E1635" s="19" t="n"/>
      <c r="F1635" s="16">
        <f>IF(OR(B1635="",D1635=""),"",IFERROR(INDEX('Tabla XP'!$B$2:$B$12,MATCH(D1635,'Tabla XP'!$A$2:$A$12,0))*IF(E1635="",1,E1635),0))</f>
        <v/>
      </c>
      <c r="G1635" s="19" t="n"/>
      <c r="H1635" s="19" t="n"/>
    </row>
    <row r="1636">
      <c r="A1636" s="22" t="n"/>
      <c r="B1636" s="19" t="n"/>
      <c r="C1636" s="18">
        <f>IF(B1636="","",IFERROR(INDEX(Jugadores!$C$2:$C$501,MATCH(B1636,Jugadores!$A$2:$A$501,0)),"⚠ ID no existe"))</f>
        <v/>
      </c>
      <c r="D1636" s="19" t="n"/>
      <c r="E1636" s="19" t="n"/>
      <c r="F1636" s="16">
        <f>IF(OR(B1636="",D1636=""),"",IFERROR(INDEX('Tabla XP'!$B$2:$B$12,MATCH(D1636,'Tabla XP'!$A$2:$A$12,0))*IF(E1636="",1,E1636),0))</f>
        <v/>
      </c>
      <c r="G1636" s="19" t="n"/>
      <c r="H1636" s="19" t="n"/>
    </row>
    <row r="1637">
      <c r="A1637" s="22" t="n"/>
      <c r="B1637" s="19" t="n"/>
      <c r="C1637" s="18">
        <f>IF(B1637="","",IFERROR(INDEX(Jugadores!$C$2:$C$501,MATCH(B1637,Jugadores!$A$2:$A$501,0)),"⚠ ID no existe"))</f>
        <v/>
      </c>
      <c r="D1637" s="19" t="n"/>
      <c r="E1637" s="19" t="n"/>
      <c r="F1637" s="16">
        <f>IF(OR(B1637="",D1637=""),"",IFERROR(INDEX('Tabla XP'!$B$2:$B$12,MATCH(D1637,'Tabla XP'!$A$2:$A$12,0))*IF(E1637="",1,E1637),0))</f>
        <v/>
      </c>
      <c r="G1637" s="19" t="n"/>
      <c r="H1637" s="19" t="n"/>
    </row>
    <row r="1638">
      <c r="A1638" s="22" t="n"/>
      <c r="B1638" s="19" t="n"/>
      <c r="C1638" s="18">
        <f>IF(B1638="","",IFERROR(INDEX(Jugadores!$C$2:$C$501,MATCH(B1638,Jugadores!$A$2:$A$501,0)),"⚠ ID no existe"))</f>
        <v/>
      </c>
      <c r="D1638" s="19" t="n"/>
      <c r="E1638" s="19" t="n"/>
      <c r="F1638" s="16">
        <f>IF(OR(B1638="",D1638=""),"",IFERROR(INDEX('Tabla XP'!$B$2:$B$12,MATCH(D1638,'Tabla XP'!$A$2:$A$12,0))*IF(E1638="",1,E1638),0))</f>
        <v/>
      </c>
      <c r="G1638" s="19" t="n"/>
      <c r="H1638" s="19" t="n"/>
    </row>
    <row r="1639">
      <c r="A1639" s="22" t="n"/>
      <c r="B1639" s="19" t="n"/>
      <c r="C1639" s="18">
        <f>IF(B1639="","",IFERROR(INDEX(Jugadores!$C$2:$C$501,MATCH(B1639,Jugadores!$A$2:$A$501,0)),"⚠ ID no existe"))</f>
        <v/>
      </c>
      <c r="D1639" s="19" t="n"/>
      <c r="E1639" s="19" t="n"/>
      <c r="F1639" s="16">
        <f>IF(OR(B1639="",D1639=""),"",IFERROR(INDEX('Tabla XP'!$B$2:$B$12,MATCH(D1639,'Tabla XP'!$A$2:$A$12,0))*IF(E1639="",1,E1639),0))</f>
        <v/>
      </c>
      <c r="G1639" s="19" t="n"/>
      <c r="H1639" s="19" t="n"/>
    </row>
    <row r="1640">
      <c r="A1640" s="22" t="n"/>
      <c r="B1640" s="19" t="n"/>
      <c r="C1640" s="18">
        <f>IF(B1640="","",IFERROR(INDEX(Jugadores!$C$2:$C$501,MATCH(B1640,Jugadores!$A$2:$A$501,0)),"⚠ ID no existe"))</f>
        <v/>
      </c>
      <c r="D1640" s="19" t="n"/>
      <c r="E1640" s="19" t="n"/>
      <c r="F1640" s="16">
        <f>IF(OR(B1640="",D1640=""),"",IFERROR(INDEX('Tabla XP'!$B$2:$B$12,MATCH(D1640,'Tabla XP'!$A$2:$A$12,0))*IF(E1640="",1,E1640),0))</f>
        <v/>
      </c>
      <c r="G1640" s="19" t="n"/>
      <c r="H1640" s="19" t="n"/>
    </row>
    <row r="1641">
      <c r="A1641" s="22" t="n"/>
      <c r="B1641" s="19" t="n"/>
      <c r="C1641" s="18">
        <f>IF(B1641="","",IFERROR(INDEX(Jugadores!$C$2:$C$501,MATCH(B1641,Jugadores!$A$2:$A$501,0)),"⚠ ID no existe"))</f>
        <v/>
      </c>
      <c r="D1641" s="19" t="n"/>
      <c r="E1641" s="19" t="n"/>
      <c r="F1641" s="16">
        <f>IF(OR(B1641="",D1641=""),"",IFERROR(INDEX('Tabla XP'!$B$2:$B$12,MATCH(D1641,'Tabla XP'!$A$2:$A$12,0))*IF(E1641="",1,E1641),0))</f>
        <v/>
      </c>
      <c r="G1641" s="19" t="n"/>
      <c r="H1641" s="19" t="n"/>
    </row>
    <row r="1642">
      <c r="A1642" s="22" t="n"/>
      <c r="B1642" s="19" t="n"/>
      <c r="C1642" s="18">
        <f>IF(B1642="","",IFERROR(INDEX(Jugadores!$C$2:$C$501,MATCH(B1642,Jugadores!$A$2:$A$501,0)),"⚠ ID no existe"))</f>
        <v/>
      </c>
      <c r="D1642" s="19" t="n"/>
      <c r="E1642" s="19" t="n"/>
      <c r="F1642" s="16">
        <f>IF(OR(B1642="",D1642=""),"",IFERROR(INDEX('Tabla XP'!$B$2:$B$12,MATCH(D1642,'Tabla XP'!$A$2:$A$12,0))*IF(E1642="",1,E1642),0))</f>
        <v/>
      </c>
      <c r="G1642" s="19" t="n"/>
      <c r="H1642" s="19" t="n"/>
    </row>
    <row r="1643">
      <c r="A1643" s="22" t="n"/>
      <c r="B1643" s="19" t="n"/>
      <c r="C1643" s="18">
        <f>IF(B1643="","",IFERROR(INDEX(Jugadores!$C$2:$C$501,MATCH(B1643,Jugadores!$A$2:$A$501,0)),"⚠ ID no existe"))</f>
        <v/>
      </c>
      <c r="D1643" s="19" t="n"/>
      <c r="E1643" s="19" t="n"/>
      <c r="F1643" s="16">
        <f>IF(OR(B1643="",D1643=""),"",IFERROR(INDEX('Tabla XP'!$B$2:$B$12,MATCH(D1643,'Tabla XP'!$A$2:$A$12,0))*IF(E1643="",1,E1643),0))</f>
        <v/>
      </c>
      <c r="G1643" s="19" t="n"/>
      <c r="H1643" s="19" t="n"/>
    </row>
    <row r="1644">
      <c r="A1644" s="22" t="n"/>
      <c r="B1644" s="19" t="n"/>
      <c r="C1644" s="18">
        <f>IF(B1644="","",IFERROR(INDEX(Jugadores!$C$2:$C$501,MATCH(B1644,Jugadores!$A$2:$A$501,0)),"⚠ ID no existe"))</f>
        <v/>
      </c>
      <c r="D1644" s="19" t="n"/>
      <c r="E1644" s="19" t="n"/>
      <c r="F1644" s="16">
        <f>IF(OR(B1644="",D1644=""),"",IFERROR(INDEX('Tabla XP'!$B$2:$B$12,MATCH(D1644,'Tabla XP'!$A$2:$A$12,0))*IF(E1644="",1,E1644),0))</f>
        <v/>
      </c>
      <c r="G1644" s="19" t="n"/>
      <c r="H1644" s="19" t="n"/>
    </row>
    <row r="1645">
      <c r="A1645" s="22" t="n"/>
      <c r="B1645" s="19" t="n"/>
      <c r="C1645" s="18">
        <f>IF(B1645="","",IFERROR(INDEX(Jugadores!$C$2:$C$501,MATCH(B1645,Jugadores!$A$2:$A$501,0)),"⚠ ID no existe"))</f>
        <v/>
      </c>
      <c r="D1645" s="19" t="n"/>
      <c r="E1645" s="19" t="n"/>
      <c r="F1645" s="16">
        <f>IF(OR(B1645="",D1645=""),"",IFERROR(INDEX('Tabla XP'!$B$2:$B$12,MATCH(D1645,'Tabla XP'!$A$2:$A$12,0))*IF(E1645="",1,E1645),0))</f>
        <v/>
      </c>
      <c r="G1645" s="19" t="n"/>
      <c r="H1645" s="19" t="n"/>
    </row>
    <row r="1646">
      <c r="A1646" s="22" t="n"/>
      <c r="B1646" s="19" t="n"/>
      <c r="C1646" s="18">
        <f>IF(B1646="","",IFERROR(INDEX(Jugadores!$C$2:$C$501,MATCH(B1646,Jugadores!$A$2:$A$501,0)),"⚠ ID no existe"))</f>
        <v/>
      </c>
      <c r="D1646" s="19" t="n"/>
      <c r="E1646" s="19" t="n"/>
      <c r="F1646" s="16">
        <f>IF(OR(B1646="",D1646=""),"",IFERROR(INDEX('Tabla XP'!$B$2:$B$12,MATCH(D1646,'Tabla XP'!$A$2:$A$12,0))*IF(E1646="",1,E1646),0))</f>
        <v/>
      </c>
      <c r="G1646" s="19" t="n"/>
      <c r="H1646" s="19" t="n"/>
    </row>
    <row r="1647">
      <c r="A1647" s="22" t="n"/>
      <c r="B1647" s="19" t="n"/>
      <c r="C1647" s="18">
        <f>IF(B1647="","",IFERROR(INDEX(Jugadores!$C$2:$C$501,MATCH(B1647,Jugadores!$A$2:$A$501,0)),"⚠ ID no existe"))</f>
        <v/>
      </c>
      <c r="D1647" s="19" t="n"/>
      <c r="E1647" s="19" t="n"/>
      <c r="F1647" s="16">
        <f>IF(OR(B1647="",D1647=""),"",IFERROR(INDEX('Tabla XP'!$B$2:$B$12,MATCH(D1647,'Tabla XP'!$A$2:$A$12,0))*IF(E1647="",1,E1647),0))</f>
        <v/>
      </c>
      <c r="G1647" s="19" t="n"/>
      <c r="H1647" s="19" t="n"/>
    </row>
    <row r="1648">
      <c r="A1648" s="22" t="n"/>
      <c r="B1648" s="19" t="n"/>
      <c r="C1648" s="18">
        <f>IF(B1648="","",IFERROR(INDEX(Jugadores!$C$2:$C$501,MATCH(B1648,Jugadores!$A$2:$A$501,0)),"⚠ ID no existe"))</f>
        <v/>
      </c>
      <c r="D1648" s="19" t="n"/>
      <c r="E1648" s="19" t="n"/>
      <c r="F1648" s="16">
        <f>IF(OR(B1648="",D1648=""),"",IFERROR(INDEX('Tabla XP'!$B$2:$B$12,MATCH(D1648,'Tabla XP'!$A$2:$A$12,0))*IF(E1648="",1,E1648),0))</f>
        <v/>
      </c>
      <c r="G1648" s="19" t="n"/>
      <c r="H1648" s="19" t="n"/>
    </row>
    <row r="1649">
      <c r="A1649" s="22" t="n"/>
      <c r="B1649" s="19" t="n"/>
      <c r="C1649" s="18">
        <f>IF(B1649="","",IFERROR(INDEX(Jugadores!$C$2:$C$501,MATCH(B1649,Jugadores!$A$2:$A$501,0)),"⚠ ID no existe"))</f>
        <v/>
      </c>
      <c r="D1649" s="19" t="n"/>
      <c r="E1649" s="19" t="n"/>
      <c r="F1649" s="16">
        <f>IF(OR(B1649="",D1649=""),"",IFERROR(INDEX('Tabla XP'!$B$2:$B$12,MATCH(D1649,'Tabla XP'!$A$2:$A$12,0))*IF(E1649="",1,E1649),0))</f>
        <v/>
      </c>
      <c r="G1649" s="19" t="n"/>
      <c r="H1649" s="19" t="n"/>
    </row>
    <row r="1650">
      <c r="A1650" s="22" t="n"/>
      <c r="B1650" s="19" t="n"/>
      <c r="C1650" s="18">
        <f>IF(B1650="","",IFERROR(INDEX(Jugadores!$C$2:$C$501,MATCH(B1650,Jugadores!$A$2:$A$501,0)),"⚠ ID no existe"))</f>
        <v/>
      </c>
      <c r="D1650" s="19" t="n"/>
      <c r="E1650" s="19" t="n"/>
      <c r="F1650" s="16">
        <f>IF(OR(B1650="",D1650=""),"",IFERROR(INDEX('Tabla XP'!$B$2:$B$12,MATCH(D1650,'Tabla XP'!$A$2:$A$12,0))*IF(E1650="",1,E1650),0))</f>
        <v/>
      </c>
      <c r="G1650" s="19" t="n"/>
      <c r="H1650" s="19" t="n"/>
    </row>
    <row r="1651">
      <c r="A1651" s="22" t="n"/>
      <c r="B1651" s="19" t="n"/>
      <c r="C1651" s="18">
        <f>IF(B1651="","",IFERROR(INDEX(Jugadores!$C$2:$C$501,MATCH(B1651,Jugadores!$A$2:$A$501,0)),"⚠ ID no existe"))</f>
        <v/>
      </c>
      <c r="D1651" s="19" t="n"/>
      <c r="E1651" s="19" t="n"/>
      <c r="F1651" s="16">
        <f>IF(OR(B1651="",D1651=""),"",IFERROR(INDEX('Tabla XP'!$B$2:$B$12,MATCH(D1651,'Tabla XP'!$A$2:$A$12,0))*IF(E1651="",1,E1651),0))</f>
        <v/>
      </c>
      <c r="G1651" s="19" t="n"/>
      <c r="H1651" s="19" t="n"/>
    </row>
    <row r="1652">
      <c r="A1652" s="22" t="n"/>
      <c r="B1652" s="19" t="n"/>
      <c r="C1652" s="18">
        <f>IF(B1652="","",IFERROR(INDEX(Jugadores!$C$2:$C$501,MATCH(B1652,Jugadores!$A$2:$A$501,0)),"⚠ ID no existe"))</f>
        <v/>
      </c>
      <c r="D1652" s="19" t="n"/>
      <c r="E1652" s="19" t="n"/>
      <c r="F1652" s="16">
        <f>IF(OR(B1652="",D1652=""),"",IFERROR(INDEX('Tabla XP'!$B$2:$B$12,MATCH(D1652,'Tabla XP'!$A$2:$A$12,0))*IF(E1652="",1,E1652),0))</f>
        <v/>
      </c>
      <c r="G1652" s="19" t="n"/>
      <c r="H1652" s="19" t="n"/>
    </row>
    <row r="1653">
      <c r="A1653" s="22" t="n"/>
      <c r="B1653" s="19" t="n"/>
      <c r="C1653" s="18">
        <f>IF(B1653="","",IFERROR(INDEX(Jugadores!$C$2:$C$501,MATCH(B1653,Jugadores!$A$2:$A$501,0)),"⚠ ID no existe"))</f>
        <v/>
      </c>
      <c r="D1653" s="19" t="n"/>
      <c r="E1653" s="19" t="n"/>
      <c r="F1653" s="16">
        <f>IF(OR(B1653="",D1653=""),"",IFERROR(INDEX('Tabla XP'!$B$2:$B$12,MATCH(D1653,'Tabla XP'!$A$2:$A$12,0))*IF(E1653="",1,E1653),0))</f>
        <v/>
      </c>
      <c r="G1653" s="19" t="n"/>
      <c r="H1653" s="19" t="n"/>
    </row>
    <row r="1654">
      <c r="A1654" s="22" t="n"/>
      <c r="B1654" s="19" t="n"/>
      <c r="C1654" s="18">
        <f>IF(B1654="","",IFERROR(INDEX(Jugadores!$C$2:$C$501,MATCH(B1654,Jugadores!$A$2:$A$501,0)),"⚠ ID no existe"))</f>
        <v/>
      </c>
      <c r="D1654" s="19" t="n"/>
      <c r="E1654" s="19" t="n"/>
      <c r="F1654" s="16">
        <f>IF(OR(B1654="",D1654=""),"",IFERROR(INDEX('Tabla XP'!$B$2:$B$12,MATCH(D1654,'Tabla XP'!$A$2:$A$12,0))*IF(E1654="",1,E1654),0))</f>
        <v/>
      </c>
      <c r="G1654" s="19" t="n"/>
      <c r="H1654" s="19" t="n"/>
    </row>
    <row r="1655">
      <c r="A1655" s="22" t="n"/>
      <c r="B1655" s="19" t="n"/>
      <c r="C1655" s="18">
        <f>IF(B1655="","",IFERROR(INDEX(Jugadores!$C$2:$C$501,MATCH(B1655,Jugadores!$A$2:$A$501,0)),"⚠ ID no existe"))</f>
        <v/>
      </c>
      <c r="D1655" s="19" t="n"/>
      <c r="E1655" s="19" t="n"/>
      <c r="F1655" s="16">
        <f>IF(OR(B1655="",D1655=""),"",IFERROR(INDEX('Tabla XP'!$B$2:$B$12,MATCH(D1655,'Tabla XP'!$A$2:$A$12,0))*IF(E1655="",1,E1655),0))</f>
        <v/>
      </c>
      <c r="G1655" s="19" t="n"/>
      <c r="H1655" s="19" t="n"/>
    </row>
    <row r="1656">
      <c r="A1656" s="22" t="n"/>
      <c r="B1656" s="19" t="n"/>
      <c r="C1656" s="18">
        <f>IF(B1656="","",IFERROR(INDEX(Jugadores!$C$2:$C$501,MATCH(B1656,Jugadores!$A$2:$A$501,0)),"⚠ ID no existe"))</f>
        <v/>
      </c>
      <c r="D1656" s="19" t="n"/>
      <c r="E1656" s="19" t="n"/>
      <c r="F1656" s="16">
        <f>IF(OR(B1656="",D1656=""),"",IFERROR(INDEX('Tabla XP'!$B$2:$B$12,MATCH(D1656,'Tabla XP'!$A$2:$A$12,0))*IF(E1656="",1,E1656),0))</f>
        <v/>
      </c>
      <c r="G1656" s="19" t="n"/>
      <c r="H1656" s="19" t="n"/>
    </row>
    <row r="1657">
      <c r="A1657" s="22" t="n"/>
      <c r="B1657" s="19" t="n"/>
      <c r="C1657" s="18">
        <f>IF(B1657="","",IFERROR(INDEX(Jugadores!$C$2:$C$501,MATCH(B1657,Jugadores!$A$2:$A$501,0)),"⚠ ID no existe"))</f>
        <v/>
      </c>
      <c r="D1657" s="19" t="n"/>
      <c r="E1657" s="19" t="n"/>
      <c r="F1657" s="16">
        <f>IF(OR(B1657="",D1657=""),"",IFERROR(INDEX('Tabla XP'!$B$2:$B$12,MATCH(D1657,'Tabla XP'!$A$2:$A$12,0))*IF(E1657="",1,E1657),0))</f>
        <v/>
      </c>
      <c r="G1657" s="19" t="n"/>
      <c r="H1657" s="19" t="n"/>
    </row>
    <row r="1658">
      <c r="A1658" s="22" t="n"/>
      <c r="B1658" s="19" t="n"/>
      <c r="C1658" s="18">
        <f>IF(B1658="","",IFERROR(INDEX(Jugadores!$C$2:$C$501,MATCH(B1658,Jugadores!$A$2:$A$501,0)),"⚠ ID no existe"))</f>
        <v/>
      </c>
      <c r="D1658" s="19" t="n"/>
      <c r="E1658" s="19" t="n"/>
      <c r="F1658" s="16">
        <f>IF(OR(B1658="",D1658=""),"",IFERROR(INDEX('Tabla XP'!$B$2:$B$12,MATCH(D1658,'Tabla XP'!$A$2:$A$12,0))*IF(E1658="",1,E1658),0))</f>
        <v/>
      </c>
      <c r="G1658" s="19" t="n"/>
      <c r="H1658" s="19" t="n"/>
    </row>
    <row r="1659">
      <c r="A1659" s="22" t="n"/>
      <c r="B1659" s="19" t="n"/>
      <c r="C1659" s="18">
        <f>IF(B1659="","",IFERROR(INDEX(Jugadores!$C$2:$C$501,MATCH(B1659,Jugadores!$A$2:$A$501,0)),"⚠ ID no existe"))</f>
        <v/>
      </c>
      <c r="D1659" s="19" t="n"/>
      <c r="E1659" s="19" t="n"/>
      <c r="F1659" s="16">
        <f>IF(OR(B1659="",D1659=""),"",IFERROR(INDEX('Tabla XP'!$B$2:$B$12,MATCH(D1659,'Tabla XP'!$A$2:$A$12,0))*IF(E1659="",1,E1659),0))</f>
        <v/>
      </c>
      <c r="G1659" s="19" t="n"/>
      <c r="H1659" s="19" t="n"/>
    </row>
    <row r="1660">
      <c r="A1660" s="22" t="n"/>
      <c r="B1660" s="19" t="n"/>
      <c r="C1660" s="18">
        <f>IF(B1660="","",IFERROR(INDEX(Jugadores!$C$2:$C$501,MATCH(B1660,Jugadores!$A$2:$A$501,0)),"⚠ ID no existe"))</f>
        <v/>
      </c>
      <c r="D1660" s="19" t="n"/>
      <c r="E1660" s="19" t="n"/>
      <c r="F1660" s="16">
        <f>IF(OR(B1660="",D1660=""),"",IFERROR(INDEX('Tabla XP'!$B$2:$B$12,MATCH(D1660,'Tabla XP'!$A$2:$A$12,0))*IF(E1660="",1,E1660),0))</f>
        <v/>
      </c>
      <c r="G1660" s="19" t="n"/>
      <c r="H1660" s="19" t="n"/>
    </row>
    <row r="1661">
      <c r="A1661" s="22" t="n"/>
      <c r="B1661" s="19" t="n"/>
      <c r="C1661" s="18">
        <f>IF(B1661="","",IFERROR(INDEX(Jugadores!$C$2:$C$501,MATCH(B1661,Jugadores!$A$2:$A$501,0)),"⚠ ID no existe"))</f>
        <v/>
      </c>
      <c r="D1661" s="19" t="n"/>
      <c r="E1661" s="19" t="n"/>
      <c r="F1661" s="16">
        <f>IF(OR(B1661="",D1661=""),"",IFERROR(INDEX('Tabla XP'!$B$2:$B$12,MATCH(D1661,'Tabla XP'!$A$2:$A$12,0))*IF(E1661="",1,E1661),0))</f>
        <v/>
      </c>
      <c r="G1661" s="19" t="n"/>
      <c r="H1661" s="19" t="n"/>
    </row>
    <row r="1662">
      <c r="A1662" s="22" t="n"/>
      <c r="B1662" s="19" t="n"/>
      <c r="C1662" s="18">
        <f>IF(B1662="","",IFERROR(INDEX(Jugadores!$C$2:$C$501,MATCH(B1662,Jugadores!$A$2:$A$501,0)),"⚠ ID no existe"))</f>
        <v/>
      </c>
      <c r="D1662" s="19" t="n"/>
      <c r="E1662" s="19" t="n"/>
      <c r="F1662" s="16">
        <f>IF(OR(B1662="",D1662=""),"",IFERROR(INDEX('Tabla XP'!$B$2:$B$12,MATCH(D1662,'Tabla XP'!$A$2:$A$12,0))*IF(E1662="",1,E1662),0))</f>
        <v/>
      </c>
      <c r="G1662" s="19" t="n"/>
      <c r="H1662" s="19" t="n"/>
    </row>
    <row r="1663">
      <c r="A1663" s="22" t="n"/>
      <c r="B1663" s="19" t="n"/>
      <c r="C1663" s="18">
        <f>IF(B1663="","",IFERROR(INDEX(Jugadores!$C$2:$C$501,MATCH(B1663,Jugadores!$A$2:$A$501,0)),"⚠ ID no existe"))</f>
        <v/>
      </c>
      <c r="D1663" s="19" t="n"/>
      <c r="E1663" s="19" t="n"/>
      <c r="F1663" s="16">
        <f>IF(OR(B1663="",D1663=""),"",IFERROR(INDEX('Tabla XP'!$B$2:$B$12,MATCH(D1663,'Tabla XP'!$A$2:$A$12,0))*IF(E1663="",1,E1663),0))</f>
        <v/>
      </c>
      <c r="G1663" s="19" t="n"/>
      <c r="H1663" s="19" t="n"/>
    </row>
    <row r="1664">
      <c r="A1664" s="22" t="n"/>
      <c r="B1664" s="19" t="n"/>
      <c r="C1664" s="18">
        <f>IF(B1664="","",IFERROR(INDEX(Jugadores!$C$2:$C$501,MATCH(B1664,Jugadores!$A$2:$A$501,0)),"⚠ ID no existe"))</f>
        <v/>
      </c>
      <c r="D1664" s="19" t="n"/>
      <c r="E1664" s="19" t="n"/>
      <c r="F1664" s="16">
        <f>IF(OR(B1664="",D1664=""),"",IFERROR(INDEX('Tabla XP'!$B$2:$B$12,MATCH(D1664,'Tabla XP'!$A$2:$A$12,0))*IF(E1664="",1,E1664),0))</f>
        <v/>
      </c>
      <c r="G1664" s="19" t="n"/>
      <c r="H1664" s="19" t="n"/>
    </row>
    <row r="1665">
      <c r="A1665" s="22" t="n"/>
      <c r="B1665" s="19" t="n"/>
      <c r="C1665" s="18">
        <f>IF(B1665="","",IFERROR(INDEX(Jugadores!$C$2:$C$501,MATCH(B1665,Jugadores!$A$2:$A$501,0)),"⚠ ID no existe"))</f>
        <v/>
      </c>
      <c r="D1665" s="19" t="n"/>
      <c r="E1665" s="19" t="n"/>
      <c r="F1665" s="16">
        <f>IF(OR(B1665="",D1665=""),"",IFERROR(INDEX('Tabla XP'!$B$2:$B$12,MATCH(D1665,'Tabla XP'!$A$2:$A$12,0))*IF(E1665="",1,E1665),0))</f>
        <v/>
      </c>
      <c r="G1665" s="19" t="n"/>
      <c r="H1665" s="19" t="n"/>
    </row>
    <row r="1666">
      <c r="A1666" s="22" t="n"/>
      <c r="B1666" s="19" t="n"/>
      <c r="C1666" s="18">
        <f>IF(B1666="","",IFERROR(INDEX(Jugadores!$C$2:$C$501,MATCH(B1666,Jugadores!$A$2:$A$501,0)),"⚠ ID no existe"))</f>
        <v/>
      </c>
      <c r="D1666" s="19" t="n"/>
      <c r="E1666" s="19" t="n"/>
      <c r="F1666" s="16">
        <f>IF(OR(B1666="",D1666=""),"",IFERROR(INDEX('Tabla XP'!$B$2:$B$12,MATCH(D1666,'Tabla XP'!$A$2:$A$12,0))*IF(E1666="",1,E1666),0))</f>
        <v/>
      </c>
      <c r="G1666" s="19" t="n"/>
      <c r="H1666" s="19" t="n"/>
    </row>
    <row r="1667">
      <c r="A1667" s="22" t="n"/>
      <c r="B1667" s="19" t="n"/>
      <c r="C1667" s="18">
        <f>IF(B1667="","",IFERROR(INDEX(Jugadores!$C$2:$C$501,MATCH(B1667,Jugadores!$A$2:$A$501,0)),"⚠ ID no existe"))</f>
        <v/>
      </c>
      <c r="D1667" s="19" t="n"/>
      <c r="E1667" s="19" t="n"/>
      <c r="F1667" s="16">
        <f>IF(OR(B1667="",D1667=""),"",IFERROR(INDEX('Tabla XP'!$B$2:$B$12,MATCH(D1667,'Tabla XP'!$A$2:$A$12,0))*IF(E1667="",1,E1667),0))</f>
        <v/>
      </c>
      <c r="G1667" s="19" t="n"/>
      <c r="H1667" s="19" t="n"/>
    </row>
    <row r="1668">
      <c r="A1668" s="22" t="n"/>
      <c r="B1668" s="19" t="n"/>
      <c r="C1668" s="18">
        <f>IF(B1668="","",IFERROR(INDEX(Jugadores!$C$2:$C$501,MATCH(B1668,Jugadores!$A$2:$A$501,0)),"⚠ ID no existe"))</f>
        <v/>
      </c>
      <c r="D1668" s="19" t="n"/>
      <c r="E1668" s="19" t="n"/>
      <c r="F1668" s="16">
        <f>IF(OR(B1668="",D1668=""),"",IFERROR(INDEX('Tabla XP'!$B$2:$B$12,MATCH(D1668,'Tabla XP'!$A$2:$A$12,0))*IF(E1668="",1,E1668),0))</f>
        <v/>
      </c>
      <c r="G1668" s="19" t="n"/>
      <c r="H1668" s="19" t="n"/>
    </row>
    <row r="1669">
      <c r="A1669" s="22" t="n"/>
      <c r="B1669" s="19" t="n"/>
      <c r="C1669" s="18">
        <f>IF(B1669="","",IFERROR(INDEX(Jugadores!$C$2:$C$501,MATCH(B1669,Jugadores!$A$2:$A$501,0)),"⚠ ID no existe"))</f>
        <v/>
      </c>
      <c r="D1669" s="19" t="n"/>
      <c r="E1669" s="19" t="n"/>
      <c r="F1669" s="16">
        <f>IF(OR(B1669="",D1669=""),"",IFERROR(INDEX('Tabla XP'!$B$2:$B$12,MATCH(D1669,'Tabla XP'!$A$2:$A$12,0))*IF(E1669="",1,E1669),0))</f>
        <v/>
      </c>
      <c r="G1669" s="19" t="n"/>
      <c r="H1669" s="19" t="n"/>
    </row>
    <row r="1670">
      <c r="A1670" s="22" t="n"/>
      <c r="B1670" s="19" t="n"/>
      <c r="C1670" s="18">
        <f>IF(B1670="","",IFERROR(INDEX(Jugadores!$C$2:$C$501,MATCH(B1670,Jugadores!$A$2:$A$501,0)),"⚠ ID no existe"))</f>
        <v/>
      </c>
      <c r="D1670" s="19" t="n"/>
      <c r="E1670" s="19" t="n"/>
      <c r="F1670" s="16">
        <f>IF(OR(B1670="",D1670=""),"",IFERROR(INDEX('Tabla XP'!$B$2:$B$12,MATCH(D1670,'Tabla XP'!$A$2:$A$12,0))*IF(E1670="",1,E1670),0))</f>
        <v/>
      </c>
      <c r="G1670" s="19" t="n"/>
      <c r="H1670" s="19" t="n"/>
    </row>
    <row r="1671">
      <c r="A1671" s="22" t="n"/>
      <c r="B1671" s="19" t="n"/>
      <c r="C1671" s="18">
        <f>IF(B1671="","",IFERROR(INDEX(Jugadores!$C$2:$C$501,MATCH(B1671,Jugadores!$A$2:$A$501,0)),"⚠ ID no existe"))</f>
        <v/>
      </c>
      <c r="D1671" s="19" t="n"/>
      <c r="E1671" s="19" t="n"/>
      <c r="F1671" s="16">
        <f>IF(OR(B1671="",D1671=""),"",IFERROR(INDEX('Tabla XP'!$B$2:$B$12,MATCH(D1671,'Tabla XP'!$A$2:$A$12,0))*IF(E1671="",1,E1671),0))</f>
        <v/>
      </c>
      <c r="G1671" s="19" t="n"/>
      <c r="H1671" s="19" t="n"/>
    </row>
    <row r="1672">
      <c r="A1672" s="22" t="n"/>
      <c r="B1672" s="19" t="n"/>
      <c r="C1672" s="18">
        <f>IF(B1672="","",IFERROR(INDEX(Jugadores!$C$2:$C$501,MATCH(B1672,Jugadores!$A$2:$A$501,0)),"⚠ ID no existe"))</f>
        <v/>
      </c>
      <c r="D1672" s="19" t="n"/>
      <c r="E1672" s="19" t="n"/>
      <c r="F1672" s="16">
        <f>IF(OR(B1672="",D1672=""),"",IFERROR(INDEX('Tabla XP'!$B$2:$B$12,MATCH(D1672,'Tabla XP'!$A$2:$A$12,0))*IF(E1672="",1,E1672),0))</f>
        <v/>
      </c>
      <c r="G1672" s="19" t="n"/>
      <c r="H1672" s="19" t="n"/>
    </row>
    <row r="1673">
      <c r="A1673" s="22" t="n"/>
      <c r="B1673" s="19" t="n"/>
      <c r="C1673" s="18">
        <f>IF(B1673="","",IFERROR(INDEX(Jugadores!$C$2:$C$501,MATCH(B1673,Jugadores!$A$2:$A$501,0)),"⚠ ID no existe"))</f>
        <v/>
      </c>
      <c r="D1673" s="19" t="n"/>
      <c r="E1673" s="19" t="n"/>
      <c r="F1673" s="16">
        <f>IF(OR(B1673="",D1673=""),"",IFERROR(INDEX('Tabla XP'!$B$2:$B$12,MATCH(D1673,'Tabla XP'!$A$2:$A$12,0))*IF(E1673="",1,E1673),0))</f>
        <v/>
      </c>
      <c r="G1673" s="19" t="n"/>
      <c r="H1673" s="19" t="n"/>
    </row>
    <row r="1674">
      <c r="A1674" s="22" t="n"/>
      <c r="B1674" s="19" t="n"/>
      <c r="C1674" s="18">
        <f>IF(B1674="","",IFERROR(INDEX(Jugadores!$C$2:$C$501,MATCH(B1674,Jugadores!$A$2:$A$501,0)),"⚠ ID no existe"))</f>
        <v/>
      </c>
      <c r="D1674" s="19" t="n"/>
      <c r="E1674" s="19" t="n"/>
      <c r="F1674" s="16">
        <f>IF(OR(B1674="",D1674=""),"",IFERROR(INDEX('Tabla XP'!$B$2:$B$12,MATCH(D1674,'Tabla XP'!$A$2:$A$12,0))*IF(E1674="",1,E1674),0))</f>
        <v/>
      </c>
      <c r="G1674" s="19" t="n"/>
      <c r="H1674" s="19" t="n"/>
    </row>
    <row r="1675">
      <c r="A1675" s="22" t="n"/>
      <c r="B1675" s="19" t="n"/>
      <c r="C1675" s="18">
        <f>IF(B1675="","",IFERROR(INDEX(Jugadores!$C$2:$C$501,MATCH(B1675,Jugadores!$A$2:$A$501,0)),"⚠ ID no existe"))</f>
        <v/>
      </c>
      <c r="D1675" s="19" t="n"/>
      <c r="E1675" s="19" t="n"/>
      <c r="F1675" s="16">
        <f>IF(OR(B1675="",D1675=""),"",IFERROR(INDEX('Tabla XP'!$B$2:$B$12,MATCH(D1675,'Tabla XP'!$A$2:$A$12,0))*IF(E1675="",1,E1675),0))</f>
        <v/>
      </c>
      <c r="G1675" s="19" t="n"/>
      <c r="H1675" s="19" t="n"/>
    </row>
    <row r="1676">
      <c r="A1676" s="22" t="n"/>
      <c r="B1676" s="19" t="n"/>
      <c r="C1676" s="18">
        <f>IF(B1676="","",IFERROR(INDEX(Jugadores!$C$2:$C$501,MATCH(B1676,Jugadores!$A$2:$A$501,0)),"⚠ ID no existe"))</f>
        <v/>
      </c>
      <c r="D1676" s="19" t="n"/>
      <c r="E1676" s="19" t="n"/>
      <c r="F1676" s="16">
        <f>IF(OR(B1676="",D1676=""),"",IFERROR(INDEX('Tabla XP'!$B$2:$B$12,MATCH(D1676,'Tabla XP'!$A$2:$A$12,0))*IF(E1676="",1,E1676),0))</f>
        <v/>
      </c>
      <c r="G1676" s="19" t="n"/>
      <c r="H1676" s="19" t="n"/>
    </row>
    <row r="1677">
      <c r="A1677" s="22" t="n"/>
      <c r="B1677" s="19" t="n"/>
      <c r="C1677" s="18">
        <f>IF(B1677="","",IFERROR(INDEX(Jugadores!$C$2:$C$501,MATCH(B1677,Jugadores!$A$2:$A$501,0)),"⚠ ID no existe"))</f>
        <v/>
      </c>
      <c r="D1677" s="19" t="n"/>
      <c r="E1677" s="19" t="n"/>
      <c r="F1677" s="16">
        <f>IF(OR(B1677="",D1677=""),"",IFERROR(INDEX('Tabla XP'!$B$2:$B$12,MATCH(D1677,'Tabla XP'!$A$2:$A$12,0))*IF(E1677="",1,E1677),0))</f>
        <v/>
      </c>
      <c r="G1677" s="19" t="n"/>
      <c r="H1677" s="19" t="n"/>
    </row>
    <row r="1678">
      <c r="A1678" s="22" t="n"/>
      <c r="B1678" s="19" t="n"/>
      <c r="C1678" s="18">
        <f>IF(B1678="","",IFERROR(INDEX(Jugadores!$C$2:$C$501,MATCH(B1678,Jugadores!$A$2:$A$501,0)),"⚠ ID no existe"))</f>
        <v/>
      </c>
      <c r="D1678" s="19" t="n"/>
      <c r="E1678" s="19" t="n"/>
      <c r="F1678" s="16">
        <f>IF(OR(B1678="",D1678=""),"",IFERROR(INDEX('Tabla XP'!$B$2:$B$12,MATCH(D1678,'Tabla XP'!$A$2:$A$12,0))*IF(E1678="",1,E1678),0))</f>
        <v/>
      </c>
      <c r="G1678" s="19" t="n"/>
      <c r="H1678" s="19" t="n"/>
    </row>
    <row r="1679">
      <c r="A1679" s="22" t="n"/>
      <c r="B1679" s="19" t="n"/>
      <c r="C1679" s="18">
        <f>IF(B1679="","",IFERROR(INDEX(Jugadores!$C$2:$C$501,MATCH(B1679,Jugadores!$A$2:$A$501,0)),"⚠ ID no existe"))</f>
        <v/>
      </c>
      <c r="D1679" s="19" t="n"/>
      <c r="E1679" s="19" t="n"/>
      <c r="F1679" s="16">
        <f>IF(OR(B1679="",D1679=""),"",IFERROR(INDEX('Tabla XP'!$B$2:$B$12,MATCH(D1679,'Tabla XP'!$A$2:$A$12,0))*IF(E1679="",1,E1679),0))</f>
        <v/>
      </c>
      <c r="G1679" s="19" t="n"/>
      <c r="H1679" s="19" t="n"/>
    </row>
    <row r="1680">
      <c r="A1680" s="22" t="n"/>
      <c r="B1680" s="19" t="n"/>
      <c r="C1680" s="18">
        <f>IF(B1680="","",IFERROR(INDEX(Jugadores!$C$2:$C$501,MATCH(B1680,Jugadores!$A$2:$A$501,0)),"⚠ ID no existe"))</f>
        <v/>
      </c>
      <c r="D1680" s="19" t="n"/>
      <c r="E1680" s="19" t="n"/>
      <c r="F1680" s="16">
        <f>IF(OR(B1680="",D1680=""),"",IFERROR(INDEX('Tabla XP'!$B$2:$B$12,MATCH(D1680,'Tabla XP'!$A$2:$A$12,0))*IF(E1680="",1,E1680),0))</f>
        <v/>
      </c>
      <c r="G1680" s="19" t="n"/>
      <c r="H1680" s="19" t="n"/>
    </row>
    <row r="1681">
      <c r="A1681" s="22" t="n"/>
      <c r="B1681" s="19" t="n"/>
      <c r="C1681" s="18">
        <f>IF(B1681="","",IFERROR(INDEX(Jugadores!$C$2:$C$501,MATCH(B1681,Jugadores!$A$2:$A$501,0)),"⚠ ID no existe"))</f>
        <v/>
      </c>
      <c r="D1681" s="19" t="n"/>
      <c r="E1681" s="19" t="n"/>
      <c r="F1681" s="16">
        <f>IF(OR(B1681="",D1681=""),"",IFERROR(INDEX('Tabla XP'!$B$2:$B$12,MATCH(D1681,'Tabla XP'!$A$2:$A$12,0))*IF(E1681="",1,E1681),0))</f>
        <v/>
      </c>
      <c r="G1681" s="19" t="n"/>
      <c r="H1681" s="19" t="n"/>
    </row>
    <row r="1682">
      <c r="A1682" s="22" t="n"/>
      <c r="B1682" s="19" t="n"/>
      <c r="C1682" s="18">
        <f>IF(B1682="","",IFERROR(INDEX(Jugadores!$C$2:$C$501,MATCH(B1682,Jugadores!$A$2:$A$501,0)),"⚠ ID no existe"))</f>
        <v/>
      </c>
      <c r="D1682" s="19" t="n"/>
      <c r="E1682" s="19" t="n"/>
      <c r="F1682" s="16">
        <f>IF(OR(B1682="",D1682=""),"",IFERROR(INDEX('Tabla XP'!$B$2:$B$12,MATCH(D1682,'Tabla XP'!$A$2:$A$12,0))*IF(E1682="",1,E1682),0))</f>
        <v/>
      </c>
      <c r="G1682" s="19" t="n"/>
      <c r="H1682" s="19" t="n"/>
    </row>
    <row r="1683">
      <c r="A1683" s="22" t="n"/>
      <c r="B1683" s="19" t="n"/>
      <c r="C1683" s="18">
        <f>IF(B1683="","",IFERROR(INDEX(Jugadores!$C$2:$C$501,MATCH(B1683,Jugadores!$A$2:$A$501,0)),"⚠ ID no existe"))</f>
        <v/>
      </c>
      <c r="D1683" s="19" t="n"/>
      <c r="E1683" s="19" t="n"/>
      <c r="F1683" s="16">
        <f>IF(OR(B1683="",D1683=""),"",IFERROR(INDEX('Tabla XP'!$B$2:$B$12,MATCH(D1683,'Tabla XP'!$A$2:$A$12,0))*IF(E1683="",1,E1683),0))</f>
        <v/>
      </c>
      <c r="G1683" s="19" t="n"/>
      <c r="H1683" s="19" t="n"/>
    </row>
    <row r="1684">
      <c r="A1684" s="22" t="n"/>
      <c r="B1684" s="19" t="n"/>
      <c r="C1684" s="18">
        <f>IF(B1684="","",IFERROR(INDEX(Jugadores!$C$2:$C$501,MATCH(B1684,Jugadores!$A$2:$A$501,0)),"⚠ ID no existe"))</f>
        <v/>
      </c>
      <c r="D1684" s="19" t="n"/>
      <c r="E1684" s="19" t="n"/>
      <c r="F1684" s="16">
        <f>IF(OR(B1684="",D1684=""),"",IFERROR(INDEX('Tabla XP'!$B$2:$B$12,MATCH(D1684,'Tabla XP'!$A$2:$A$12,0))*IF(E1684="",1,E1684),0))</f>
        <v/>
      </c>
      <c r="G1684" s="19" t="n"/>
      <c r="H1684" s="19" t="n"/>
    </row>
    <row r="1685">
      <c r="A1685" s="22" t="n"/>
      <c r="B1685" s="19" t="n"/>
      <c r="C1685" s="18">
        <f>IF(B1685="","",IFERROR(INDEX(Jugadores!$C$2:$C$501,MATCH(B1685,Jugadores!$A$2:$A$501,0)),"⚠ ID no existe"))</f>
        <v/>
      </c>
      <c r="D1685" s="19" t="n"/>
      <c r="E1685" s="19" t="n"/>
      <c r="F1685" s="16">
        <f>IF(OR(B1685="",D1685=""),"",IFERROR(INDEX('Tabla XP'!$B$2:$B$12,MATCH(D1685,'Tabla XP'!$A$2:$A$12,0))*IF(E1685="",1,E1685),0))</f>
        <v/>
      </c>
      <c r="G1685" s="19" t="n"/>
      <c r="H1685" s="19" t="n"/>
    </row>
    <row r="1686">
      <c r="A1686" s="22" t="n"/>
      <c r="B1686" s="19" t="n"/>
      <c r="C1686" s="18">
        <f>IF(B1686="","",IFERROR(INDEX(Jugadores!$C$2:$C$501,MATCH(B1686,Jugadores!$A$2:$A$501,0)),"⚠ ID no existe"))</f>
        <v/>
      </c>
      <c r="D1686" s="19" t="n"/>
      <c r="E1686" s="19" t="n"/>
      <c r="F1686" s="16">
        <f>IF(OR(B1686="",D1686=""),"",IFERROR(INDEX('Tabla XP'!$B$2:$B$12,MATCH(D1686,'Tabla XP'!$A$2:$A$12,0))*IF(E1686="",1,E1686),0))</f>
        <v/>
      </c>
      <c r="G1686" s="19" t="n"/>
      <c r="H1686" s="19" t="n"/>
    </row>
    <row r="1687">
      <c r="A1687" s="22" t="n"/>
      <c r="B1687" s="19" t="n"/>
      <c r="C1687" s="18">
        <f>IF(B1687="","",IFERROR(INDEX(Jugadores!$C$2:$C$501,MATCH(B1687,Jugadores!$A$2:$A$501,0)),"⚠ ID no existe"))</f>
        <v/>
      </c>
      <c r="D1687" s="19" t="n"/>
      <c r="E1687" s="19" t="n"/>
      <c r="F1687" s="16">
        <f>IF(OR(B1687="",D1687=""),"",IFERROR(INDEX('Tabla XP'!$B$2:$B$12,MATCH(D1687,'Tabla XP'!$A$2:$A$12,0))*IF(E1687="",1,E1687),0))</f>
        <v/>
      </c>
      <c r="G1687" s="19" t="n"/>
      <c r="H1687" s="19" t="n"/>
    </row>
    <row r="1688">
      <c r="A1688" s="22" t="n"/>
      <c r="B1688" s="19" t="n"/>
      <c r="C1688" s="18">
        <f>IF(B1688="","",IFERROR(INDEX(Jugadores!$C$2:$C$501,MATCH(B1688,Jugadores!$A$2:$A$501,0)),"⚠ ID no existe"))</f>
        <v/>
      </c>
      <c r="D1688" s="19" t="n"/>
      <c r="E1688" s="19" t="n"/>
      <c r="F1688" s="16">
        <f>IF(OR(B1688="",D1688=""),"",IFERROR(INDEX('Tabla XP'!$B$2:$B$12,MATCH(D1688,'Tabla XP'!$A$2:$A$12,0))*IF(E1688="",1,E1688),0))</f>
        <v/>
      </c>
      <c r="G1688" s="19" t="n"/>
      <c r="H1688" s="19" t="n"/>
    </row>
    <row r="1689">
      <c r="A1689" s="22" t="n"/>
      <c r="B1689" s="19" t="n"/>
      <c r="C1689" s="18">
        <f>IF(B1689="","",IFERROR(INDEX(Jugadores!$C$2:$C$501,MATCH(B1689,Jugadores!$A$2:$A$501,0)),"⚠ ID no existe"))</f>
        <v/>
      </c>
      <c r="D1689" s="19" t="n"/>
      <c r="E1689" s="19" t="n"/>
      <c r="F1689" s="16">
        <f>IF(OR(B1689="",D1689=""),"",IFERROR(INDEX('Tabla XP'!$B$2:$B$12,MATCH(D1689,'Tabla XP'!$A$2:$A$12,0))*IF(E1689="",1,E1689),0))</f>
        <v/>
      </c>
      <c r="G1689" s="19" t="n"/>
      <c r="H1689" s="19" t="n"/>
    </row>
    <row r="1690">
      <c r="A1690" s="22" t="n"/>
      <c r="B1690" s="19" t="n"/>
      <c r="C1690" s="18">
        <f>IF(B1690="","",IFERROR(INDEX(Jugadores!$C$2:$C$501,MATCH(B1690,Jugadores!$A$2:$A$501,0)),"⚠ ID no existe"))</f>
        <v/>
      </c>
      <c r="D1690" s="19" t="n"/>
      <c r="E1690" s="19" t="n"/>
      <c r="F1690" s="16">
        <f>IF(OR(B1690="",D1690=""),"",IFERROR(INDEX('Tabla XP'!$B$2:$B$12,MATCH(D1690,'Tabla XP'!$A$2:$A$12,0))*IF(E1690="",1,E1690),0))</f>
        <v/>
      </c>
      <c r="G1690" s="19" t="n"/>
      <c r="H1690" s="19" t="n"/>
    </row>
    <row r="1691">
      <c r="A1691" s="22" t="n"/>
      <c r="B1691" s="19" t="n"/>
      <c r="C1691" s="18">
        <f>IF(B1691="","",IFERROR(INDEX(Jugadores!$C$2:$C$501,MATCH(B1691,Jugadores!$A$2:$A$501,0)),"⚠ ID no existe"))</f>
        <v/>
      </c>
      <c r="D1691" s="19" t="n"/>
      <c r="E1691" s="19" t="n"/>
      <c r="F1691" s="16">
        <f>IF(OR(B1691="",D1691=""),"",IFERROR(INDEX('Tabla XP'!$B$2:$B$12,MATCH(D1691,'Tabla XP'!$A$2:$A$12,0))*IF(E1691="",1,E1691),0))</f>
        <v/>
      </c>
      <c r="G1691" s="19" t="n"/>
      <c r="H1691" s="19" t="n"/>
    </row>
    <row r="1692">
      <c r="A1692" s="22" t="n"/>
      <c r="B1692" s="19" t="n"/>
      <c r="C1692" s="18">
        <f>IF(B1692="","",IFERROR(INDEX(Jugadores!$C$2:$C$501,MATCH(B1692,Jugadores!$A$2:$A$501,0)),"⚠ ID no existe"))</f>
        <v/>
      </c>
      <c r="D1692" s="19" t="n"/>
      <c r="E1692" s="19" t="n"/>
      <c r="F1692" s="16">
        <f>IF(OR(B1692="",D1692=""),"",IFERROR(INDEX('Tabla XP'!$B$2:$B$12,MATCH(D1692,'Tabla XP'!$A$2:$A$12,0))*IF(E1692="",1,E1692),0))</f>
        <v/>
      </c>
      <c r="G1692" s="19" t="n"/>
      <c r="H1692" s="19" t="n"/>
    </row>
    <row r="1693">
      <c r="A1693" s="22" t="n"/>
      <c r="B1693" s="19" t="n"/>
      <c r="C1693" s="18">
        <f>IF(B1693="","",IFERROR(INDEX(Jugadores!$C$2:$C$501,MATCH(B1693,Jugadores!$A$2:$A$501,0)),"⚠ ID no existe"))</f>
        <v/>
      </c>
      <c r="D1693" s="19" t="n"/>
      <c r="E1693" s="19" t="n"/>
      <c r="F1693" s="16">
        <f>IF(OR(B1693="",D1693=""),"",IFERROR(INDEX('Tabla XP'!$B$2:$B$12,MATCH(D1693,'Tabla XP'!$A$2:$A$12,0))*IF(E1693="",1,E1693),0))</f>
        <v/>
      </c>
      <c r="G1693" s="19" t="n"/>
      <c r="H1693" s="19" t="n"/>
    </row>
    <row r="1694">
      <c r="A1694" s="22" t="n"/>
      <c r="B1694" s="19" t="n"/>
      <c r="C1694" s="18">
        <f>IF(B1694="","",IFERROR(INDEX(Jugadores!$C$2:$C$501,MATCH(B1694,Jugadores!$A$2:$A$501,0)),"⚠ ID no existe"))</f>
        <v/>
      </c>
      <c r="D1694" s="19" t="n"/>
      <c r="E1694" s="19" t="n"/>
      <c r="F1694" s="16">
        <f>IF(OR(B1694="",D1694=""),"",IFERROR(INDEX('Tabla XP'!$B$2:$B$12,MATCH(D1694,'Tabla XP'!$A$2:$A$12,0))*IF(E1694="",1,E1694),0))</f>
        <v/>
      </c>
      <c r="G1694" s="19" t="n"/>
      <c r="H1694" s="19" t="n"/>
    </row>
    <row r="1695">
      <c r="A1695" s="22" t="n"/>
      <c r="B1695" s="19" t="n"/>
      <c r="C1695" s="18">
        <f>IF(B1695="","",IFERROR(INDEX(Jugadores!$C$2:$C$501,MATCH(B1695,Jugadores!$A$2:$A$501,0)),"⚠ ID no existe"))</f>
        <v/>
      </c>
      <c r="D1695" s="19" t="n"/>
      <c r="E1695" s="19" t="n"/>
      <c r="F1695" s="16">
        <f>IF(OR(B1695="",D1695=""),"",IFERROR(INDEX('Tabla XP'!$B$2:$B$12,MATCH(D1695,'Tabla XP'!$A$2:$A$12,0))*IF(E1695="",1,E1695),0))</f>
        <v/>
      </c>
      <c r="G1695" s="19" t="n"/>
      <c r="H1695" s="19" t="n"/>
    </row>
    <row r="1696">
      <c r="A1696" s="22" t="n"/>
      <c r="B1696" s="19" t="n"/>
      <c r="C1696" s="18">
        <f>IF(B1696="","",IFERROR(INDEX(Jugadores!$C$2:$C$501,MATCH(B1696,Jugadores!$A$2:$A$501,0)),"⚠ ID no existe"))</f>
        <v/>
      </c>
      <c r="D1696" s="19" t="n"/>
      <c r="E1696" s="19" t="n"/>
      <c r="F1696" s="16">
        <f>IF(OR(B1696="",D1696=""),"",IFERROR(INDEX('Tabla XP'!$B$2:$B$12,MATCH(D1696,'Tabla XP'!$A$2:$A$12,0))*IF(E1696="",1,E1696),0))</f>
        <v/>
      </c>
      <c r="G1696" s="19" t="n"/>
      <c r="H1696" s="19" t="n"/>
    </row>
    <row r="1697">
      <c r="A1697" s="22" t="n"/>
      <c r="B1697" s="19" t="n"/>
      <c r="C1697" s="18">
        <f>IF(B1697="","",IFERROR(INDEX(Jugadores!$C$2:$C$501,MATCH(B1697,Jugadores!$A$2:$A$501,0)),"⚠ ID no existe"))</f>
        <v/>
      </c>
      <c r="D1697" s="19" t="n"/>
      <c r="E1697" s="19" t="n"/>
      <c r="F1697" s="16">
        <f>IF(OR(B1697="",D1697=""),"",IFERROR(INDEX('Tabla XP'!$B$2:$B$12,MATCH(D1697,'Tabla XP'!$A$2:$A$12,0))*IF(E1697="",1,E1697),0))</f>
        <v/>
      </c>
      <c r="G1697" s="19" t="n"/>
      <c r="H1697" s="19" t="n"/>
    </row>
    <row r="1698">
      <c r="A1698" s="22" t="n"/>
      <c r="B1698" s="19" t="n"/>
      <c r="C1698" s="18">
        <f>IF(B1698="","",IFERROR(INDEX(Jugadores!$C$2:$C$501,MATCH(B1698,Jugadores!$A$2:$A$501,0)),"⚠ ID no existe"))</f>
        <v/>
      </c>
      <c r="D1698" s="19" t="n"/>
      <c r="E1698" s="19" t="n"/>
      <c r="F1698" s="16">
        <f>IF(OR(B1698="",D1698=""),"",IFERROR(INDEX('Tabla XP'!$B$2:$B$12,MATCH(D1698,'Tabla XP'!$A$2:$A$12,0))*IF(E1698="",1,E1698),0))</f>
        <v/>
      </c>
      <c r="G1698" s="19" t="n"/>
      <c r="H1698" s="19" t="n"/>
    </row>
    <row r="1699">
      <c r="A1699" s="22" t="n"/>
      <c r="B1699" s="19" t="n"/>
      <c r="C1699" s="18">
        <f>IF(B1699="","",IFERROR(INDEX(Jugadores!$C$2:$C$501,MATCH(B1699,Jugadores!$A$2:$A$501,0)),"⚠ ID no existe"))</f>
        <v/>
      </c>
      <c r="D1699" s="19" t="n"/>
      <c r="E1699" s="19" t="n"/>
      <c r="F1699" s="16">
        <f>IF(OR(B1699="",D1699=""),"",IFERROR(INDEX('Tabla XP'!$B$2:$B$12,MATCH(D1699,'Tabla XP'!$A$2:$A$12,0))*IF(E1699="",1,E1699),0))</f>
        <v/>
      </c>
      <c r="G1699" s="19" t="n"/>
      <c r="H1699" s="19" t="n"/>
    </row>
    <row r="1700">
      <c r="A1700" s="22" t="n"/>
      <c r="B1700" s="19" t="n"/>
      <c r="C1700" s="18">
        <f>IF(B1700="","",IFERROR(INDEX(Jugadores!$C$2:$C$501,MATCH(B1700,Jugadores!$A$2:$A$501,0)),"⚠ ID no existe"))</f>
        <v/>
      </c>
      <c r="D1700" s="19" t="n"/>
      <c r="E1700" s="19" t="n"/>
      <c r="F1700" s="16">
        <f>IF(OR(B1700="",D1700=""),"",IFERROR(INDEX('Tabla XP'!$B$2:$B$12,MATCH(D1700,'Tabla XP'!$A$2:$A$12,0))*IF(E1700="",1,E1700),0))</f>
        <v/>
      </c>
      <c r="G1700" s="19" t="n"/>
      <c r="H1700" s="19" t="n"/>
    </row>
    <row r="1701">
      <c r="A1701" s="22" t="n"/>
      <c r="B1701" s="19" t="n"/>
      <c r="C1701" s="18">
        <f>IF(B1701="","",IFERROR(INDEX(Jugadores!$C$2:$C$501,MATCH(B1701,Jugadores!$A$2:$A$501,0)),"⚠ ID no existe"))</f>
        <v/>
      </c>
      <c r="D1701" s="19" t="n"/>
      <c r="E1701" s="19" t="n"/>
      <c r="F1701" s="16">
        <f>IF(OR(B1701="",D1701=""),"",IFERROR(INDEX('Tabla XP'!$B$2:$B$12,MATCH(D1701,'Tabla XP'!$A$2:$A$12,0))*IF(E1701="",1,E1701),0))</f>
        <v/>
      </c>
      <c r="G1701" s="19" t="n"/>
      <c r="H1701" s="19" t="n"/>
    </row>
    <row r="1702">
      <c r="A1702" s="22" t="n"/>
      <c r="B1702" s="19" t="n"/>
      <c r="C1702" s="18">
        <f>IF(B1702="","",IFERROR(INDEX(Jugadores!$C$2:$C$501,MATCH(B1702,Jugadores!$A$2:$A$501,0)),"⚠ ID no existe"))</f>
        <v/>
      </c>
      <c r="D1702" s="19" t="n"/>
      <c r="E1702" s="19" t="n"/>
      <c r="F1702" s="16">
        <f>IF(OR(B1702="",D1702=""),"",IFERROR(INDEX('Tabla XP'!$B$2:$B$12,MATCH(D1702,'Tabla XP'!$A$2:$A$12,0))*IF(E1702="",1,E1702),0))</f>
        <v/>
      </c>
      <c r="G1702" s="19" t="n"/>
      <c r="H1702" s="19" t="n"/>
    </row>
    <row r="1703">
      <c r="A1703" s="22" t="n"/>
      <c r="B1703" s="19" t="n"/>
      <c r="C1703" s="18">
        <f>IF(B1703="","",IFERROR(INDEX(Jugadores!$C$2:$C$501,MATCH(B1703,Jugadores!$A$2:$A$501,0)),"⚠ ID no existe"))</f>
        <v/>
      </c>
      <c r="D1703" s="19" t="n"/>
      <c r="E1703" s="19" t="n"/>
      <c r="F1703" s="16">
        <f>IF(OR(B1703="",D1703=""),"",IFERROR(INDEX('Tabla XP'!$B$2:$B$12,MATCH(D1703,'Tabla XP'!$A$2:$A$12,0))*IF(E1703="",1,E1703),0))</f>
        <v/>
      </c>
      <c r="G1703" s="19" t="n"/>
      <c r="H1703" s="19" t="n"/>
    </row>
    <row r="1704">
      <c r="A1704" s="22" t="n"/>
      <c r="B1704" s="19" t="n"/>
      <c r="C1704" s="18">
        <f>IF(B1704="","",IFERROR(INDEX(Jugadores!$C$2:$C$501,MATCH(B1704,Jugadores!$A$2:$A$501,0)),"⚠ ID no existe"))</f>
        <v/>
      </c>
      <c r="D1704" s="19" t="n"/>
      <c r="E1704" s="19" t="n"/>
      <c r="F1704" s="16">
        <f>IF(OR(B1704="",D1704=""),"",IFERROR(INDEX('Tabla XP'!$B$2:$B$12,MATCH(D1704,'Tabla XP'!$A$2:$A$12,0))*IF(E1704="",1,E1704),0))</f>
        <v/>
      </c>
      <c r="G1704" s="19" t="n"/>
      <c r="H1704" s="19" t="n"/>
    </row>
    <row r="1705">
      <c r="A1705" s="22" t="n"/>
      <c r="B1705" s="19" t="n"/>
      <c r="C1705" s="18">
        <f>IF(B1705="","",IFERROR(INDEX(Jugadores!$C$2:$C$501,MATCH(B1705,Jugadores!$A$2:$A$501,0)),"⚠ ID no existe"))</f>
        <v/>
      </c>
      <c r="D1705" s="19" t="n"/>
      <c r="E1705" s="19" t="n"/>
      <c r="F1705" s="16">
        <f>IF(OR(B1705="",D1705=""),"",IFERROR(INDEX('Tabla XP'!$B$2:$B$12,MATCH(D1705,'Tabla XP'!$A$2:$A$12,0))*IF(E1705="",1,E1705),0))</f>
        <v/>
      </c>
      <c r="G1705" s="19" t="n"/>
      <c r="H1705" s="19" t="n"/>
    </row>
    <row r="1706">
      <c r="A1706" s="22" t="n"/>
      <c r="B1706" s="19" t="n"/>
      <c r="C1706" s="18">
        <f>IF(B1706="","",IFERROR(INDEX(Jugadores!$C$2:$C$501,MATCH(B1706,Jugadores!$A$2:$A$501,0)),"⚠ ID no existe"))</f>
        <v/>
      </c>
      <c r="D1706" s="19" t="n"/>
      <c r="E1706" s="19" t="n"/>
      <c r="F1706" s="16">
        <f>IF(OR(B1706="",D1706=""),"",IFERROR(INDEX('Tabla XP'!$B$2:$B$12,MATCH(D1706,'Tabla XP'!$A$2:$A$12,0))*IF(E1706="",1,E1706),0))</f>
        <v/>
      </c>
      <c r="G1706" s="19" t="n"/>
      <c r="H1706" s="19" t="n"/>
    </row>
    <row r="1707">
      <c r="A1707" s="22" t="n"/>
      <c r="B1707" s="19" t="n"/>
      <c r="C1707" s="18">
        <f>IF(B1707="","",IFERROR(INDEX(Jugadores!$C$2:$C$501,MATCH(B1707,Jugadores!$A$2:$A$501,0)),"⚠ ID no existe"))</f>
        <v/>
      </c>
      <c r="D1707" s="19" t="n"/>
      <c r="E1707" s="19" t="n"/>
      <c r="F1707" s="16">
        <f>IF(OR(B1707="",D1707=""),"",IFERROR(INDEX('Tabla XP'!$B$2:$B$12,MATCH(D1707,'Tabla XP'!$A$2:$A$12,0))*IF(E1707="",1,E1707),0))</f>
        <v/>
      </c>
      <c r="G1707" s="19" t="n"/>
      <c r="H1707" s="19" t="n"/>
    </row>
    <row r="1708">
      <c r="A1708" s="22" t="n"/>
      <c r="B1708" s="19" t="n"/>
      <c r="C1708" s="18">
        <f>IF(B1708="","",IFERROR(INDEX(Jugadores!$C$2:$C$501,MATCH(B1708,Jugadores!$A$2:$A$501,0)),"⚠ ID no existe"))</f>
        <v/>
      </c>
      <c r="D1708" s="19" t="n"/>
      <c r="E1708" s="19" t="n"/>
      <c r="F1708" s="16">
        <f>IF(OR(B1708="",D1708=""),"",IFERROR(INDEX('Tabla XP'!$B$2:$B$12,MATCH(D1708,'Tabla XP'!$A$2:$A$12,0))*IF(E1708="",1,E1708),0))</f>
        <v/>
      </c>
      <c r="G1708" s="19" t="n"/>
      <c r="H1708" s="19" t="n"/>
    </row>
    <row r="1709">
      <c r="A1709" s="22" t="n"/>
      <c r="B1709" s="19" t="n"/>
      <c r="C1709" s="18">
        <f>IF(B1709="","",IFERROR(INDEX(Jugadores!$C$2:$C$501,MATCH(B1709,Jugadores!$A$2:$A$501,0)),"⚠ ID no existe"))</f>
        <v/>
      </c>
      <c r="D1709" s="19" t="n"/>
      <c r="E1709" s="19" t="n"/>
      <c r="F1709" s="16">
        <f>IF(OR(B1709="",D1709=""),"",IFERROR(INDEX('Tabla XP'!$B$2:$B$12,MATCH(D1709,'Tabla XP'!$A$2:$A$12,0))*IF(E1709="",1,E1709),0))</f>
        <v/>
      </c>
      <c r="G1709" s="19" t="n"/>
      <c r="H1709" s="19" t="n"/>
    </row>
    <row r="1710">
      <c r="A1710" s="22" t="n"/>
      <c r="B1710" s="19" t="n"/>
      <c r="C1710" s="18">
        <f>IF(B1710="","",IFERROR(INDEX(Jugadores!$C$2:$C$501,MATCH(B1710,Jugadores!$A$2:$A$501,0)),"⚠ ID no existe"))</f>
        <v/>
      </c>
      <c r="D1710" s="19" t="n"/>
      <c r="E1710" s="19" t="n"/>
      <c r="F1710" s="16">
        <f>IF(OR(B1710="",D1710=""),"",IFERROR(INDEX('Tabla XP'!$B$2:$B$12,MATCH(D1710,'Tabla XP'!$A$2:$A$12,0))*IF(E1710="",1,E1710),0))</f>
        <v/>
      </c>
      <c r="G1710" s="19" t="n"/>
      <c r="H1710" s="19" t="n"/>
    </row>
    <row r="1711">
      <c r="A1711" s="22" t="n"/>
      <c r="B1711" s="19" t="n"/>
      <c r="C1711" s="18">
        <f>IF(B1711="","",IFERROR(INDEX(Jugadores!$C$2:$C$501,MATCH(B1711,Jugadores!$A$2:$A$501,0)),"⚠ ID no existe"))</f>
        <v/>
      </c>
      <c r="D1711" s="19" t="n"/>
      <c r="E1711" s="19" t="n"/>
      <c r="F1711" s="16">
        <f>IF(OR(B1711="",D1711=""),"",IFERROR(INDEX('Tabla XP'!$B$2:$B$12,MATCH(D1711,'Tabla XP'!$A$2:$A$12,0))*IF(E1711="",1,E1711),0))</f>
        <v/>
      </c>
      <c r="G1711" s="19" t="n"/>
      <c r="H1711" s="19" t="n"/>
    </row>
    <row r="1712">
      <c r="A1712" s="22" t="n"/>
      <c r="B1712" s="19" t="n"/>
      <c r="C1712" s="18">
        <f>IF(B1712="","",IFERROR(INDEX(Jugadores!$C$2:$C$501,MATCH(B1712,Jugadores!$A$2:$A$501,0)),"⚠ ID no existe"))</f>
        <v/>
      </c>
      <c r="D1712" s="19" t="n"/>
      <c r="E1712" s="19" t="n"/>
      <c r="F1712" s="16">
        <f>IF(OR(B1712="",D1712=""),"",IFERROR(INDEX('Tabla XP'!$B$2:$B$12,MATCH(D1712,'Tabla XP'!$A$2:$A$12,0))*IF(E1712="",1,E1712),0))</f>
        <v/>
      </c>
      <c r="G1712" s="19" t="n"/>
      <c r="H1712" s="19" t="n"/>
    </row>
    <row r="1713">
      <c r="A1713" s="22" t="n"/>
      <c r="B1713" s="19" t="n"/>
      <c r="C1713" s="18">
        <f>IF(B1713="","",IFERROR(INDEX(Jugadores!$C$2:$C$501,MATCH(B1713,Jugadores!$A$2:$A$501,0)),"⚠ ID no existe"))</f>
        <v/>
      </c>
      <c r="D1713" s="19" t="n"/>
      <c r="E1713" s="19" t="n"/>
      <c r="F1713" s="16">
        <f>IF(OR(B1713="",D1713=""),"",IFERROR(INDEX('Tabla XP'!$B$2:$B$12,MATCH(D1713,'Tabla XP'!$A$2:$A$12,0))*IF(E1713="",1,E1713),0))</f>
        <v/>
      </c>
      <c r="G1713" s="19" t="n"/>
      <c r="H1713" s="19" t="n"/>
    </row>
    <row r="1714">
      <c r="A1714" s="22" t="n"/>
      <c r="B1714" s="19" t="n"/>
      <c r="C1714" s="18">
        <f>IF(B1714="","",IFERROR(INDEX(Jugadores!$C$2:$C$501,MATCH(B1714,Jugadores!$A$2:$A$501,0)),"⚠ ID no existe"))</f>
        <v/>
      </c>
      <c r="D1714" s="19" t="n"/>
      <c r="E1714" s="19" t="n"/>
      <c r="F1714" s="16">
        <f>IF(OR(B1714="",D1714=""),"",IFERROR(INDEX('Tabla XP'!$B$2:$B$12,MATCH(D1714,'Tabla XP'!$A$2:$A$12,0))*IF(E1714="",1,E1714),0))</f>
        <v/>
      </c>
      <c r="G1714" s="19" t="n"/>
      <c r="H1714" s="19" t="n"/>
    </row>
    <row r="1715">
      <c r="A1715" s="22" t="n"/>
      <c r="B1715" s="19" t="n"/>
      <c r="C1715" s="18">
        <f>IF(B1715="","",IFERROR(INDEX(Jugadores!$C$2:$C$501,MATCH(B1715,Jugadores!$A$2:$A$501,0)),"⚠ ID no existe"))</f>
        <v/>
      </c>
      <c r="D1715" s="19" t="n"/>
      <c r="E1715" s="19" t="n"/>
      <c r="F1715" s="16">
        <f>IF(OR(B1715="",D1715=""),"",IFERROR(INDEX('Tabla XP'!$B$2:$B$12,MATCH(D1715,'Tabla XP'!$A$2:$A$12,0))*IF(E1715="",1,E1715),0))</f>
        <v/>
      </c>
      <c r="G1715" s="19" t="n"/>
      <c r="H1715" s="19" t="n"/>
    </row>
    <row r="1716">
      <c r="A1716" s="22" t="n"/>
      <c r="B1716" s="19" t="n"/>
      <c r="C1716" s="18">
        <f>IF(B1716="","",IFERROR(INDEX(Jugadores!$C$2:$C$501,MATCH(B1716,Jugadores!$A$2:$A$501,0)),"⚠ ID no existe"))</f>
        <v/>
      </c>
      <c r="D1716" s="19" t="n"/>
      <c r="E1716" s="19" t="n"/>
      <c r="F1716" s="16">
        <f>IF(OR(B1716="",D1716=""),"",IFERROR(INDEX('Tabla XP'!$B$2:$B$12,MATCH(D1716,'Tabla XP'!$A$2:$A$12,0))*IF(E1716="",1,E1716),0))</f>
        <v/>
      </c>
      <c r="G1716" s="19" t="n"/>
      <c r="H1716" s="19" t="n"/>
    </row>
    <row r="1717">
      <c r="A1717" s="22" t="n"/>
      <c r="B1717" s="19" t="n"/>
      <c r="C1717" s="18">
        <f>IF(B1717="","",IFERROR(INDEX(Jugadores!$C$2:$C$501,MATCH(B1717,Jugadores!$A$2:$A$501,0)),"⚠ ID no existe"))</f>
        <v/>
      </c>
      <c r="D1717" s="19" t="n"/>
      <c r="E1717" s="19" t="n"/>
      <c r="F1717" s="16">
        <f>IF(OR(B1717="",D1717=""),"",IFERROR(INDEX('Tabla XP'!$B$2:$B$12,MATCH(D1717,'Tabla XP'!$A$2:$A$12,0))*IF(E1717="",1,E1717),0))</f>
        <v/>
      </c>
      <c r="G1717" s="19" t="n"/>
      <c r="H1717" s="19" t="n"/>
    </row>
    <row r="1718">
      <c r="A1718" s="22" t="n"/>
      <c r="B1718" s="19" t="n"/>
      <c r="C1718" s="18">
        <f>IF(B1718="","",IFERROR(INDEX(Jugadores!$C$2:$C$501,MATCH(B1718,Jugadores!$A$2:$A$501,0)),"⚠ ID no existe"))</f>
        <v/>
      </c>
      <c r="D1718" s="19" t="n"/>
      <c r="E1718" s="19" t="n"/>
      <c r="F1718" s="16">
        <f>IF(OR(B1718="",D1718=""),"",IFERROR(INDEX('Tabla XP'!$B$2:$B$12,MATCH(D1718,'Tabla XP'!$A$2:$A$12,0))*IF(E1718="",1,E1718),0))</f>
        <v/>
      </c>
      <c r="G1718" s="19" t="n"/>
      <c r="H1718" s="19" t="n"/>
    </row>
    <row r="1719">
      <c r="A1719" s="22" t="n"/>
      <c r="B1719" s="19" t="n"/>
      <c r="C1719" s="18">
        <f>IF(B1719="","",IFERROR(INDEX(Jugadores!$C$2:$C$501,MATCH(B1719,Jugadores!$A$2:$A$501,0)),"⚠ ID no existe"))</f>
        <v/>
      </c>
      <c r="D1719" s="19" t="n"/>
      <c r="E1719" s="19" t="n"/>
      <c r="F1719" s="16">
        <f>IF(OR(B1719="",D1719=""),"",IFERROR(INDEX('Tabla XP'!$B$2:$B$12,MATCH(D1719,'Tabla XP'!$A$2:$A$12,0))*IF(E1719="",1,E1719),0))</f>
        <v/>
      </c>
      <c r="G1719" s="19" t="n"/>
      <c r="H1719" s="19" t="n"/>
    </row>
    <row r="1720">
      <c r="A1720" s="22" t="n"/>
      <c r="B1720" s="19" t="n"/>
      <c r="C1720" s="18">
        <f>IF(B1720="","",IFERROR(INDEX(Jugadores!$C$2:$C$501,MATCH(B1720,Jugadores!$A$2:$A$501,0)),"⚠ ID no existe"))</f>
        <v/>
      </c>
      <c r="D1720" s="19" t="n"/>
      <c r="E1720" s="19" t="n"/>
      <c r="F1720" s="16">
        <f>IF(OR(B1720="",D1720=""),"",IFERROR(INDEX('Tabla XP'!$B$2:$B$12,MATCH(D1720,'Tabla XP'!$A$2:$A$12,0))*IF(E1720="",1,E1720),0))</f>
        <v/>
      </c>
      <c r="G1720" s="19" t="n"/>
      <c r="H1720" s="19" t="n"/>
    </row>
    <row r="1721">
      <c r="A1721" s="22" t="n"/>
      <c r="B1721" s="19" t="n"/>
      <c r="C1721" s="18">
        <f>IF(B1721="","",IFERROR(INDEX(Jugadores!$C$2:$C$501,MATCH(B1721,Jugadores!$A$2:$A$501,0)),"⚠ ID no existe"))</f>
        <v/>
      </c>
      <c r="D1721" s="19" t="n"/>
      <c r="E1721" s="19" t="n"/>
      <c r="F1721" s="16">
        <f>IF(OR(B1721="",D1721=""),"",IFERROR(INDEX('Tabla XP'!$B$2:$B$12,MATCH(D1721,'Tabla XP'!$A$2:$A$12,0))*IF(E1721="",1,E1721),0))</f>
        <v/>
      </c>
      <c r="G1721" s="19" t="n"/>
      <c r="H1721" s="19" t="n"/>
    </row>
    <row r="1722">
      <c r="A1722" s="22" t="n"/>
      <c r="B1722" s="19" t="n"/>
      <c r="C1722" s="18">
        <f>IF(B1722="","",IFERROR(INDEX(Jugadores!$C$2:$C$501,MATCH(B1722,Jugadores!$A$2:$A$501,0)),"⚠ ID no existe"))</f>
        <v/>
      </c>
      <c r="D1722" s="19" t="n"/>
      <c r="E1722" s="19" t="n"/>
      <c r="F1722" s="16">
        <f>IF(OR(B1722="",D1722=""),"",IFERROR(INDEX('Tabla XP'!$B$2:$B$12,MATCH(D1722,'Tabla XP'!$A$2:$A$12,0))*IF(E1722="",1,E1722),0))</f>
        <v/>
      </c>
      <c r="G1722" s="19" t="n"/>
      <c r="H1722" s="19" t="n"/>
    </row>
    <row r="1723">
      <c r="A1723" s="22" t="n"/>
      <c r="B1723" s="19" t="n"/>
      <c r="C1723" s="18">
        <f>IF(B1723="","",IFERROR(INDEX(Jugadores!$C$2:$C$501,MATCH(B1723,Jugadores!$A$2:$A$501,0)),"⚠ ID no existe"))</f>
        <v/>
      </c>
      <c r="D1723" s="19" t="n"/>
      <c r="E1723" s="19" t="n"/>
      <c r="F1723" s="16">
        <f>IF(OR(B1723="",D1723=""),"",IFERROR(INDEX('Tabla XP'!$B$2:$B$12,MATCH(D1723,'Tabla XP'!$A$2:$A$12,0))*IF(E1723="",1,E1723),0))</f>
        <v/>
      </c>
      <c r="G1723" s="19" t="n"/>
      <c r="H1723" s="19" t="n"/>
    </row>
    <row r="1724">
      <c r="A1724" s="22" t="n"/>
      <c r="B1724" s="19" t="n"/>
      <c r="C1724" s="18">
        <f>IF(B1724="","",IFERROR(INDEX(Jugadores!$C$2:$C$501,MATCH(B1724,Jugadores!$A$2:$A$501,0)),"⚠ ID no existe"))</f>
        <v/>
      </c>
      <c r="D1724" s="19" t="n"/>
      <c r="E1724" s="19" t="n"/>
      <c r="F1724" s="16">
        <f>IF(OR(B1724="",D1724=""),"",IFERROR(INDEX('Tabla XP'!$B$2:$B$12,MATCH(D1724,'Tabla XP'!$A$2:$A$12,0))*IF(E1724="",1,E1724),0))</f>
        <v/>
      </c>
      <c r="G1724" s="19" t="n"/>
      <c r="H1724" s="19" t="n"/>
    </row>
    <row r="1725">
      <c r="A1725" s="22" t="n"/>
      <c r="B1725" s="19" t="n"/>
      <c r="C1725" s="18">
        <f>IF(B1725="","",IFERROR(INDEX(Jugadores!$C$2:$C$501,MATCH(B1725,Jugadores!$A$2:$A$501,0)),"⚠ ID no existe"))</f>
        <v/>
      </c>
      <c r="D1725" s="19" t="n"/>
      <c r="E1725" s="19" t="n"/>
      <c r="F1725" s="16">
        <f>IF(OR(B1725="",D1725=""),"",IFERROR(INDEX('Tabla XP'!$B$2:$B$12,MATCH(D1725,'Tabla XP'!$A$2:$A$12,0))*IF(E1725="",1,E1725),0))</f>
        <v/>
      </c>
      <c r="G1725" s="19" t="n"/>
      <c r="H1725" s="19" t="n"/>
    </row>
    <row r="1726">
      <c r="A1726" s="22" t="n"/>
      <c r="B1726" s="19" t="n"/>
      <c r="C1726" s="18">
        <f>IF(B1726="","",IFERROR(INDEX(Jugadores!$C$2:$C$501,MATCH(B1726,Jugadores!$A$2:$A$501,0)),"⚠ ID no existe"))</f>
        <v/>
      </c>
      <c r="D1726" s="19" t="n"/>
      <c r="E1726" s="19" t="n"/>
      <c r="F1726" s="16">
        <f>IF(OR(B1726="",D1726=""),"",IFERROR(INDEX('Tabla XP'!$B$2:$B$12,MATCH(D1726,'Tabla XP'!$A$2:$A$12,0))*IF(E1726="",1,E1726),0))</f>
        <v/>
      </c>
      <c r="G1726" s="19" t="n"/>
      <c r="H1726" s="19" t="n"/>
    </row>
    <row r="1727">
      <c r="A1727" s="22" t="n"/>
      <c r="B1727" s="19" t="n"/>
      <c r="C1727" s="18">
        <f>IF(B1727="","",IFERROR(INDEX(Jugadores!$C$2:$C$501,MATCH(B1727,Jugadores!$A$2:$A$501,0)),"⚠ ID no existe"))</f>
        <v/>
      </c>
      <c r="D1727" s="19" t="n"/>
      <c r="E1727" s="19" t="n"/>
      <c r="F1727" s="16">
        <f>IF(OR(B1727="",D1727=""),"",IFERROR(INDEX('Tabla XP'!$B$2:$B$12,MATCH(D1727,'Tabla XP'!$A$2:$A$12,0))*IF(E1727="",1,E1727),0))</f>
        <v/>
      </c>
      <c r="G1727" s="19" t="n"/>
      <c r="H1727" s="19" t="n"/>
    </row>
    <row r="1728">
      <c r="A1728" s="22" t="n"/>
      <c r="B1728" s="19" t="n"/>
      <c r="C1728" s="18">
        <f>IF(B1728="","",IFERROR(INDEX(Jugadores!$C$2:$C$501,MATCH(B1728,Jugadores!$A$2:$A$501,0)),"⚠ ID no existe"))</f>
        <v/>
      </c>
      <c r="D1728" s="19" t="n"/>
      <c r="E1728" s="19" t="n"/>
      <c r="F1728" s="16">
        <f>IF(OR(B1728="",D1728=""),"",IFERROR(INDEX('Tabla XP'!$B$2:$B$12,MATCH(D1728,'Tabla XP'!$A$2:$A$12,0))*IF(E1728="",1,E1728),0))</f>
        <v/>
      </c>
      <c r="G1728" s="19" t="n"/>
      <c r="H1728" s="19" t="n"/>
    </row>
    <row r="1729">
      <c r="A1729" s="22" t="n"/>
      <c r="B1729" s="19" t="n"/>
      <c r="C1729" s="18">
        <f>IF(B1729="","",IFERROR(INDEX(Jugadores!$C$2:$C$501,MATCH(B1729,Jugadores!$A$2:$A$501,0)),"⚠ ID no existe"))</f>
        <v/>
      </c>
      <c r="D1729" s="19" t="n"/>
      <c r="E1729" s="19" t="n"/>
      <c r="F1729" s="16">
        <f>IF(OR(B1729="",D1729=""),"",IFERROR(INDEX('Tabla XP'!$B$2:$B$12,MATCH(D1729,'Tabla XP'!$A$2:$A$12,0))*IF(E1729="",1,E1729),0))</f>
        <v/>
      </c>
      <c r="G1729" s="19" t="n"/>
      <c r="H1729" s="19" t="n"/>
    </row>
    <row r="1730">
      <c r="A1730" s="22" t="n"/>
      <c r="B1730" s="19" t="n"/>
      <c r="C1730" s="18">
        <f>IF(B1730="","",IFERROR(INDEX(Jugadores!$C$2:$C$501,MATCH(B1730,Jugadores!$A$2:$A$501,0)),"⚠ ID no existe"))</f>
        <v/>
      </c>
      <c r="D1730" s="19" t="n"/>
      <c r="E1730" s="19" t="n"/>
      <c r="F1730" s="16">
        <f>IF(OR(B1730="",D1730=""),"",IFERROR(INDEX('Tabla XP'!$B$2:$B$12,MATCH(D1730,'Tabla XP'!$A$2:$A$12,0))*IF(E1730="",1,E1730),0))</f>
        <v/>
      </c>
      <c r="G1730" s="19" t="n"/>
      <c r="H1730" s="19" t="n"/>
    </row>
    <row r="1731">
      <c r="A1731" s="22" t="n"/>
      <c r="B1731" s="19" t="n"/>
      <c r="C1731" s="18">
        <f>IF(B1731="","",IFERROR(INDEX(Jugadores!$C$2:$C$501,MATCH(B1731,Jugadores!$A$2:$A$501,0)),"⚠ ID no existe"))</f>
        <v/>
      </c>
      <c r="D1731" s="19" t="n"/>
      <c r="E1731" s="19" t="n"/>
      <c r="F1731" s="16">
        <f>IF(OR(B1731="",D1731=""),"",IFERROR(INDEX('Tabla XP'!$B$2:$B$12,MATCH(D1731,'Tabla XP'!$A$2:$A$12,0))*IF(E1731="",1,E1731),0))</f>
        <v/>
      </c>
      <c r="G1731" s="19" t="n"/>
      <c r="H1731" s="19" t="n"/>
    </row>
    <row r="1732">
      <c r="A1732" s="22" t="n"/>
      <c r="B1732" s="19" t="n"/>
      <c r="C1732" s="18">
        <f>IF(B1732="","",IFERROR(INDEX(Jugadores!$C$2:$C$501,MATCH(B1732,Jugadores!$A$2:$A$501,0)),"⚠ ID no existe"))</f>
        <v/>
      </c>
      <c r="D1732" s="19" t="n"/>
      <c r="E1732" s="19" t="n"/>
      <c r="F1732" s="16">
        <f>IF(OR(B1732="",D1732=""),"",IFERROR(INDEX('Tabla XP'!$B$2:$B$12,MATCH(D1732,'Tabla XP'!$A$2:$A$12,0))*IF(E1732="",1,E1732),0))</f>
        <v/>
      </c>
      <c r="G1732" s="19" t="n"/>
      <c r="H1732" s="19" t="n"/>
    </row>
    <row r="1733">
      <c r="A1733" s="22" t="n"/>
      <c r="B1733" s="19" t="n"/>
      <c r="C1733" s="18">
        <f>IF(B1733="","",IFERROR(INDEX(Jugadores!$C$2:$C$501,MATCH(B1733,Jugadores!$A$2:$A$501,0)),"⚠ ID no existe"))</f>
        <v/>
      </c>
      <c r="D1733" s="19" t="n"/>
      <c r="E1733" s="19" t="n"/>
      <c r="F1733" s="16">
        <f>IF(OR(B1733="",D1733=""),"",IFERROR(INDEX('Tabla XP'!$B$2:$B$12,MATCH(D1733,'Tabla XP'!$A$2:$A$12,0))*IF(E1733="",1,E1733),0))</f>
        <v/>
      </c>
      <c r="G1733" s="19" t="n"/>
      <c r="H1733" s="19" t="n"/>
    </row>
    <row r="1734">
      <c r="A1734" s="22" t="n"/>
      <c r="B1734" s="19" t="n"/>
      <c r="C1734" s="18">
        <f>IF(B1734="","",IFERROR(INDEX(Jugadores!$C$2:$C$501,MATCH(B1734,Jugadores!$A$2:$A$501,0)),"⚠ ID no existe"))</f>
        <v/>
      </c>
      <c r="D1734" s="19" t="n"/>
      <c r="E1734" s="19" t="n"/>
      <c r="F1734" s="16">
        <f>IF(OR(B1734="",D1734=""),"",IFERROR(INDEX('Tabla XP'!$B$2:$B$12,MATCH(D1734,'Tabla XP'!$A$2:$A$12,0))*IF(E1734="",1,E1734),0))</f>
        <v/>
      </c>
      <c r="G1734" s="19" t="n"/>
      <c r="H1734" s="19" t="n"/>
    </row>
    <row r="1735">
      <c r="A1735" s="22" t="n"/>
      <c r="B1735" s="19" t="n"/>
      <c r="C1735" s="18">
        <f>IF(B1735="","",IFERROR(INDEX(Jugadores!$C$2:$C$501,MATCH(B1735,Jugadores!$A$2:$A$501,0)),"⚠ ID no existe"))</f>
        <v/>
      </c>
      <c r="D1735" s="19" t="n"/>
      <c r="E1735" s="19" t="n"/>
      <c r="F1735" s="16">
        <f>IF(OR(B1735="",D1735=""),"",IFERROR(INDEX('Tabla XP'!$B$2:$B$12,MATCH(D1735,'Tabla XP'!$A$2:$A$12,0))*IF(E1735="",1,E1735),0))</f>
        <v/>
      </c>
      <c r="G1735" s="19" t="n"/>
      <c r="H1735" s="19" t="n"/>
    </row>
    <row r="1736">
      <c r="A1736" s="22" t="n"/>
      <c r="B1736" s="19" t="n"/>
      <c r="C1736" s="18">
        <f>IF(B1736="","",IFERROR(INDEX(Jugadores!$C$2:$C$501,MATCH(B1736,Jugadores!$A$2:$A$501,0)),"⚠ ID no existe"))</f>
        <v/>
      </c>
      <c r="D1736" s="19" t="n"/>
      <c r="E1736" s="19" t="n"/>
      <c r="F1736" s="16">
        <f>IF(OR(B1736="",D1736=""),"",IFERROR(INDEX('Tabla XP'!$B$2:$B$12,MATCH(D1736,'Tabla XP'!$A$2:$A$12,0))*IF(E1736="",1,E1736),0))</f>
        <v/>
      </c>
      <c r="G1736" s="19" t="n"/>
      <c r="H1736" s="19" t="n"/>
    </row>
    <row r="1737">
      <c r="A1737" s="22" t="n"/>
      <c r="B1737" s="19" t="n"/>
      <c r="C1737" s="18">
        <f>IF(B1737="","",IFERROR(INDEX(Jugadores!$C$2:$C$501,MATCH(B1737,Jugadores!$A$2:$A$501,0)),"⚠ ID no existe"))</f>
        <v/>
      </c>
      <c r="D1737" s="19" t="n"/>
      <c r="E1737" s="19" t="n"/>
      <c r="F1737" s="16">
        <f>IF(OR(B1737="",D1737=""),"",IFERROR(INDEX('Tabla XP'!$B$2:$B$12,MATCH(D1737,'Tabla XP'!$A$2:$A$12,0))*IF(E1737="",1,E1737),0))</f>
        <v/>
      </c>
      <c r="G1737" s="19" t="n"/>
      <c r="H1737" s="19" t="n"/>
    </row>
    <row r="1738">
      <c r="A1738" s="22" t="n"/>
      <c r="B1738" s="19" t="n"/>
      <c r="C1738" s="18">
        <f>IF(B1738="","",IFERROR(INDEX(Jugadores!$C$2:$C$501,MATCH(B1738,Jugadores!$A$2:$A$501,0)),"⚠ ID no existe"))</f>
        <v/>
      </c>
      <c r="D1738" s="19" t="n"/>
      <c r="E1738" s="19" t="n"/>
      <c r="F1738" s="16">
        <f>IF(OR(B1738="",D1738=""),"",IFERROR(INDEX('Tabla XP'!$B$2:$B$12,MATCH(D1738,'Tabla XP'!$A$2:$A$12,0))*IF(E1738="",1,E1738),0))</f>
        <v/>
      </c>
      <c r="G1738" s="19" t="n"/>
      <c r="H1738" s="19" t="n"/>
    </row>
    <row r="1739">
      <c r="A1739" s="22" t="n"/>
      <c r="B1739" s="19" t="n"/>
      <c r="C1739" s="18">
        <f>IF(B1739="","",IFERROR(INDEX(Jugadores!$C$2:$C$501,MATCH(B1739,Jugadores!$A$2:$A$501,0)),"⚠ ID no existe"))</f>
        <v/>
      </c>
      <c r="D1739" s="19" t="n"/>
      <c r="E1739" s="19" t="n"/>
      <c r="F1739" s="16">
        <f>IF(OR(B1739="",D1739=""),"",IFERROR(INDEX('Tabla XP'!$B$2:$B$12,MATCH(D1739,'Tabla XP'!$A$2:$A$12,0))*IF(E1739="",1,E1739),0))</f>
        <v/>
      </c>
      <c r="G1739" s="19" t="n"/>
      <c r="H1739" s="19" t="n"/>
    </row>
    <row r="1740">
      <c r="A1740" s="22" t="n"/>
      <c r="B1740" s="19" t="n"/>
      <c r="C1740" s="18">
        <f>IF(B1740="","",IFERROR(INDEX(Jugadores!$C$2:$C$501,MATCH(B1740,Jugadores!$A$2:$A$501,0)),"⚠ ID no existe"))</f>
        <v/>
      </c>
      <c r="D1740" s="19" t="n"/>
      <c r="E1740" s="19" t="n"/>
      <c r="F1740" s="16">
        <f>IF(OR(B1740="",D1740=""),"",IFERROR(INDEX('Tabla XP'!$B$2:$B$12,MATCH(D1740,'Tabla XP'!$A$2:$A$12,0))*IF(E1740="",1,E1740),0))</f>
        <v/>
      </c>
      <c r="G1740" s="19" t="n"/>
      <c r="H1740" s="19" t="n"/>
    </row>
    <row r="1741">
      <c r="A1741" s="22" t="n"/>
      <c r="B1741" s="19" t="n"/>
      <c r="C1741" s="18">
        <f>IF(B1741="","",IFERROR(INDEX(Jugadores!$C$2:$C$501,MATCH(B1741,Jugadores!$A$2:$A$501,0)),"⚠ ID no existe"))</f>
        <v/>
      </c>
      <c r="D1741" s="19" t="n"/>
      <c r="E1741" s="19" t="n"/>
      <c r="F1741" s="16">
        <f>IF(OR(B1741="",D1741=""),"",IFERROR(INDEX('Tabla XP'!$B$2:$B$12,MATCH(D1741,'Tabla XP'!$A$2:$A$12,0))*IF(E1741="",1,E1741),0))</f>
        <v/>
      </c>
      <c r="G1741" s="19" t="n"/>
      <c r="H1741" s="19" t="n"/>
    </row>
    <row r="1742">
      <c r="A1742" s="22" t="n"/>
      <c r="B1742" s="19" t="n"/>
      <c r="C1742" s="18">
        <f>IF(B1742="","",IFERROR(INDEX(Jugadores!$C$2:$C$501,MATCH(B1742,Jugadores!$A$2:$A$501,0)),"⚠ ID no existe"))</f>
        <v/>
      </c>
      <c r="D1742" s="19" t="n"/>
      <c r="E1742" s="19" t="n"/>
      <c r="F1742" s="16">
        <f>IF(OR(B1742="",D1742=""),"",IFERROR(INDEX('Tabla XP'!$B$2:$B$12,MATCH(D1742,'Tabla XP'!$A$2:$A$12,0))*IF(E1742="",1,E1742),0))</f>
        <v/>
      </c>
      <c r="G1742" s="19" t="n"/>
      <c r="H1742" s="19" t="n"/>
    </row>
    <row r="1743">
      <c r="A1743" s="22" t="n"/>
      <c r="B1743" s="19" t="n"/>
      <c r="C1743" s="18">
        <f>IF(B1743="","",IFERROR(INDEX(Jugadores!$C$2:$C$501,MATCH(B1743,Jugadores!$A$2:$A$501,0)),"⚠ ID no existe"))</f>
        <v/>
      </c>
      <c r="D1743" s="19" t="n"/>
      <c r="E1743" s="19" t="n"/>
      <c r="F1743" s="16">
        <f>IF(OR(B1743="",D1743=""),"",IFERROR(INDEX('Tabla XP'!$B$2:$B$12,MATCH(D1743,'Tabla XP'!$A$2:$A$12,0))*IF(E1743="",1,E1743),0))</f>
        <v/>
      </c>
      <c r="G1743" s="19" t="n"/>
      <c r="H1743" s="19" t="n"/>
    </row>
    <row r="1744">
      <c r="A1744" s="22" t="n"/>
      <c r="B1744" s="19" t="n"/>
      <c r="C1744" s="18">
        <f>IF(B1744="","",IFERROR(INDEX(Jugadores!$C$2:$C$501,MATCH(B1744,Jugadores!$A$2:$A$501,0)),"⚠ ID no existe"))</f>
        <v/>
      </c>
      <c r="D1744" s="19" t="n"/>
      <c r="E1744" s="19" t="n"/>
      <c r="F1744" s="16">
        <f>IF(OR(B1744="",D1744=""),"",IFERROR(INDEX('Tabla XP'!$B$2:$B$12,MATCH(D1744,'Tabla XP'!$A$2:$A$12,0))*IF(E1744="",1,E1744),0))</f>
        <v/>
      </c>
      <c r="G1744" s="19" t="n"/>
      <c r="H1744" s="19" t="n"/>
    </row>
    <row r="1745">
      <c r="A1745" s="22" t="n"/>
      <c r="B1745" s="19" t="n"/>
      <c r="C1745" s="18">
        <f>IF(B1745="","",IFERROR(INDEX(Jugadores!$C$2:$C$501,MATCH(B1745,Jugadores!$A$2:$A$501,0)),"⚠ ID no existe"))</f>
        <v/>
      </c>
      <c r="D1745" s="19" t="n"/>
      <c r="E1745" s="19" t="n"/>
      <c r="F1745" s="16">
        <f>IF(OR(B1745="",D1745=""),"",IFERROR(INDEX('Tabla XP'!$B$2:$B$12,MATCH(D1745,'Tabla XP'!$A$2:$A$12,0))*IF(E1745="",1,E1745),0))</f>
        <v/>
      </c>
      <c r="G1745" s="19" t="n"/>
      <c r="H1745" s="19" t="n"/>
    </row>
    <row r="1746">
      <c r="A1746" s="22" t="n"/>
      <c r="B1746" s="19" t="n"/>
      <c r="C1746" s="18">
        <f>IF(B1746="","",IFERROR(INDEX(Jugadores!$C$2:$C$501,MATCH(B1746,Jugadores!$A$2:$A$501,0)),"⚠ ID no existe"))</f>
        <v/>
      </c>
      <c r="D1746" s="19" t="n"/>
      <c r="E1746" s="19" t="n"/>
      <c r="F1746" s="16">
        <f>IF(OR(B1746="",D1746=""),"",IFERROR(INDEX('Tabla XP'!$B$2:$B$12,MATCH(D1746,'Tabla XP'!$A$2:$A$12,0))*IF(E1746="",1,E1746),0))</f>
        <v/>
      </c>
      <c r="G1746" s="19" t="n"/>
      <c r="H1746" s="19" t="n"/>
    </row>
    <row r="1747">
      <c r="A1747" s="22" t="n"/>
      <c r="B1747" s="19" t="n"/>
      <c r="C1747" s="18">
        <f>IF(B1747="","",IFERROR(INDEX(Jugadores!$C$2:$C$501,MATCH(B1747,Jugadores!$A$2:$A$501,0)),"⚠ ID no existe"))</f>
        <v/>
      </c>
      <c r="D1747" s="19" t="n"/>
      <c r="E1747" s="19" t="n"/>
      <c r="F1747" s="16">
        <f>IF(OR(B1747="",D1747=""),"",IFERROR(INDEX('Tabla XP'!$B$2:$B$12,MATCH(D1747,'Tabla XP'!$A$2:$A$12,0))*IF(E1747="",1,E1747),0))</f>
        <v/>
      </c>
      <c r="G1747" s="19" t="n"/>
      <c r="H1747" s="19" t="n"/>
    </row>
    <row r="1748">
      <c r="A1748" s="22" t="n"/>
      <c r="B1748" s="19" t="n"/>
      <c r="C1748" s="18">
        <f>IF(B1748="","",IFERROR(INDEX(Jugadores!$C$2:$C$501,MATCH(B1748,Jugadores!$A$2:$A$501,0)),"⚠ ID no existe"))</f>
        <v/>
      </c>
      <c r="D1748" s="19" t="n"/>
      <c r="E1748" s="19" t="n"/>
      <c r="F1748" s="16">
        <f>IF(OR(B1748="",D1748=""),"",IFERROR(INDEX('Tabla XP'!$B$2:$B$12,MATCH(D1748,'Tabla XP'!$A$2:$A$12,0))*IF(E1748="",1,E1748),0))</f>
        <v/>
      </c>
      <c r="G1748" s="19" t="n"/>
      <c r="H1748" s="19" t="n"/>
    </row>
    <row r="1749">
      <c r="A1749" s="22" t="n"/>
      <c r="B1749" s="19" t="n"/>
      <c r="C1749" s="18">
        <f>IF(B1749="","",IFERROR(INDEX(Jugadores!$C$2:$C$501,MATCH(B1749,Jugadores!$A$2:$A$501,0)),"⚠ ID no existe"))</f>
        <v/>
      </c>
      <c r="D1749" s="19" t="n"/>
      <c r="E1749" s="19" t="n"/>
      <c r="F1749" s="16">
        <f>IF(OR(B1749="",D1749=""),"",IFERROR(INDEX('Tabla XP'!$B$2:$B$12,MATCH(D1749,'Tabla XP'!$A$2:$A$12,0))*IF(E1749="",1,E1749),0))</f>
        <v/>
      </c>
      <c r="G1749" s="19" t="n"/>
      <c r="H1749" s="19" t="n"/>
    </row>
    <row r="1750">
      <c r="A1750" s="22" t="n"/>
      <c r="B1750" s="19" t="n"/>
      <c r="C1750" s="18">
        <f>IF(B1750="","",IFERROR(INDEX(Jugadores!$C$2:$C$501,MATCH(B1750,Jugadores!$A$2:$A$501,0)),"⚠ ID no existe"))</f>
        <v/>
      </c>
      <c r="D1750" s="19" t="n"/>
      <c r="E1750" s="19" t="n"/>
      <c r="F1750" s="16">
        <f>IF(OR(B1750="",D1750=""),"",IFERROR(INDEX('Tabla XP'!$B$2:$B$12,MATCH(D1750,'Tabla XP'!$A$2:$A$12,0))*IF(E1750="",1,E1750),0))</f>
        <v/>
      </c>
      <c r="G1750" s="19" t="n"/>
      <c r="H1750" s="19" t="n"/>
    </row>
    <row r="1751">
      <c r="A1751" s="22" t="n"/>
      <c r="B1751" s="19" t="n"/>
      <c r="C1751" s="18">
        <f>IF(B1751="","",IFERROR(INDEX(Jugadores!$C$2:$C$501,MATCH(B1751,Jugadores!$A$2:$A$501,0)),"⚠ ID no existe"))</f>
        <v/>
      </c>
      <c r="D1751" s="19" t="n"/>
      <c r="E1751" s="19" t="n"/>
      <c r="F1751" s="16">
        <f>IF(OR(B1751="",D1751=""),"",IFERROR(INDEX('Tabla XP'!$B$2:$B$12,MATCH(D1751,'Tabla XP'!$A$2:$A$12,0))*IF(E1751="",1,E1751),0))</f>
        <v/>
      </c>
      <c r="G1751" s="19" t="n"/>
      <c r="H1751" s="19" t="n"/>
    </row>
    <row r="1752">
      <c r="A1752" s="22" t="n"/>
      <c r="B1752" s="19" t="n"/>
      <c r="C1752" s="18">
        <f>IF(B1752="","",IFERROR(INDEX(Jugadores!$C$2:$C$501,MATCH(B1752,Jugadores!$A$2:$A$501,0)),"⚠ ID no existe"))</f>
        <v/>
      </c>
      <c r="D1752" s="19" t="n"/>
      <c r="E1752" s="19" t="n"/>
      <c r="F1752" s="16">
        <f>IF(OR(B1752="",D1752=""),"",IFERROR(INDEX('Tabla XP'!$B$2:$B$12,MATCH(D1752,'Tabla XP'!$A$2:$A$12,0))*IF(E1752="",1,E1752),0))</f>
        <v/>
      </c>
      <c r="G1752" s="19" t="n"/>
      <c r="H1752" s="19" t="n"/>
    </row>
    <row r="1753">
      <c r="A1753" s="22" t="n"/>
      <c r="B1753" s="19" t="n"/>
      <c r="C1753" s="18">
        <f>IF(B1753="","",IFERROR(INDEX(Jugadores!$C$2:$C$501,MATCH(B1753,Jugadores!$A$2:$A$501,0)),"⚠ ID no existe"))</f>
        <v/>
      </c>
      <c r="D1753" s="19" t="n"/>
      <c r="E1753" s="19" t="n"/>
      <c r="F1753" s="16">
        <f>IF(OR(B1753="",D1753=""),"",IFERROR(INDEX('Tabla XP'!$B$2:$B$12,MATCH(D1753,'Tabla XP'!$A$2:$A$12,0))*IF(E1753="",1,E1753),0))</f>
        <v/>
      </c>
      <c r="G1753" s="19" t="n"/>
      <c r="H1753" s="19" t="n"/>
    </row>
    <row r="1754">
      <c r="A1754" s="22" t="n"/>
      <c r="B1754" s="19" t="n"/>
      <c r="C1754" s="18">
        <f>IF(B1754="","",IFERROR(INDEX(Jugadores!$C$2:$C$501,MATCH(B1754,Jugadores!$A$2:$A$501,0)),"⚠ ID no existe"))</f>
        <v/>
      </c>
      <c r="D1754" s="19" t="n"/>
      <c r="E1754" s="19" t="n"/>
      <c r="F1754" s="16">
        <f>IF(OR(B1754="",D1754=""),"",IFERROR(INDEX('Tabla XP'!$B$2:$B$12,MATCH(D1754,'Tabla XP'!$A$2:$A$12,0))*IF(E1754="",1,E1754),0))</f>
        <v/>
      </c>
      <c r="G1754" s="19" t="n"/>
      <c r="H1754" s="19" t="n"/>
    </row>
    <row r="1755">
      <c r="A1755" s="22" t="n"/>
      <c r="B1755" s="19" t="n"/>
      <c r="C1755" s="18">
        <f>IF(B1755="","",IFERROR(INDEX(Jugadores!$C$2:$C$501,MATCH(B1755,Jugadores!$A$2:$A$501,0)),"⚠ ID no existe"))</f>
        <v/>
      </c>
      <c r="D1755" s="19" t="n"/>
      <c r="E1755" s="19" t="n"/>
      <c r="F1755" s="16">
        <f>IF(OR(B1755="",D1755=""),"",IFERROR(INDEX('Tabla XP'!$B$2:$B$12,MATCH(D1755,'Tabla XP'!$A$2:$A$12,0))*IF(E1755="",1,E1755),0))</f>
        <v/>
      </c>
      <c r="G1755" s="19" t="n"/>
      <c r="H1755" s="19" t="n"/>
    </row>
    <row r="1756">
      <c r="A1756" s="22" t="n"/>
      <c r="B1756" s="19" t="n"/>
      <c r="C1756" s="18">
        <f>IF(B1756="","",IFERROR(INDEX(Jugadores!$C$2:$C$501,MATCH(B1756,Jugadores!$A$2:$A$501,0)),"⚠ ID no existe"))</f>
        <v/>
      </c>
      <c r="D1756" s="19" t="n"/>
      <c r="E1756" s="19" t="n"/>
      <c r="F1756" s="16">
        <f>IF(OR(B1756="",D1756=""),"",IFERROR(INDEX('Tabla XP'!$B$2:$B$12,MATCH(D1756,'Tabla XP'!$A$2:$A$12,0))*IF(E1756="",1,E1756),0))</f>
        <v/>
      </c>
      <c r="G1756" s="19" t="n"/>
      <c r="H1756" s="19" t="n"/>
    </row>
    <row r="1757">
      <c r="A1757" s="22" t="n"/>
      <c r="B1757" s="19" t="n"/>
      <c r="C1757" s="18">
        <f>IF(B1757="","",IFERROR(INDEX(Jugadores!$C$2:$C$501,MATCH(B1757,Jugadores!$A$2:$A$501,0)),"⚠ ID no existe"))</f>
        <v/>
      </c>
      <c r="D1757" s="19" t="n"/>
      <c r="E1757" s="19" t="n"/>
      <c r="F1757" s="16">
        <f>IF(OR(B1757="",D1757=""),"",IFERROR(INDEX('Tabla XP'!$B$2:$B$12,MATCH(D1757,'Tabla XP'!$A$2:$A$12,0))*IF(E1757="",1,E1757),0))</f>
        <v/>
      </c>
      <c r="G1757" s="19" t="n"/>
      <c r="H1757" s="19" t="n"/>
    </row>
    <row r="1758">
      <c r="A1758" s="22" t="n"/>
      <c r="B1758" s="19" t="n"/>
      <c r="C1758" s="18">
        <f>IF(B1758="","",IFERROR(INDEX(Jugadores!$C$2:$C$501,MATCH(B1758,Jugadores!$A$2:$A$501,0)),"⚠ ID no existe"))</f>
        <v/>
      </c>
      <c r="D1758" s="19" t="n"/>
      <c r="E1758" s="19" t="n"/>
      <c r="F1758" s="16">
        <f>IF(OR(B1758="",D1758=""),"",IFERROR(INDEX('Tabla XP'!$B$2:$B$12,MATCH(D1758,'Tabla XP'!$A$2:$A$12,0))*IF(E1758="",1,E1758),0))</f>
        <v/>
      </c>
      <c r="G1758" s="19" t="n"/>
      <c r="H1758" s="19" t="n"/>
    </row>
    <row r="1759">
      <c r="A1759" s="22" t="n"/>
      <c r="B1759" s="19" t="n"/>
      <c r="C1759" s="18">
        <f>IF(B1759="","",IFERROR(INDEX(Jugadores!$C$2:$C$501,MATCH(B1759,Jugadores!$A$2:$A$501,0)),"⚠ ID no existe"))</f>
        <v/>
      </c>
      <c r="D1759" s="19" t="n"/>
      <c r="E1759" s="19" t="n"/>
      <c r="F1759" s="16">
        <f>IF(OR(B1759="",D1759=""),"",IFERROR(INDEX('Tabla XP'!$B$2:$B$12,MATCH(D1759,'Tabla XP'!$A$2:$A$12,0))*IF(E1759="",1,E1759),0))</f>
        <v/>
      </c>
      <c r="G1759" s="19" t="n"/>
      <c r="H1759" s="19" t="n"/>
    </row>
    <row r="1760">
      <c r="A1760" s="22" t="n"/>
      <c r="B1760" s="19" t="n"/>
      <c r="C1760" s="18">
        <f>IF(B1760="","",IFERROR(INDEX(Jugadores!$C$2:$C$501,MATCH(B1760,Jugadores!$A$2:$A$501,0)),"⚠ ID no existe"))</f>
        <v/>
      </c>
      <c r="D1760" s="19" t="n"/>
      <c r="E1760" s="19" t="n"/>
      <c r="F1760" s="16">
        <f>IF(OR(B1760="",D1760=""),"",IFERROR(INDEX('Tabla XP'!$B$2:$B$12,MATCH(D1760,'Tabla XP'!$A$2:$A$12,0))*IF(E1760="",1,E1760),0))</f>
        <v/>
      </c>
      <c r="G1760" s="19" t="n"/>
      <c r="H1760" s="19" t="n"/>
    </row>
    <row r="1761">
      <c r="A1761" s="22" t="n"/>
      <c r="B1761" s="19" t="n"/>
      <c r="C1761" s="18">
        <f>IF(B1761="","",IFERROR(INDEX(Jugadores!$C$2:$C$501,MATCH(B1761,Jugadores!$A$2:$A$501,0)),"⚠ ID no existe"))</f>
        <v/>
      </c>
      <c r="D1761" s="19" t="n"/>
      <c r="E1761" s="19" t="n"/>
      <c r="F1761" s="16">
        <f>IF(OR(B1761="",D1761=""),"",IFERROR(INDEX('Tabla XP'!$B$2:$B$12,MATCH(D1761,'Tabla XP'!$A$2:$A$12,0))*IF(E1761="",1,E1761),0))</f>
        <v/>
      </c>
      <c r="G1761" s="19" t="n"/>
      <c r="H1761" s="19" t="n"/>
    </row>
    <row r="1762">
      <c r="A1762" s="22" t="n"/>
      <c r="B1762" s="19" t="n"/>
      <c r="C1762" s="18">
        <f>IF(B1762="","",IFERROR(INDEX(Jugadores!$C$2:$C$501,MATCH(B1762,Jugadores!$A$2:$A$501,0)),"⚠ ID no existe"))</f>
        <v/>
      </c>
      <c r="D1762" s="19" t="n"/>
      <c r="E1762" s="19" t="n"/>
      <c r="F1762" s="16">
        <f>IF(OR(B1762="",D1762=""),"",IFERROR(INDEX('Tabla XP'!$B$2:$B$12,MATCH(D1762,'Tabla XP'!$A$2:$A$12,0))*IF(E1762="",1,E1762),0))</f>
        <v/>
      </c>
      <c r="G1762" s="19" t="n"/>
      <c r="H1762" s="19" t="n"/>
    </row>
    <row r="1763">
      <c r="A1763" s="22" t="n"/>
      <c r="B1763" s="19" t="n"/>
      <c r="C1763" s="18">
        <f>IF(B1763="","",IFERROR(INDEX(Jugadores!$C$2:$C$501,MATCH(B1763,Jugadores!$A$2:$A$501,0)),"⚠ ID no existe"))</f>
        <v/>
      </c>
      <c r="D1763" s="19" t="n"/>
      <c r="E1763" s="19" t="n"/>
      <c r="F1763" s="16">
        <f>IF(OR(B1763="",D1763=""),"",IFERROR(INDEX('Tabla XP'!$B$2:$B$12,MATCH(D1763,'Tabla XP'!$A$2:$A$12,0))*IF(E1763="",1,E1763),0))</f>
        <v/>
      </c>
      <c r="G1763" s="19" t="n"/>
      <c r="H1763" s="19" t="n"/>
    </row>
    <row r="1764">
      <c r="A1764" s="22" t="n"/>
      <c r="B1764" s="19" t="n"/>
      <c r="C1764" s="18">
        <f>IF(B1764="","",IFERROR(INDEX(Jugadores!$C$2:$C$501,MATCH(B1764,Jugadores!$A$2:$A$501,0)),"⚠ ID no existe"))</f>
        <v/>
      </c>
      <c r="D1764" s="19" t="n"/>
      <c r="E1764" s="19" t="n"/>
      <c r="F1764" s="16">
        <f>IF(OR(B1764="",D1764=""),"",IFERROR(INDEX('Tabla XP'!$B$2:$B$12,MATCH(D1764,'Tabla XP'!$A$2:$A$12,0))*IF(E1764="",1,E1764),0))</f>
        <v/>
      </c>
      <c r="G1764" s="19" t="n"/>
      <c r="H1764" s="19" t="n"/>
    </row>
    <row r="1765">
      <c r="A1765" s="22" t="n"/>
      <c r="B1765" s="19" t="n"/>
      <c r="C1765" s="18">
        <f>IF(B1765="","",IFERROR(INDEX(Jugadores!$C$2:$C$501,MATCH(B1765,Jugadores!$A$2:$A$501,0)),"⚠ ID no existe"))</f>
        <v/>
      </c>
      <c r="D1765" s="19" t="n"/>
      <c r="E1765" s="19" t="n"/>
      <c r="F1765" s="16">
        <f>IF(OR(B1765="",D1765=""),"",IFERROR(INDEX('Tabla XP'!$B$2:$B$12,MATCH(D1765,'Tabla XP'!$A$2:$A$12,0))*IF(E1765="",1,E1765),0))</f>
        <v/>
      </c>
      <c r="G1765" s="19" t="n"/>
      <c r="H1765" s="19" t="n"/>
    </row>
    <row r="1766">
      <c r="A1766" s="22" t="n"/>
      <c r="B1766" s="19" t="n"/>
      <c r="C1766" s="18">
        <f>IF(B1766="","",IFERROR(INDEX(Jugadores!$C$2:$C$501,MATCH(B1766,Jugadores!$A$2:$A$501,0)),"⚠ ID no existe"))</f>
        <v/>
      </c>
      <c r="D1766" s="19" t="n"/>
      <c r="E1766" s="19" t="n"/>
      <c r="F1766" s="16">
        <f>IF(OR(B1766="",D1766=""),"",IFERROR(INDEX('Tabla XP'!$B$2:$B$12,MATCH(D1766,'Tabla XP'!$A$2:$A$12,0))*IF(E1766="",1,E1766),0))</f>
        <v/>
      </c>
      <c r="G1766" s="19" t="n"/>
      <c r="H1766" s="19" t="n"/>
    </row>
    <row r="1767">
      <c r="A1767" s="22" t="n"/>
      <c r="B1767" s="19" t="n"/>
      <c r="C1767" s="18">
        <f>IF(B1767="","",IFERROR(INDEX(Jugadores!$C$2:$C$501,MATCH(B1767,Jugadores!$A$2:$A$501,0)),"⚠ ID no existe"))</f>
        <v/>
      </c>
      <c r="D1767" s="19" t="n"/>
      <c r="E1767" s="19" t="n"/>
      <c r="F1767" s="16">
        <f>IF(OR(B1767="",D1767=""),"",IFERROR(INDEX('Tabla XP'!$B$2:$B$12,MATCH(D1767,'Tabla XP'!$A$2:$A$12,0))*IF(E1767="",1,E1767),0))</f>
        <v/>
      </c>
      <c r="G1767" s="19" t="n"/>
      <c r="H1767" s="19" t="n"/>
    </row>
    <row r="1768">
      <c r="A1768" s="22" t="n"/>
      <c r="B1768" s="19" t="n"/>
      <c r="C1768" s="18">
        <f>IF(B1768="","",IFERROR(INDEX(Jugadores!$C$2:$C$501,MATCH(B1768,Jugadores!$A$2:$A$501,0)),"⚠ ID no existe"))</f>
        <v/>
      </c>
      <c r="D1768" s="19" t="n"/>
      <c r="E1768" s="19" t="n"/>
      <c r="F1768" s="16">
        <f>IF(OR(B1768="",D1768=""),"",IFERROR(INDEX('Tabla XP'!$B$2:$B$12,MATCH(D1768,'Tabla XP'!$A$2:$A$12,0))*IF(E1768="",1,E1768),0))</f>
        <v/>
      </c>
      <c r="G1768" s="19" t="n"/>
      <c r="H1768" s="19" t="n"/>
    </row>
    <row r="1769">
      <c r="A1769" s="22" t="n"/>
      <c r="B1769" s="19" t="n"/>
      <c r="C1769" s="18">
        <f>IF(B1769="","",IFERROR(INDEX(Jugadores!$C$2:$C$501,MATCH(B1769,Jugadores!$A$2:$A$501,0)),"⚠ ID no existe"))</f>
        <v/>
      </c>
      <c r="D1769" s="19" t="n"/>
      <c r="E1769" s="19" t="n"/>
      <c r="F1769" s="16">
        <f>IF(OR(B1769="",D1769=""),"",IFERROR(INDEX('Tabla XP'!$B$2:$B$12,MATCH(D1769,'Tabla XP'!$A$2:$A$12,0))*IF(E1769="",1,E1769),0))</f>
        <v/>
      </c>
      <c r="G1769" s="19" t="n"/>
      <c r="H1769" s="19" t="n"/>
    </row>
    <row r="1770">
      <c r="A1770" s="22" t="n"/>
      <c r="B1770" s="19" t="n"/>
      <c r="C1770" s="18">
        <f>IF(B1770="","",IFERROR(INDEX(Jugadores!$C$2:$C$501,MATCH(B1770,Jugadores!$A$2:$A$501,0)),"⚠ ID no existe"))</f>
        <v/>
      </c>
      <c r="D1770" s="19" t="n"/>
      <c r="E1770" s="19" t="n"/>
      <c r="F1770" s="16">
        <f>IF(OR(B1770="",D1770=""),"",IFERROR(INDEX('Tabla XP'!$B$2:$B$12,MATCH(D1770,'Tabla XP'!$A$2:$A$12,0))*IF(E1770="",1,E1770),0))</f>
        <v/>
      </c>
      <c r="G1770" s="19" t="n"/>
      <c r="H1770" s="19" t="n"/>
    </row>
    <row r="1771">
      <c r="A1771" s="22" t="n"/>
      <c r="B1771" s="19" t="n"/>
      <c r="C1771" s="18">
        <f>IF(B1771="","",IFERROR(INDEX(Jugadores!$C$2:$C$501,MATCH(B1771,Jugadores!$A$2:$A$501,0)),"⚠ ID no existe"))</f>
        <v/>
      </c>
      <c r="D1771" s="19" t="n"/>
      <c r="E1771" s="19" t="n"/>
      <c r="F1771" s="16">
        <f>IF(OR(B1771="",D1771=""),"",IFERROR(INDEX('Tabla XP'!$B$2:$B$12,MATCH(D1771,'Tabla XP'!$A$2:$A$12,0))*IF(E1771="",1,E1771),0))</f>
        <v/>
      </c>
      <c r="G1771" s="19" t="n"/>
      <c r="H1771" s="19" t="n"/>
    </row>
    <row r="1772">
      <c r="A1772" s="22" t="n"/>
      <c r="B1772" s="19" t="n"/>
      <c r="C1772" s="18">
        <f>IF(B1772="","",IFERROR(INDEX(Jugadores!$C$2:$C$501,MATCH(B1772,Jugadores!$A$2:$A$501,0)),"⚠ ID no existe"))</f>
        <v/>
      </c>
      <c r="D1772" s="19" t="n"/>
      <c r="E1772" s="19" t="n"/>
      <c r="F1772" s="16">
        <f>IF(OR(B1772="",D1772=""),"",IFERROR(INDEX('Tabla XP'!$B$2:$B$12,MATCH(D1772,'Tabla XP'!$A$2:$A$12,0))*IF(E1772="",1,E1772),0))</f>
        <v/>
      </c>
      <c r="G1772" s="19" t="n"/>
      <c r="H1772" s="19" t="n"/>
    </row>
    <row r="1773">
      <c r="A1773" s="22" t="n"/>
      <c r="B1773" s="19" t="n"/>
      <c r="C1773" s="18">
        <f>IF(B1773="","",IFERROR(INDEX(Jugadores!$C$2:$C$501,MATCH(B1773,Jugadores!$A$2:$A$501,0)),"⚠ ID no existe"))</f>
        <v/>
      </c>
      <c r="D1773" s="19" t="n"/>
      <c r="E1773" s="19" t="n"/>
      <c r="F1773" s="16">
        <f>IF(OR(B1773="",D1773=""),"",IFERROR(INDEX('Tabla XP'!$B$2:$B$12,MATCH(D1773,'Tabla XP'!$A$2:$A$12,0))*IF(E1773="",1,E1773),0))</f>
        <v/>
      </c>
      <c r="G1773" s="19" t="n"/>
      <c r="H1773" s="19" t="n"/>
    </row>
    <row r="1774">
      <c r="A1774" s="22" t="n"/>
      <c r="B1774" s="19" t="n"/>
      <c r="C1774" s="18">
        <f>IF(B1774="","",IFERROR(INDEX(Jugadores!$C$2:$C$501,MATCH(B1774,Jugadores!$A$2:$A$501,0)),"⚠ ID no existe"))</f>
        <v/>
      </c>
      <c r="D1774" s="19" t="n"/>
      <c r="E1774" s="19" t="n"/>
      <c r="F1774" s="16">
        <f>IF(OR(B1774="",D1774=""),"",IFERROR(INDEX('Tabla XP'!$B$2:$B$12,MATCH(D1774,'Tabla XP'!$A$2:$A$12,0))*IF(E1774="",1,E1774),0))</f>
        <v/>
      </c>
      <c r="G1774" s="19" t="n"/>
      <c r="H1774" s="19" t="n"/>
    </row>
    <row r="1775">
      <c r="A1775" s="22" t="n"/>
      <c r="B1775" s="19" t="n"/>
      <c r="C1775" s="18">
        <f>IF(B1775="","",IFERROR(INDEX(Jugadores!$C$2:$C$501,MATCH(B1775,Jugadores!$A$2:$A$501,0)),"⚠ ID no existe"))</f>
        <v/>
      </c>
      <c r="D1775" s="19" t="n"/>
      <c r="E1775" s="19" t="n"/>
      <c r="F1775" s="16">
        <f>IF(OR(B1775="",D1775=""),"",IFERROR(INDEX('Tabla XP'!$B$2:$B$12,MATCH(D1775,'Tabla XP'!$A$2:$A$12,0))*IF(E1775="",1,E1775),0))</f>
        <v/>
      </c>
      <c r="G1775" s="19" t="n"/>
      <c r="H1775" s="19" t="n"/>
    </row>
    <row r="1776">
      <c r="A1776" s="22" t="n"/>
      <c r="B1776" s="19" t="n"/>
      <c r="C1776" s="18">
        <f>IF(B1776="","",IFERROR(INDEX(Jugadores!$C$2:$C$501,MATCH(B1776,Jugadores!$A$2:$A$501,0)),"⚠ ID no existe"))</f>
        <v/>
      </c>
      <c r="D1776" s="19" t="n"/>
      <c r="E1776" s="19" t="n"/>
      <c r="F1776" s="16">
        <f>IF(OR(B1776="",D1776=""),"",IFERROR(INDEX('Tabla XP'!$B$2:$B$12,MATCH(D1776,'Tabla XP'!$A$2:$A$12,0))*IF(E1776="",1,E1776),0))</f>
        <v/>
      </c>
      <c r="G1776" s="19" t="n"/>
      <c r="H1776" s="19" t="n"/>
    </row>
    <row r="1777">
      <c r="A1777" s="22" t="n"/>
      <c r="B1777" s="19" t="n"/>
      <c r="C1777" s="18">
        <f>IF(B1777="","",IFERROR(INDEX(Jugadores!$C$2:$C$501,MATCH(B1777,Jugadores!$A$2:$A$501,0)),"⚠ ID no existe"))</f>
        <v/>
      </c>
      <c r="D1777" s="19" t="n"/>
      <c r="E1777" s="19" t="n"/>
      <c r="F1777" s="16">
        <f>IF(OR(B1777="",D1777=""),"",IFERROR(INDEX('Tabla XP'!$B$2:$B$12,MATCH(D1777,'Tabla XP'!$A$2:$A$12,0))*IF(E1777="",1,E1777),0))</f>
        <v/>
      </c>
      <c r="G1777" s="19" t="n"/>
      <c r="H1777" s="19" t="n"/>
    </row>
    <row r="1778">
      <c r="A1778" s="22" t="n"/>
      <c r="B1778" s="19" t="n"/>
      <c r="C1778" s="18">
        <f>IF(B1778="","",IFERROR(INDEX(Jugadores!$C$2:$C$501,MATCH(B1778,Jugadores!$A$2:$A$501,0)),"⚠ ID no existe"))</f>
        <v/>
      </c>
      <c r="D1778" s="19" t="n"/>
      <c r="E1778" s="19" t="n"/>
      <c r="F1778" s="16">
        <f>IF(OR(B1778="",D1778=""),"",IFERROR(INDEX('Tabla XP'!$B$2:$B$12,MATCH(D1778,'Tabla XP'!$A$2:$A$12,0))*IF(E1778="",1,E1778),0))</f>
        <v/>
      </c>
      <c r="G1778" s="19" t="n"/>
      <c r="H1778" s="19" t="n"/>
    </row>
    <row r="1779">
      <c r="A1779" s="22" t="n"/>
      <c r="B1779" s="19" t="n"/>
      <c r="C1779" s="18">
        <f>IF(B1779="","",IFERROR(INDEX(Jugadores!$C$2:$C$501,MATCH(B1779,Jugadores!$A$2:$A$501,0)),"⚠ ID no existe"))</f>
        <v/>
      </c>
      <c r="D1779" s="19" t="n"/>
      <c r="E1779" s="19" t="n"/>
      <c r="F1779" s="16">
        <f>IF(OR(B1779="",D1779=""),"",IFERROR(INDEX('Tabla XP'!$B$2:$B$12,MATCH(D1779,'Tabla XP'!$A$2:$A$12,0))*IF(E1779="",1,E1779),0))</f>
        <v/>
      </c>
      <c r="G1779" s="19" t="n"/>
      <c r="H1779" s="19" t="n"/>
    </row>
    <row r="1780">
      <c r="A1780" s="22" t="n"/>
      <c r="B1780" s="19" t="n"/>
      <c r="C1780" s="18">
        <f>IF(B1780="","",IFERROR(INDEX(Jugadores!$C$2:$C$501,MATCH(B1780,Jugadores!$A$2:$A$501,0)),"⚠ ID no existe"))</f>
        <v/>
      </c>
      <c r="D1780" s="19" t="n"/>
      <c r="E1780" s="19" t="n"/>
      <c r="F1780" s="16">
        <f>IF(OR(B1780="",D1780=""),"",IFERROR(INDEX('Tabla XP'!$B$2:$B$12,MATCH(D1780,'Tabla XP'!$A$2:$A$12,0))*IF(E1780="",1,E1780),0))</f>
        <v/>
      </c>
      <c r="G1780" s="19" t="n"/>
      <c r="H1780" s="19" t="n"/>
    </row>
    <row r="1781">
      <c r="A1781" s="22" t="n"/>
      <c r="B1781" s="19" t="n"/>
      <c r="C1781" s="18">
        <f>IF(B1781="","",IFERROR(INDEX(Jugadores!$C$2:$C$501,MATCH(B1781,Jugadores!$A$2:$A$501,0)),"⚠ ID no existe"))</f>
        <v/>
      </c>
      <c r="D1781" s="19" t="n"/>
      <c r="E1781" s="19" t="n"/>
      <c r="F1781" s="16">
        <f>IF(OR(B1781="",D1781=""),"",IFERROR(INDEX('Tabla XP'!$B$2:$B$12,MATCH(D1781,'Tabla XP'!$A$2:$A$12,0))*IF(E1781="",1,E1781),0))</f>
        <v/>
      </c>
      <c r="G1781" s="19" t="n"/>
      <c r="H1781" s="19" t="n"/>
    </row>
    <row r="1782">
      <c r="A1782" s="22" t="n"/>
      <c r="B1782" s="19" t="n"/>
      <c r="C1782" s="18">
        <f>IF(B1782="","",IFERROR(INDEX(Jugadores!$C$2:$C$501,MATCH(B1782,Jugadores!$A$2:$A$501,0)),"⚠ ID no existe"))</f>
        <v/>
      </c>
      <c r="D1782" s="19" t="n"/>
      <c r="E1782" s="19" t="n"/>
      <c r="F1782" s="16">
        <f>IF(OR(B1782="",D1782=""),"",IFERROR(INDEX('Tabla XP'!$B$2:$B$12,MATCH(D1782,'Tabla XP'!$A$2:$A$12,0))*IF(E1782="",1,E1782),0))</f>
        <v/>
      </c>
      <c r="G1782" s="19" t="n"/>
      <c r="H1782" s="19" t="n"/>
    </row>
    <row r="1783">
      <c r="A1783" s="22" t="n"/>
      <c r="B1783" s="19" t="n"/>
      <c r="C1783" s="18">
        <f>IF(B1783="","",IFERROR(INDEX(Jugadores!$C$2:$C$501,MATCH(B1783,Jugadores!$A$2:$A$501,0)),"⚠ ID no existe"))</f>
        <v/>
      </c>
      <c r="D1783" s="19" t="n"/>
      <c r="E1783" s="19" t="n"/>
      <c r="F1783" s="16">
        <f>IF(OR(B1783="",D1783=""),"",IFERROR(INDEX('Tabla XP'!$B$2:$B$12,MATCH(D1783,'Tabla XP'!$A$2:$A$12,0))*IF(E1783="",1,E1783),0))</f>
        <v/>
      </c>
      <c r="G1783" s="19" t="n"/>
      <c r="H1783" s="19" t="n"/>
    </row>
    <row r="1784">
      <c r="A1784" s="22" t="n"/>
      <c r="B1784" s="19" t="n"/>
      <c r="C1784" s="18">
        <f>IF(B1784="","",IFERROR(INDEX(Jugadores!$C$2:$C$501,MATCH(B1784,Jugadores!$A$2:$A$501,0)),"⚠ ID no existe"))</f>
        <v/>
      </c>
      <c r="D1784" s="19" t="n"/>
      <c r="E1784" s="19" t="n"/>
      <c r="F1784" s="16">
        <f>IF(OR(B1784="",D1784=""),"",IFERROR(INDEX('Tabla XP'!$B$2:$B$12,MATCH(D1784,'Tabla XP'!$A$2:$A$12,0))*IF(E1784="",1,E1784),0))</f>
        <v/>
      </c>
      <c r="G1784" s="19" t="n"/>
      <c r="H1784" s="19" t="n"/>
    </row>
    <row r="1785">
      <c r="A1785" s="22" t="n"/>
      <c r="B1785" s="19" t="n"/>
      <c r="C1785" s="18">
        <f>IF(B1785="","",IFERROR(INDEX(Jugadores!$C$2:$C$501,MATCH(B1785,Jugadores!$A$2:$A$501,0)),"⚠ ID no existe"))</f>
        <v/>
      </c>
      <c r="D1785" s="19" t="n"/>
      <c r="E1785" s="19" t="n"/>
      <c r="F1785" s="16">
        <f>IF(OR(B1785="",D1785=""),"",IFERROR(INDEX('Tabla XP'!$B$2:$B$12,MATCH(D1785,'Tabla XP'!$A$2:$A$12,0))*IF(E1785="",1,E1785),0))</f>
        <v/>
      </c>
      <c r="G1785" s="19" t="n"/>
      <c r="H1785" s="19" t="n"/>
    </row>
    <row r="1786">
      <c r="A1786" s="22" t="n"/>
      <c r="B1786" s="19" t="n"/>
      <c r="C1786" s="18">
        <f>IF(B1786="","",IFERROR(INDEX(Jugadores!$C$2:$C$501,MATCH(B1786,Jugadores!$A$2:$A$501,0)),"⚠ ID no existe"))</f>
        <v/>
      </c>
      <c r="D1786" s="19" t="n"/>
      <c r="E1786" s="19" t="n"/>
      <c r="F1786" s="16">
        <f>IF(OR(B1786="",D1786=""),"",IFERROR(INDEX('Tabla XP'!$B$2:$B$12,MATCH(D1786,'Tabla XP'!$A$2:$A$12,0))*IF(E1786="",1,E1786),0))</f>
        <v/>
      </c>
      <c r="G1786" s="19" t="n"/>
      <c r="H1786" s="19" t="n"/>
    </row>
    <row r="1787">
      <c r="A1787" s="22" t="n"/>
      <c r="B1787" s="19" t="n"/>
      <c r="C1787" s="18">
        <f>IF(B1787="","",IFERROR(INDEX(Jugadores!$C$2:$C$501,MATCH(B1787,Jugadores!$A$2:$A$501,0)),"⚠ ID no existe"))</f>
        <v/>
      </c>
      <c r="D1787" s="19" t="n"/>
      <c r="E1787" s="19" t="n"/>
      <c r="F1787" s="16">
        <f>IF(OR(B1787="",D1787=""),"",IFERROR(INDEX('Tabla XP'!$B$2:$B$12,MATCH(D1787,'Tabla XP'!$A$2:$A$12,0))*IF(E1787="",1,E1787),0))</f>
        <v/>
      </c>
      <c r="G1787" s="19" t="n"/>
      <c r="H1787" s="19" t="n"/>
    </row>
    <row r="1788">
      <c r="A1788" s="22" t="n"/>
      <c r="B1788" s="19" t="n"/>
      <c r="C1788" s="18">
        <f>IF(B1788="","",IFERROR(INDEX(Jugadores!$C$2:$C$501,MATCH(B1788,Jugadores!$A$2:$A$501,0)),"⚠ ID no existe"))</f>
        <v/>
      </c>
      <c r="D1788" s="19" t="n"/>
      <c r="E1788" s="19" t="n"/>
      <c r="F1788" s="16">
        <f>IF(OR(B1788="",D1788=""),"",IFERROR(INDEX('Tabla XP'!$B$2:$B$12,MATCH(D1788,'Tabla XP'!$A$2:$A$12,0))*IF(E1788="",1,E1788),0))</f>
        <v/>
      </c>
      <c r="G1788" s="19" t="n"/>
      <c r="H1788" s="19" t="n"/>
    </row>
    <row r="1789">
      <c r="A1789" s="22" t="n"/>
      <c r="B1789" s="19" t="n"/>
      <c r="C1789" s="18">
        <f>IF(B1789="","",IFERROR(INDEX(Jugadores!$C$2:$C$501,MATCH(B1789,Jugadores!$A$2:$A$501,0)),"⚠ ID no existe"))</f>
        <v/>
      </c>
      <c r="D1789" s="19" t="n"/>
      <c r="E1789" s="19" t="n"/>
      <c r="F1789" s="16">
        <f>IF(OR(B1789="",D1789=""),"",IFERROR(INDEX('Tabla XP'!$B$2:$B$12,MATCH(D1789,'Tabla XP'!$A$2:$A$12,0))*IF(E1789="",1,E1789),0))</f>
        <v/>
      </c>
      <c r="G1789" s="19" t="n"/>
      <c r="H1789" s="19" t="n"/>
    </row>
    <row r="1790">
      <c r="A1790" s="22" t="n"/>
      <c r="B1790" s="19" t="n"/>
      <c r="C1790" s="18">
        <f>IF(B1790="","",IFERROR(INDEX(Jugadores!$C$2:$C$501,MATCH(B1790,Jugadores!$A$2:$A$501,0)),"⚠ ID no existe"))</f>
        <v/>
      </c>
      <c r="D1790" s="19" t="n"/>
      <c r="E1790" s="19" t="n"/>
      <c r="F1790" s="16">
        <f>IF(OR(B1790="",D1790=""),"",IFERROR(INDEX('Tabla XP'!$B$2:$B$12,MATCH(D1790,'Tabla XP'!$A$2:$A$12,0))*IF(E1790="",1,E1790),0))</f>
        <v/>
      </c>
      <c r="G1790" s="19" t="n"/>
      <c r="H1790" s="19" t="n"/>
    </row>
    <row r="1791">
      <c r="A1791" s="22" t="n"/>
      <c r="B1791" s="19" t="n"/>
      <c r="C1791" s="18">
        <f>IF(B1791="","",IFERROR(INDEX(Jugadores!$C$2:$C$501,MATCH(B1791,Jugadores!$A$2:$A$501,0)),"⚠ ID no existe"))</f>
        <v/>
      </c>
      <c r="D1791" s="19" t="n"/>
      <c r="E1791" s="19" t="n"/>
      <c r="F1791" s="16">
        <f>IF(OR(B1791="",D1791=""),"",IFERROR(INDEX('Tabla XP'!$B$2:$B$12,MATCH(D1791,'Tabla XP'!$A$2:$A$12,0))*IF(E1791="",1,E1791),0))</f>
        <v/>
      </c>
      <c r="G1791" s="19" t="n"/>
      <c r="H1791" s="19" t="n"/>
    </row>
    <row r="1792">
      <c r="A1792" s="22" t="n"/>
      <c r="B1792" s="19" t="n"/>
      <c r="C1792" s="18">
        <f>IF(B1792="","",IFERROR(INDEX(Jugadores!$C$2:$C$501,MATCH(B1792,Jugadores!$A$2:$A$501,0)),"⚠ ID no existe"))</f>
        <v/>
      </c>
      <c r="D1792" s="19" t="n"/>
      <c r="E1792" s="19" t="n"/>
      <c r="F1792" s="16">
        <f>IF(OR(B1792="",D1792=""),"",IFERROR(INDEX('Tabla XP'!$B$2:$B$12,MATCH(D1792,'Tabla XP'!$A$2:$A$12,0))*IF(E1792="",1,E1792),0))</f>
        <v/>
      </c>
      <c r="G1792" s="19" t="n"/>
      <c r="H1792" s="19" t="n"/>
    </row>
    <row r="1793">
      <c r="A1793" s="22" t="n"/>
      <c r="B1793" s="19" t="n"/>
      <c r="C1793" s="18">
        <f>IF(B1793="","",IFERROR(INDEX(Jugadores!$C$2:$C$501,MATCH(B1793,Jugadores!$A$2:$A$501,0)),"⚠ ID no existe"))</f>
        <v/>
      </c>
      <c r="D1793" s="19" t="n"/>
      <c r="E1793" s="19" t="n"/>
      <c r="F1793" s="16">
        <f>IF(OR(B1793="",D1793=""),"",IFERROR(INDEX('Tabla XP'!$B$2:$B$12,MATCH(D1793,'Tabla XP'!$A$2:$A$12,0))*IF(E1793="",1,E1793),0))</f>
        <v/>
      </c>
      <c r="G1793" s="19" t="n"/>
      <c r="H1793" s="19" t="n"/>
    </row>
    <row r="1794">
      <c r="A1794" s="22" t="n"/>
      <c r="B1794" s="19" t="n"/>
      <c r="C1794" s="18">
        <f>IF(B1794="","",IFERROR(INDEX(Jugadores!$C$2:$C$501,MATCH(B1794,Jugadores!$A$2:$A$501,0)),"⚠ ID no existe"))</f>
        <v/>
      </c>
      <c r="D1794" s="19" t="n"/>
      <c r="E1794" s="19" t="n"/>
      <c r="F1794" s="16">
        <f>IF(OR(B1794="",D1794=""),"",IFERROR(INDEX('Tabla XP'!$B$2:$B$12,MATCH(D1794,'Tabla XP'!$A$2:$A$12,0))*IF(E1794="",1,E1794),0))</f>
        <v/>
      </c>
      <c r="G1794" s="19" t="n"/>
      <c r="H1794" s="19" t="n"/>
    </row>
    <row r="1795">
      <c r="A1795" s="22" t="n"/>
      <c r="B1795" s="19" t="n"/>
      <c r="C1795" s="18">
        <f>IF(B1795="","",IFERROR(INDEX(Jugadores!$C$2:$C$501,MATCH(B1795,Jugadores!$A$2:$A$501,0)),"⚠ ID no existe"))</f>
        <v/>
      </c>
      <c r="D1795" s="19" t="n"/>
      <c r="E1795" s="19" t="n"/>
      <c r="F1795" s="16">
        <f>IF(OR(B1795="",D1795=""),"",IFERROR(INDEX('Tabla XP'!$B$2:$B$12,MATCH(D1795,'Tabla XP'!$A$2:$A$12,0))*IF(E1795="",1,E1795),0))</f>
        <v/>
      </c>
      <c r="G1795" s="19" t="n"/>
      <c r="H1795" s="19" t="n"/>
    </row>
    <row r="1796">
      <c r="A1796" s="22" t="n"/>
      <c r="B1796" s="19" t="n"/>
      <c r="C1796" s="18">
        <f>IF(B1796="","",IFERROR(INDEX(Jugadores!$C$2:$C$501,MATCH(B1796,Jugadores!$A$2:$A$501,0)),"⚠ ID no existe"))</f>
        <v/>
      </c>
      <c r="D1796" s="19" t="n"/>
      <c r="E1796" s="19" t="n"/>
      <c r="F1796" s="16">
        <f>IF(OR(B1796="",D1796=""),"",IFERROR(INDEX('Tabla XP'!$B$2:$B$12,MATCH(D1796,'Tabla XP'!$A$2:$A$12,0))*IF(E1796="",1,E1796),0))</f>
        <v/>
      </c>
      <c r="G1796" s="19" t="n"/>
      <c r="H1796" s="19" t="n"/>
    </row>
    <row r="1797">
      <c r="A1797" s="22" t="n"/>
      <c r="B1797" s="19" t="n"/>
      <c r="C1797" s="18">
        <f>IF(B1797="","",IFERROR(INDEX(Jugadores!$C$2:$C$501,MATCH(B1797,Jugadores!$A$2:$A$501,0)),"⚠ ID no existe"))</f>
        <v/>
      </c>
      <c r="D1797" s="19" t="n"/>
      <c r="E1797" s="19" t="n"/>
      <c r="F1797" s="16">
        <f>IF(OR(B1797="",D1797=""),"",IFERROR(INDEX('Tabla XP'!$B$2:$B$12,MATCH(D1797,'Tabla XP'!$A$2:$A$12,0))*IF(E1797="",1,E1797),0))</f>
        <v/>
      </c>
      <c r="G1797" s="19" t="n"/>
      <c r="H1797" s="19" t="n"/>
    </row>
    <row r="1798">
      <c r="A1798" s="22" t="n"/>
      <c r="B1798" s="19" t="n"/>
      <c r="C1798" s="18">
        <f>IF(B1798="","",IFERROR(INDEX(Jugadores!$C$2:$C$501,MATCH(B1798,Jugadores!$A$2:$A$501,0)),"⚠ ID no existe"))</f>
        <v/>
      </c>
      <c r="D1798" s="19" t="n"/>
      <c r="E1798" s="19" t="n"/>
      <c r="F1798" s="16">
        <f>IF(OR(B1798="",D1798=""),"",IFERROR(INDEX('Tabla XP'!$B$2:$B$12,MATCH(D1798,'Tabla XP'!$A$2:$A$12,0))*IF(E1798="",1,E1798),0))</f>
        <v/>
      </c>
      <c r="G1798" s="19" t="n"/>
      <c r="H1798" s="19" t="n"/>
    </row>
    <row r="1799">
      <c r="A1799" s="22" t="n"/>
      <c r="B1799" s="19" t="n"/>
      <c r="C1799" s="18">
        <f>IF(B1799="","",IFERROR(INDEX(Jugadores!$C$2:$C$501,MATCH(B1799,Jugadores!$A$2:$A$501,0)),"⚠ ID no existe"))</f>
        <v/>
      </c>
      <c r="D1799" s="19" t="n"/>
      <c r="E1799" s="19" t="n"/>
      <c r="F1799" s="16">
        <f>IF(OR(B1799="",D1799=""),"",IFERROR(INDEX('Tabla XP'!$B$2:$B$12,MATCH(D1799,'Tabla XP'!$A$2:$A$12,0))*IF(E1799="",1,E1799),0))</f>
        <v/>
      </c>
      <c r="G1799" s="19" t="n"/>
      <c r="H1799" s="19" t="n"/>
    </row>
    <row r="1800">
      <c r="A1800" s="22" t="n"/>
      <c r="B1800" s="19" t="n"/>
      <c r="C1800" s="18">
        <f>IF(B1800="","",IFERROR(INDEX(Jugadores!$C$2:$C$501,MATCH(B1800,Jugadores!$A$2:$A$501,0)),"⚠ ID no existe"))</f>
        <v/>
      </c>
      <c r="D1800" s="19" t="n"/>
      <c r="E1800" s="19" t="n"/>
      <c r="F1800" s="16">
        <f>IF(OR(B1800="",D1800=""),"",IFERROR(INDEX('Tabla XP'!$B$2:$B$12,MATCH(D1800,'Tabla XP'!$A$2:$A$12,0))*IF(E1800="",1,E1800),0))</f>
        <v/>
      </c>
      <c r="G1800" s="19" t="n"/>
      <c r="H1800" s="19" t="n"/>
    </row>
    <row r="1801">
      <c r="A1801" s="22" t="n"/>
      <c r="B1801" s="19" t="n"/>
      <c r="C1801" s="18">
        <f>IF(B1801="","",IFERROR(INDEX(Jugadores!$C$2:$C$501,MATCH(B1801,Jugadores!$A$2:$A$501,0)),"⚠ ID no existe"))</f>
        <v/>
      </c>
      <c r="D1801" s="19" t="n"/>
      <c r="E1801" s="19" t="n"/>
      <c r="F1801" s="16">
        <f>IF(OR(B1801="",D1801=""),"",IFERROR(INDEX('Tabla XP'!$B$2:$B$12,MATCH(D1801,'Tabla XP'!$A$2:$A$12,0))*IF(E1801="",1,E1801),0))</f>
        <v/>
      </c>
      <c r="G1801" s="19" t="n"/>
      <c r="H1801" s="19" t="n"/>
    </row>
    <row r="1802">
      <c r="A1802" s="22" t="n"/>
      <c r="B1802" s="19" t="n"/>
      <c r="C1802" s="18">
        <f>IF(B1802="","",IFERROR(INDEX(Jugadores!$C$2:$C$501,MATCH(B1802,Jugadores!$A$2:$A$501,0)),"⚠ ID no existe"))</f>
        <v/>
      </c>
      <c r="D1802" s="19" t="n"/>
      <c r="E1802" s="19" t="n"/>
      <c r="F1802" s="16">
        <f>IF(OR(B1802="",D1802=""),"",IFERROR(INDEX('Tabla XP'!$B$2:$B$12,MATCH(D1802,'Tabla XP'!$A$2:$A$12,0))*IF(E1802="",1,E1802),0))</f>
        <v/>
      </c>
      <c r="G1802" s="19" t="n"/>
      <c r="H1802" s="19" t="n"/>
    </row>
    <row r="1803">
      <c r="A1803" s="22" t="n"/>
      <c r="B1803" s="19" t="n"/>
      <c r="C1803" s="18">
        <f>IF(B1803="","",IFERROR(INDEX(Jugadores!$C$2:$C$501,MATCH(B1803,Jugadores!$A$2:$A$501,0)),"⚠ ID no existe"))</f>
        <v/>
      </c>
      <c r="D1803" s="19" t="n"/>
      <c r="E1803" s="19" t="n"/>
      <c r="F1803" s="16">
        <f>IF(OR(B1803="",D1803=""),"",IFERROR(INDEX('Tabla XP'!$B$2:$B$12,MATCH(D1803,'Tabla XP'!$A$2:$A$12,0))*IF(E1803="",1,E1803),0))</f>
        <v/>
      </c>
      <c r="G1803" s="19" t="n"/>
      <c r="H1803" s="19" t="n"/>
    </row>
    <row r="1804">
      <c r="A1804" s="22" t="n"/>
      <c r="B1804" s="19" t="n"/>
      <c r="C1804" s="18">
        <f>IF(B1804="","",IFERROR(INDEX(Jugadores!$C$2:$C$501,MATCH(B1804,Jugadores!$A$2:$A$501,0)),"⚠ ID no existe"))</f>
        <v/>
      </c>
      <c r="D1804" s="19" t="n"/>
      <c r="E1804" s="19" t="n"/>
      <c r="F1804" s="16">
        <f>IF(OR(B1804="",D1804=""),"",IFERROR(INDEX('Tabla XP'!$B$2:$B$12,MATCH(D1804,'Tabla XP'!$A$2:$A$12,0))*IF(E1804="",1,E1804),0))</f>
        <v/>
      </c>
      <c r="G1804" s="19" t="n"/>
      <c r="H1804" s="19" t="n"/>
    </row>
    <row r="1805">
      <c r="A1805" s="22" t="n"/>
      <c r="B1805" s="19" t="n"/>
      <c r="C1805" s="18">
        <f>IF(B1805="","",IFERROR(INDEX(Jugadores!$C$2:$C$501,MATCH(B1805,Jugadores!$A$2:$A$501,0)),"⚠ ID no existe"))</f>
        <v/>
      </c>
      <c r="D1805" s="19" t="n"/>
      <c r="E1805" s="19" t="n"/>
      <c r="F1805" s="16">
        <f>IF(OR(B1805="",D1805=""),"",IFERROR(INDEX('Tabla XP'!$B$2:$B$12,MATCH(D1805,'Tabla XP'!$A$2:$A$12,0))*IF(E1805="",1,E1805),0))</f>
        <v/>
      </c>
      <c r="G1805" s="19" t="n"/>
      <c r="H1805" s="19" t="n"/>
    </row>
    <row r="1806">
      <c r="A1806" s="22" t="n"/>
      <c r="B1806" s="19" t="n"/>
      <c r="C1806" s="18">
        <f>IF(B1806="","",IFERROR(INDEX(Jugadores!$C$2:$C$501,MATCH(B1806,Jugadores!$A$2:$A$501,0)),"⚠ ID no existe"))</f>
        <v/>
      </c>
      <c r="D1806" s="19" t="n"/>
      <c r="E1806" s="19" t="n"/>
      <c r="F1806" s="16">
        <f>IF(OR(B1806="",D1806=""),"",IFERROR(INDEX('Tabla XP'!$B$2:$B$12,MATCH(D1806,'Tabla XP'!$A$2:$A$12,0))*IF(E1806="",1,E1806),0))</f>
        <v/>
      </c>
      <c r="G1806" s="19" t="n"/>
      <c r="H1806" s="19" t="n"/>
    </row>
    <row r="1807">
      <c r="A1807" s="22" t="n"/>
      <c r="B1807" s="19" t="n"/>
      <c r="C1807" s="18">
        <f>IF(B1807="","",IFERROR(INDEX(Jugadores!$C$2:$C$501,MATCH(B1807,Jugadores!$A$2:$A$501,0)),"⚠ ID no existe"))</f>
        <v/>
      </c>
      <c r="D1807" s="19" t="n"/>
      <c r="E1807" s="19" t="n"/>
      <c r="F1807" s="16">
        <f>IF(OR(B1807="",D1807=""),"",IFERROR(INDEX('Tabla XP'!$B$2:$B$12,MATCH(D1807,'Tabla XP'!$A$2:$A$12,0))*IF(E1807="",1,E1807),0))</f>
        <v/>
      </c>
      <c r="G1807" s="19" t="n"/>
      <c r="H1807" s="19" t="n"/>
    </row>
    <row r="1808">
      <c r="A1808" s="22" t="n"/>
      <c r="B1808" s="19" t="n"/>
      <c r="C1808" s="18">
        <f>IF(B1808="","",IFERROR(INDEX(Jugadores!$C$2:$C$501,MATCH(B1808,Jugadores!$A$2:$A$501,0)),"⚠ ID no existe"))</f>
        <v/>
      </c>
      <c r="D1808" s="19" t="n"/>
      <c r="E1808" s="19" t="n"/>
      <c r="F1808" s="16">
        <f>IF(OR(B1808="",D1808=""),"",IFERROR(INDEX('Tabla XP'!$B$2:$B$12,MATCH(D1808,'Tabla XP'!$A$2:$A$12,0))*IF(E1808="",1,E1808),0))</f>
        <v/>
      </c>
      <c r="G1808" s="19" t="n"/>
      <c r="H1808" s="19" t="n"/>
    </row>
    <row r="1809">
      <c r="A1809" s="22" t="n"/>
      <c r="B1809" s="19" t="n"/>
      <c r="C1809" s="18">
        <f>IF(B1809="","",IFERROR(INDEX(Jugadores!$C$2:$C$501,MATCH(B1809,Jugadores!$A$2:$A$501,0)),"⚠ ID no existe"))</f>
        <v/>
      </c>
      <c r="D1809" s="19" t="n"/>
      <c r="E1809" s="19" t="n"/>
      <c r="F1809" s="16">
        <f>IF(OR(B1809="",D1809=""),"",IFERROR(INDEX('Tabla XP'!$B$2:$B$12,MATCH(D1809,'Tabla XP'!$A$2:$A$12,0))*IF(E1809="",1,E1809),0))</f>
        <v/>
      </c>
      <c r="G1809" s="19" t="n"/>
      <c r="H1809" s="19" t="n"/>
    </row>
    <row r="1810">
      <c r="A1810" s="22" t="n"/>
      <c r="B1810" s="19" t="n"/>
      <c r="C1810" s="18">
        <f>IF(B1810="","",IFERROR(INDEX(Jugadores!$C$2:$C$501,MATCH(B1810,Jugadores!$A$2:$A$501,0)),"⚠ ID no existe"))</f>
        <v/>
      </c>
      <c r="D1810" s="19" t="n"/>
      <c r="E1810" s="19" t="n"/>
      <c r="F1810" s="16">
        <f>IF(OR(B1810="",D1810=""),"",IFERROR(INDEX('Tabla XP'!$B$2:$B$12,MATCH(D1810,'Tabla XP'!$A$2:$A$12,0))*IF(E1810="",1,E1810),0))</f>
        <v/>
      </c>
      <c r="G1810" s="19" t="n"/>
      <c r="H1810" s="19" t="n"/>
    </row>
    <row r="1811">
      <c r="A1811" s="22" t="n"/>
      <c r="B1811" s="19" t="n"/>
      <c r="C1811" s="18">
        <f>IF(B1811="","",IFERROR(INDEX(Jugadores!$C$2:$C$501,MATCH(B1811,Jugadores!$A$2:$A$501,0)),"⚠ ID no existe"))</f>
        <v/>
      </c>
      <c r="D1811" s="19" t="n"/>
      <c r="E1811" s="19" t="n"/>
      <c r="F1811" s="16">
        <f>IF(OR(B1811="",D1811=""),"",IFERROR(INDEX('Tabla XP'!$B$2:$B$12,MATCH(D1811,'Tabla XP'!$A$2:$A$12,0))*IF(E1811="",1,E1811),0))</f>
        <v/>
      </c>
      <c r="G1811" s="19" t="n"/>
      <c r="H1811" s="19" t="n"/>
    </row>
    <row r="1812">
      <c r="A1812" s="22" t="n"/>
      <c r="B1812" s="19" t="n"/>
      <c r="C1812" s="18">
        <f>IF(B1812="","",IFERROR(INDEX(Jugadores!$C$2:$C$501,MATCH(B1812,Jugadores!$A$2:$A$501,0)),"⚠ ID no existe"))</f>
        <v/>
      </c>
      <c r="D1812" s="19" t="n"/>
      <c r="E1812" s="19" t="n"/>
      <c r="F1812" s="16">
        <f>IF(OR(B1812="",D1812=""),"",IFERROR(INDEX('Tabla XP'!$B$2:$B$12,MATCH(D1812,'Tabla XP'!$A$2:$A$12,0))*IF(E1812="",1,E1812),0))</f>
        <v/>
      </c>
      <c r="G1812" s="19" t="n"/>
      <c r="H1812" s="19" t="n"/>
    </row>
    <row r="1813">
      <c r="A1813" s="22" t="n"/>
      <c r="B1813" s="19" t="n"/>
      <c r="C1813" s="18">
        <f>IF(B1813="","",IFERROR(INDEX(Jugadores!$C$2:$C$501,MATCH(B1813,Jugadores!$A$2:$A$501,0)),"⚠ ID no existe"))</f>
        <v/>
      </c>
      <c r="D1813" s="19" t="n"/>
      <c r="E1813" s="19" t="n"/>
      <c r="F1813" s="16">
        <f>IF(OR(B1813="",D1813=""),"",IFERROR(INDEX('Tabla XP'!$B$2:$B$12,MATCH(D1813,'Tabla XP'!$A$2:$A$12,0))*IF(E1813="",1,E1813),0))</f>
        <v/>
      </c>
      <c r="G1813" s="19" t="n"/>
      <c r="H1813" s="19" t="n"/>
    </row>
    <row r="1814">
      <c r="A1814" s="22" t="n"/>
      <c r="B1814" s="19" t="n"/>
      <c r="C1814" s="18">
        <f>IF(B1814="","",IFERROR(INDEX(Jugadores!$C$2:$C$501,MATCH(B1814,Jugadores!$A$2:$A$501,0)),"⚠ ID no existe"))</f>
        <v/>
      </c>
      <c r="D1814" s="19" t="n"/>
      <c r="E1814" s="19" t="n"/>
      <c r="F1814" s="16">
        <f>IF(OR(B1814="",D1814=""),"",IFERROR(INDEX('Tabla XP'!$B$2:$B$12,MATCH(D1814,'Tabla XP'!$A$2:$A$12,0))*IF(E1814="",1,E1814),0))</f>
        <v/>
      </c>
      <c r="G1814" s="19" t="n"/>
      <c r="H1814" s="19" t="n"/>
    </row>
    <row r="1815">
      <c r="A1815" s="22" t="n"/>
      <c r="B1815" s="19" t="n"/>
      <c r="C1815" s="18">
        <f>IF(B1815="","",IFERROR(INDEX(Jugadores!$C$2:$C$501,MATCH(B1815,Jugadores!$A$2:$A$501,0)),"⚠ ID no existe"))</f>
        <v/>
      </c>
      <c r="D1815" s="19" t="n"/>
      <c r="E1815" s="19" t="n"/>
      <c r="F1815" s="16">
        <f>IF(OR(B1815="",D1815=""),"",IFERROR(INDEX('Tabla XP'!$B$2:$B$12,MATCH(D1815,'Tabla XP'!$A$2:$A$12,0))*IF(E1815="",1,E1815),0))</f>
        <v/>
      </c>
      <c r="G1815" s="19" t="n"/>
      <c r="H1815" s="19" t="n"/>
    </row>
    <row r="1816">
      <c r="A1816" s="22" t="n"/>
      <c r="B1816" s="19" t="n"/>
      <c r="C1816" s="18">
        <f>IF(B1816="","",IFERROR(INDEX(Jugadores!$C$2:$C$501,MATCH(B1816,Jugadores!$A$2:$A$501,0)),"⚠ ID no existe"))</f>
        <v/>
      </c>
      <c r="D1816" s="19" t="n"/>
      <c r="E1816" s="19" t="n"/>
      <c r="F1816" s="16">
        <f>IF(OR(B1816="",D1816=""),"",IFERROR(INDEX('Tabla XP'!$B$2:$B$12,MATCH(D1816,'Tabla XP'!$A$2:$A$12,0))*IF(E1816="",1,E1816),0))</f>
        <v/>
      </c>
      <c r="G1816" s="19" t="n"/>
      <c r="H1816" s="19" t="n"/>
    </row>
    <row r="1817">
      <c r="A1817" s="22" t="n"/>
      <c r="B1817" s="19" t="n"/>
      <c r="C1817" s="18">
        <f>IF(B1817="","",IFERROR(INDEX(Jugadores!$C$2:$C$501,MATCH(B1817,Jugadores!$A$2:$A$501,0)),"⚠ ID no existe"))</f>
        <v/>
      </c>
      <c r="D1817" s="19" t="n"/>
      <c r="E1817" s="19" t="n"/>
      <c r="F1817" s="16">
        <f>IF(OR(B1817="",D1817=""),"",IFERROR(INDEX('Tabla XP'!$B$2:$B$12,MATCH(D1817,'Tabla XP'!$A$2:$A$12,0))*IF(E1817="",1,E1817),0))</f>
        <v/>
      </c>
      <c r="G1817" s="19" t="n"/>
      <c r="H1817" s="19" t="n"/>
    </row>
    <row r="1818">
      <c r="A1818" s="22" t="n"/>
      <c r="B1818" s="19" t="n"/>
      <c r="C1818" s="18">
        <f>IF(B1818="","",IFERROR(INDEX(Jugadores!$C$2:$C$501,MATCH(B1818,Jugadores!$A$2:$A$501,0)),"⚠ ID no existe"))</f>
        <v/>
      </c>
      <c r="D1818" s="19" t="n"/>
      <c r="E1818" s="19" t="n"/>
      <c r="F1818" s="16">
        <f>IF(OR(B1818="",D1818=""),"",IFERROR(INDEX('Tabla XP'!$B$2:$B$12,MATCH(D1818,'Tabla XP'!$A$2:$A$12,0))*IF(E1818="",1,E1818),0))</f>
        <v/>
      </c>
      <c r="G1818" s="19" t="n"/>
      <c r="H1818" s="19" t="n"/>
    </row>
    <row r="1819">
      <c r="A1819" s="22" t="n"/>
      <c r="B1819" s="19" t="n"/>
      <c r="C1819" s="18">
        <f>IF(B1819="","",IFERROR(INDEX(Jugadores!$C$2:$C$501,MATCH(B1819,Jugadores!$A$2:$A$501,0)),"⚠ ID no existe"))</f>
        <v/>
      </c>
      <c r="D1819" s="19" t="n"/>
      <c r="E1819" s="19" t="n"/>
      <c r="F1819" s="16">
        <f>IF(OR(B1819="",D1819=""),"",IFERROR(INDEX('Tabla XP'!$B$2:$B$12,MATCH(D1819,'Tabla XP'!$A$2:$A$12,0))*IF(E1819="",1,E1819),0))</f>
        <v/>
      </c>
      <c r="G1819" s="19" t="n"/>
      <c r="H1819" s="19" t="n"/>
    </row>
    <row r="1820">
      <c r="A1820" s="22" t="n"/>
      <c r="B1820" s="19" t="n"/>
      <c r="C1820" s="18">
        <f>IF(B1820="","",IFERROR(INDEX(Jugadores!$C$2:$C$501,MATCH(B1820,Jugadores!$A$2:$A$501,0)),"⚠ ID no existe"))</f>
        <v/>
      </c>
      <c r="D1820" s="19" t="n"/>
      <c r="E1820" s="19" t="n"/>
      <c r="F1820" s="16">
        <f>IF(OR(B1820="",D1820=""),"",IFERROR(INDEX('Tabla XP'!$B$2:$B$12,MATCH(D1820,'Tabla XP'!$A$2:$A$12,0))*IF(E1820="",1,E1820),0))</f>
        <v/>
      </c>
      <c r="G1820" s="19" t="n"/>
      <c r="H1820" s="19" t="n"/>
    </row>
    <row r="1821">
      <c r="A1821" s="22" t="n"/>
      <c r="B1821" s="19" t="n"/>
      <c r="C1821" s="18">
        <f>IF(B1821="","",IFERROR(INDEX(Jugadores!$C$2:$C$501,MATCH(B1821,Jugadores!$A$2:$A$501,0)),"⚠ ID no existe"))</f>
        <v/>
      </c>
      <c r="D1821" s="19" t="n"/>
      <c r="E1821" s="19" t="n"/>
      <c r="F1821" s="16">
        <f>IF(OR(B1821="",D1821=""),"",IFERROR(INDEX('Tabla XP'!$B$2:$B$12,MATCH(D1821,'Tabla XP'!$A$2:$A$12,0))*IF(E1821="",1,E1821),0))</f>
        <v/>
      </c>
      <c r="G1821" s="19" t="n"/>
      <c r="H1821" s="19" t="n"/>
    </row>
    <row r="1822">
      <c r="A1822" s="22" t="n"/>
      <c r="B1822" s="19" t="n"/>
      <c r="C1822" s="18">
        <f>IF(B1822="","",IFERROR(INDEX(Jugadores!$C$2:$C$501,MATCH(B1822,Jugadores!$A$2:$A$501,0)),"⚠ ID no existe"))</f>
        <v/>
      </c>
      <c r="D1822" s="19" t="n"/>
      <c r="E1822" s="19" t="n"/>
      <c r="F1822" s="16">
        <f>IF(OR(B1822="",D1822=""),"",IFERROR(INDEX('Tabla XP'!$B$2:$B$12,MATCH(D1822,'Tabla XP'!$A$2:$A$12,0))*IF(E1822="",1,E1822),0))</f>
        <v/>
      </c>
      <c r="G1822" s="19" t="n"/>
      <c r="H1822" s="19" t="n"/>
    </row>
    <row r="1823">
      <c r="A1823" s="22" t="n"/>
      <c r="B1823" s="19" t="n"/>
      <c r="C1823" s="18">
        <f>IF(B1823="","",IFERROR(INDEX(Jugadores!$C$2:$C$501,MATCH(B1823,Jugadores!$A$2:$A$501,0)),"⚠ ID no existe"))</f>
        <v/>
      </c>
      <c r="D1823" s="19" t="n"/>
      <c r="E1823" s="19" t="n"/>
      <c r="F1823" s="16">
        <f>IF(OR(B1823="",D1823=""),"",IFERROR(INDEX('Tabla XP'!$B$2:$B$12,MATCH(D1823,'Tabla XP'!$A$2:$A$12,0))*IF(E1823="",1,E1823),0))</f>
        <v/>
      </c>
      <c r="G1823" s="19" t="n"/>
      <c r="H1823" s="19" t="n"/>
    </row>
    <row r="1824">
      <c r="A1824" s="22" t="n"/>
      <c r="B1824" s="19" t="n"/>
      <c r="C1824" s="18">
        <f>IF(B1824="","",IFERROR(INDEX(Jugadores!$C$2:$C$501,MATCH(B1824,Jugadores!$A$2:$A$501,0)),"⚠ ID no existe"))</f>
        <v/>
      </c>
      <c r="D1824" s="19" t="n"/>
      <c r="E1824" s="19" t="n"/>
      <c r="F1824" s="16">
        <f>IF(OR(B1824="",D1824=""),"",IFERROR(INDEX('Tabla XP'!$B$2:$B$12,MATCH(D1824,'Tabla XP'!$A$2:$A$12,0))*IF(E1824="",1,E1824),0))</f>
        <v/>
      </c>
      <c r="G1824" s="19" t="n"/>
      <c r="H1824" s="19" t="n"/>
    </row>
    <row r="1825">
      <c r="A1825" s="22" t="n"/>
      <c r="B1825" s="19" t="n"/>
      <c r="C1825" s="18">
        <f>IF(B1825="","",IFERROR(INDEX(Jugadores!$C$2:$C$501,MATCH(B1825,Jugadores!$A$2:$A$501,0)),"⚠ ID no existe"))</f>
        <v/>
      </c>
      <c r="D1825" s="19" t="n"/>
      <c r="E1825" s="19" t="n"/>
      <c r="F1825" s="16">
        <f>IF(OR(B1825="",D1825=""),"",IFERROR(INDEX('Tabla XP'!$B$2:$B$12,MATCH(D1825,'Tabla XP'!$A$2:$A$12,0))*IF(E1825="",1,E1825),0))</f>
        <v/>
      </c>
      <c r="G1825" s="19" t="n"/>
      <c r="H1825" s="19" t="n"/>
    </row>
    <row r="1826">
      <c r="A1826" s="22" t="n"/>
      <c r="B1826" s="19" t="n"/>
      <c r="C1826" s="18">
        <f>IF(B1826="","",IFERROR(INDEX(Jugadores!$C$2:$C$501,MATCH(B1826,Jugadores!$A$2:$A$501,0)),"⚠ ID no existe"))</f>
        <v/>
      </c>
      <c r="D1826" s="19" t="n"/>
      <c r="E1826" s="19" t="n"/>
      <c r="F1826" s="16">
        <f>IF(OR(B1826="",D1826=""),"",IFERROR(INDEX('Tabla XP'!$B$2:$B$12,MATCH(D1826,'Tabla XP'!$A$2:$A$12,0))*IF(E1826="",1,E1826),0))</f>
        <v/>
      </c>
      <c r="G1826" s="19" t="n"/>
      <c r="H1826" s="19" t="n"/>
    </row>
    <row r="1827">
      <c r="A1827" s="22" t="n"/>
      <c r="B1827" s="19" t="n"/>
      <c r="C1827" s="18">
        <f>IF(B1827="","",IFERROR(INDEX(Jugadores!$C$2:$C$501,MATCH(B1827,Jugadores!$A$2:$A$501,0)),"⚠ ID no existe"))</f>
        <v/>
      </c>
      <c r="D1827" s="19" t="n"/>
      <c r="E1827" s="19" t="n"/>
      <c r="F1827" s="16">
        <f>IF(OR(B1827="",D1827=""),"",IFERROR(INDEX('Tabla XP'!$B$2:$B$12,MATCH(D1827,'Tabla XP'!$A$2:$A$12,0))*IF(E1827="",1,E1827),0))</f>
        <v/>
      </c>
      <c r="G1827" s="19" t="n"/>
      <c r="H1827" s="19" t="n"/>
    </row>
    <row r="1828">
      <c r="A1828" s="22" t="n"/>
      <c r="B1828" s="19" t="n"/>
      <c r="C1828" s="18">
        <f>IF(B1828="","",IFERROR(INDEX(Jugadores!$C$2:$C$501,MATCH(B1828,Jugadores!$A$2:$A$501,0)),"⚠ ID no existe"))</f>
        <v/>
      </c>
      <c r="D1828" s="19" t="n"/>
      <c r="E1828" s="19" t="n"/>
      <c r="F1828" s="16">
        <f>IF(OR(B1828="",D1828=""),"",IFERROR(INDEX('Tabla XP'!$B$2:$B$12,MATCH(D1828,'Tabla XP'!$A$2:$A$12,0))*IF(E1828="",1,E1828),0))</f>
        <v/>
      </c>
      <c r="G1828" s="19" t="n"/>
      <c r="H1828" s="19" t="n"/>
    </row>
    <row r="1829">
      <c r="A1829" s="22" t="n"/>
      <c r="B1829" s="19" t="n"/>
      <c r="C1829" s="18">
        <f>IF(B1829="","",IFERROR(INDEX(Jugadores!$C$2:$C$501,MATCH(B1829,Jugadores!$A$2:$A$501,0)),"⚠ ID no existe"))</f>
        <v/>
      </c>
      <c r="D1829" s="19" t="n"/>
      <c r="E1829" s="19" t="n"/>
      <c r="F1829" s="16">
        <f>IF(OR(B1829="",D1829=""),"",IFERROR(INDEX('Tabla XP'!$B$2:$B$12,MATCH(D1829,'Tabla XP'!$A$2:$A$12,0))*IF(E1829="",1,E1829),0))</f>
        <v/>
      </c>
      <c r="G1829" s="19" t="n"/>
      <c r="H1829" s="19" t="n"/>
    </row>
    <row r="1830">
      <c r="A1830" s="22" t="n"/>
      <c r="B1830" s="19" t="n"/>
      <c r="C1830" s="18">
        <f>IF(B1830="","",IFERROR(INDEX(Jugadores!$C$2:$C$501,MATCH(B1830,Jugadores!$A$2:$A$501,0)),"⚠ ID no existe"))</f>
        <v/>
      </c>
      <c r="D1830" s="19" t="n"/>
      <c r="E1830" s="19" t="n"/>
      <c r="F1830" s="16">
        <f>IF(OR(B1830="",D1830=""),"",IFERROR(INDEX('Tabla XP'!$B$2:$B$12,MATCH(D1830,'Tabla XP'!$A$2:$A$12,0))*IF(E1830="",1,E1830),0))</f>
        <v/>
      </c>
      <c r="G1830" s="19" t="n"/>
      <c r="H1830" s="19" t="n"/>
    </row>
    <row r="1831">
      <c r="A1831" s="22" t="n"/>
      <c r="B1831" s="19" t="n"/>
      <c r="C1831" s="18">
        <f>IF(B1831="","",IFERROR(INDEX(Jugadores!$C$2:$C$501,MATCH(B1831,Jugadores!$A$2:$A$501,0)),"⚠ ID no existe"))</f>
        <v/>
      </c>
      <c r="D1831" s="19" t="n"/>
      <c r="E1831" s="19" t="n"/>
      <c r="F1831" s="16">
        <f>IF(OR(B1831="",D1831=""),"",IFERROR(INDEX('Tabla XP'!$B$2:$B$12,MATCH(D1831,'Tabla XP'!$A$2:$A$12,0))*IF(E1831="",1,E1831),0))</f>
        <v/>
      </c>
      <c r="G1831" s="19" t="n"/>
      <c r="H1831" s="19" t="n"/>
    </row>
    <row r="1832">
      <c r="A1832" s="22" t="n"/>
      <c r="B1832" s="19" t="n"/>
      <c r="C1832" s="18">
        <f>IF(B1832="","",IFERROR(INDEX(Jugadores!$C$2:$C$501,MATCH(B1832,Jugadores!$A$2:$A$501,0)),"⚠ ID no existe"))</f>
        <v/>
      </c>
      <c r="D1832" s="19" t="n"/>
      <c r="E1832" s="19" t="n"/>
      <c r="F1832" s="16">
        <f>IF(OR(B1832="",D1832=""),"",IFERROR(INDEX('Tabla XP'!$B$2:$B$12,MATCH(D1832,'Tabla XP'!$A$2:$A$12,0))*IF(E1832="",1,E1832),0))</f>
        <v/>
      </c>
      <c r="G1832" s="19" t="n"/>
      <c r="H1832" s="19" t="n"/>
    </row>
    <row r="1833">
      <c r="A1833" s="22" t="n"/>
      <c r="B1833" s="19" t="n"/>
      <c r="C1833" s="18">
        <f>IF(B1833="","",IFERROR(INDEX(Jugadores!$C$2:$C$501,MATCH(B1833,Jugadores!$A$2:$A$501,0)),"⚠ ID no existe"))</f>
        <v/>
      </c>
      <c r="D1833" s="19" t="n"/>
      <c r="E1833" s="19" t="n"/>
      <c r="F1833" s="16">
        <f>IF(OR(B1833="",D1833=""),"",IFERROR(INDEX('Tabla XP'!$B$2:$B$12,MATCH(D1833,'Tabla XP'!$A$2:$A$12,0))*IF(E1833="",1,E1833),0))</f>
        <v/>
      </c>
      <c r="G1833" s="19" t="n"/>
      <c r="H1833" s="19" t="n"/>
    </row>
    <row r="1834">
      <c r="A1834" s="22" t="n"/>
      <c r="B1834" s="19" t="n"/>
      <c r="C1834" s="18">
        <f>IF(B1834="","",IFERROR(INDEX(Jugadores!$C$2:$C$501,MATCH(B1834,Jugadores!$A$2:$A$501,0)),"⚠ ID no existe"))</f>
        <v/>
      </c>
      <c r="D1834" s="19" t="n"/>
      <c r="E1834" s="19" t="n"/>
      <c r="F1834" s="16">
        <f>IF(OR(B1834="",D1834=""),"",IFERROR(INDEX('Tabla XP'!$B$2:$B$12,MATCH(D1834,'Tabla XP'!$A$2:$A$12,0))*IF(E1834="",1,E1834),0))</f>
        <v/>
      </c>
      <c r="G1834" s="19" t="n"/>
      <c r="H1834" s="19" t="n"/>
    </row>
    <row r="1835">
      <c r="A1835" s="22" t="n"/>
      <c r="B1835" s="19" t="n"/>
      <c r="C1835" s="18">
        <f>IF(B1835="","",IFERROR(INDEX(Jugadores!$C$2:$C$501,MATCH(B1835,Jugadores!$A$2:$A$501,0)),"⚠ ID no existe"))</f>
        <v/>
      </c>
      <c r="D1835" s="19" t="n"/>
      <c r="E1835" s="19" t="n"/>
      <c r="F1835" s="16">
        <f>IF(OR(B1835="",D1835=""),"",IFERROR(INDEX('Tabla XP'!$B$2:$B$12,MATCH(D1835,'Tabla XP'!$A$2:$A$12,0))*IF(E1835="",1,E1835),0))</f>
        <v/>
      </c>
      <c r="G1835" s="19" t="n"/>
      <c r="H1835" s="19" t="n"/>
    </row>
    <row r="1836">
      <c r="A1836" s="22" t="n"/>
      <c r="B1836" s="19" t="n"/>
      <c r="C1836" s="18">
        <f>IF(B1836="","",IFERROR(INDEX(Jugadores!$C$2:$C$501,MATCH(B1836,Jugadores!$A$2:$A$501,0)),"⚠ ID no existe"))</f>
        <v/>
      </c>
      <c r="D1836" s="19" t="n"/>
      <c r="E1836" s="19" t="n"/>
      <c r="F1836" s="16">
        <f>IF(OR(B1836="",D1836=""),"",IFERROR(INDEX('Tabla XP'!$B$2:$B$12,MATCH(D1836,'Tabla XP'!$A$2:$A$12,0))*IF(E1836="",1,E1836),0))</f>
        <v/>
      </c>
      <c r="G1836" s="19" t="n"/>
      <c r="H1836" s="19" t="n"/>
    </row>
    <row r="1837">
      <c r="A1837" s="22" t="n"/>
      <c r="B1837" s="19" t="n"/>
      <c r="C1837" s="18">
        <f>IF(B1837="","",IFERROR(INDEX(Jugadores!$C$2:$C$501,MATCH(B1837,Jugadores!$A$2:$A$501,0)),"⚠ ID no existe"))</f>
        <v/>
      </c>
      <c r="D1837" s="19" t="n"/>
      <c r="E1837" s="19" t="n"/>
      <c r="F1837" s="16">
        <f>IF(OR(B1837="",D1837=""),"",IFERROR(INDEX('Tabla XP'!$B$2:$B$12,MATCH(D1837,'Tabla XP'!$A$2:$A$12,0))*IF(E1837="",1,E1837),0))</f>
        <v/>
      </c>
      <c r="G1837" s="19" t="n"/>
      <c r="H1837" s="19" t="n"/>
    </row>
    <row r="1838">
      <c r="A1838" s="22" t="n"/>
      <c r="B1838" s="19" t="n"/>
      <c r="C1838" s="18">
        <f>IF(B1838="","",IFERROR(INDEX(Jugadores!$C$2:$C$501,MATCH(B1838,Jugadores!$A$2:$A$501,0)),"⚠ ID no existe"))</f>
        <v/>
      </c>
      <c r="D1838" s="19" t="n"/>
      <c r="E1838" s="19" t="n"/>
      <c r="F1838" s="16">
        <f>IF(OR(B1838="",D1838=""),"",IFERROR(INDEX('Tabla XP'!$B$2:$B$12,MATCH(D1838,'Tabla XP'!$A$2:$A$12,0))*IF(E1838="",1,E1838),0))</f>
        <v/>
      </c>
      <c r="G1838" s="19" t="n"/>
      <c r="H1838" s="19" t="n"/>
    </row>
    <row r="1839">
      <c r="A1839" s="22" t="n"/>
      <c r="B1839" s="19" t="n"/>
      <c r="C1839" s="18">
        <f>IF(B1839="","",IFERROR(INDEX(Jugadores!$C$2:$C$501,MATCH(B1839,Jugadores!$A$2:$A$501,0)),"⚠ ID no existe"))</f>
        <v/>
      </c>
      <c r="D1839" s="19" t="n"/>
      <c r="E1839" s="19" t="n"/>
      <c r="F1839" s="16">
        <f>IF(OR(B1839="",D1839=""),"",IFERROR(INDEX('Tabla XP'!$B$2:$B$12,MATCH(D1839,'Tabla XP'!$A$2:$A$12,0))*IF(E1839="",1,E1839),0))</f>
        <v/>
      </c>
      <c r="G1839" s="19" t="n"/>
      <c r="H1839" s="19" t="n"/>
    </row>
    <row r="1840">
      <c r="A1840" s="22" t="n"/>
      <c r="B1840" s="19" t="n"/>
      <c r="C1840" s="18">
        <f>IF(B1840="","",IFERROR(INDEX(Jugadores!$C$2:$C$501,MATCH(B1840,Jugadores!$A$2:$A$501,0)),"⚠ ID no existe"))</f>
        <v/>
      </c>
      <c r="D1840" s="19" t="n"/>
      <c r="E1840" s="19" t="n"/>
      <c r="F1840" s="16">
        <f>IF(OR(B1840="",D1840=""),"",IFERROR(INDEX('Tabla XP'!$B$2:$B$12,MATCH(D1840,'Tabla XP'!$A$2:$A$12,0))*IF(E1840="",1,E1840),0))</f>
        <v/>
      </c>
      <c r="G1840" s="19" t="n"/>
      <c r="H1840" s="19" t="n"/>
    </row>
    <row r="1841">
      <c r="A1841" s="22" t="n"/>
      <c r="B1841" s="19" t="n"/>
      <c r="C1841" s="18">
        <f>IF(B1841="","",IFERROR(INDEX(Jugadores!$C$2:$C$501,MATCH(B1841,Jugadores!$A$2:$A$501,0)),"⚠ ID no existe"))</f>
        <v/>
      </c>
      <c r="D1841" s="19" t="n"/>
      <c r="E1841" s="19" t="n"/>
      <c r="F1841" s="16">
        <f>IF(OR(B1841="",D1841=""),"",IFERROR(INDEX('Tabla XP'!$B$2:$B$12,MATCH(D1841,'Tabla XP'!$A$2:$A$12,0))*IF(E1841="",1,E1841),0))</f>
        <v/>
      </c>
      <c r="G1841" s="19" t="n"/>
      <c r="H1841" s="19" t="n"/>
    </row>
    <row r="1842">
      <c r="A1842" s="22" t="n"/>
      <c r="B1842" s="19" t="n"/>
      <c r="C1842" s="18">
        <f>IF(B1842="","",IFERROR(INDEX(Jugadores!$C$2:$C$501,MATCH(B1842,Jugadores!$A$2:$A$501,0)),"⚠ ID no existe"))</f>
        <v/>
      </c>
      <c r="D1842" s="19" t="n"/>
      <c r="E1842" s="19" t="n"/>
      <c r="F1842" s="16">
        <f>IF(OR(B1842="",D1842=""),"",IFERROR(INDEX('Tabla XP'!$B$2:$B$12,MATCH(D1842,'Tabla XP'!$A$2:$A$12,0))*IF(E1842="",1,E1842),0))</f>
        <v/>
      </c>
      <c r="G1842" s="19" t="n"/>
      <c r="H1842" s="19" t="n"/>
    </row>
    <row r="1843">
      <c r="A1843" s="22" t="n"/>
      <c r="B1843" s="19" t="n"/>
      <c r="C1843" s="18">
        <f>IF(B1843="","",IFERROR(INDEX(Jugadores!$C$2:$C$501,MATCH(B1843,Jugadores!$A$2:$A$501,0)),"⚠ ID no existe"))</f>
        <v/>
      </c>
      <c r="D1843" s="19" t="n"/>
      <c r="E1843" s="19" t="n"/>
      <c r="F1843" s="16">
        <f>IF(OR(B1843="",D1843=""),"",IFERROR(INDEX('Tabla XP'!$B$2:$B$12,MATCH(D1843,'Tabla XP'!$A$2:$A$12,0))*IF(E1843="",1,E1843),0))</f>
        <v/>
      </c>
      <c r="G1843" s="19" t="n"/>
      <c r="H1843" s="19" t="n"/>
    </row>
    <row r="1844">
      <c r="A1844" s="22" t="n"/>
      <c r="B1844" s="19" t="n"/>
      <c r="C1844" s="18">
        <f>IF(B1844="","",IFERROR(INDEX(Jugadores!$C$2:$C$501,MATCH(B1844,Jugadores!$A$2:$A$501,0)),"⚠ ID no existe"))</f>
        <v/>
      </c>
      <c r="D1844" s="19" t="n"/>
      <c r="E1844" s="19" t="n"/>
      <c r="F1844" s="16">
        <f>IF(OR(B1844="",D1844=""),"",IFERROR(INDEX('Tabla XP'!$B$2:$B$12,MATCH(D1844,'Tabla XP'!$A$2:$A$12,0))*IF(E1844="",1,E1844),0))</f>
        <v/>
      </c>
      <c r="G1844" s="19" t="n"/>
      <c r="H1844" s="19" t="n"/>
    </row>
    <row r="1845">
      <c r="A1845" s="22" t="n"/>
      <c r="B1845" s="19" t="n"/>
      <c r="C1845" s="18">
        <f>IF(B1845="","",IFERROR(INDEX(Jugadores!$C$2:$C$501,MATCH(B1845,Jugadores!$A$2:$A$501,0)),"⚠ ID no existe"))</f>
        <v/>
      </c>
      <c r="D1845" s="19" t="n"/>
      <c r="E1845" s="19" t="n"/>
      <c r="F1845" s="16">
        <f>IF(OR(B1845="",D1845=""),"",IFERROR(INDEX('Tabla XP'!$B$2:$B$12,MATCH(D1845,'Tabla XP'!$A$2:$A$12,0))*IF(E1845="",1,E1845),0))</f>
        <v/>
      </c>
      <c r="G1845" s="19" t="n"/>
      <c r="H1845" s="19" t="n"/>
    </row>
    <row r="1846">
      <c r="A1846" s="22" t="n"/>
      <c r="B1846" s="19" t="n"/>
      <c r="C1846" s="18">
        <f>IF(B1846="","",IFERROR(INDEX(Jugadores!$C$2:$C$501,MATCH(B1846,Jugadores!$A$2:$A$501,0)),"⚠ ID no existe"))</f>
        <v/>
      </c>
      <c r="D1846" s="19" t="n"/>
      <c r="E1846" s="19" t="n"/>
      <c r="F1846" s="16">
        <f>IF(OR(B1846="",D1846=""),"",IFERROR(INDEX('Tabla XP'!$B$2:$B$12,MATCH(D1846,'Tabla XP'!$A$2:$A$12,0))*IF(E1846="",1,E1846),0))</f>
        <v/>
      </c>
      <c r="G1846" s="19" t="n"/>
      <c r="H1846" s="19" t="n"/>
    </row>
    <row r="1847">
      <c r="A1847" s="22" t="n"/>
      <c r="B1847" s="19" t="n"/>
      <c r="C1847" s="18">
        <f>IF(B1847="","",IFERROR(INDEX(Jugadores!$C$2:$C$501,MATCH(B1847,Jugadores!$A$2:$A$501,0)),"⚠ ID no existe"))</f>
        <v/>
      </c>
      <c r="D1847" s="19" t="n"/>
      <c r="E1847" s="19" t="n"/>
      <c r="F1847" s="16">
        <f>IF(OR(B1847="",D1847=""),"",IFERROR(INDEX('Tabla XP'!$B$2:$B$12,MATCH(D1847,'Tabla XP'!$A$2:$A$12,0))*IF(E1847="",1,E1847),0))</f>
        <v/>
      </c>
      <c r="G1847" s="19" t="n"/>
      <c r="H1847" s="19" t="n"/>
    </row>
    <row r="1848">
      <c r="A1848" s="22" t="n"/>
      <c r="B1848" s="19" t="n"/>
      <c r="C1848" s="18">
        <f>IF(B1848="","",IFERROR(INDEX(Jugadores!$C$2:$C$501,MATCH(B1848,Jugadores!$A$2:$A$501,0)),"⚠ ID no existe"))</f>
        <v/>
      </c>
      <c r="D1848" s="19" t="n"/>
      <c r="E1848" s="19" t="n"/>
      <c r="F1848" s="16">
        <f>IF(OR(B1848="",D1848=""),"",IFERROR(INDEX('Tabla XP'!$B$2:$B$12,MATCH(D1848,'Tabla XP'!$A$2:$A$12,0))*IF(E1848="",1,E1848),0))</f>
        <v/>
      </c>
      <c r="G1848" s="19" t="n"/>
      <c r="H1848" s="19" t="n"/>
    </row>
    <row r="1849">
      <c r="A1849" s="22" t="n"/>
      <c r="B1849" s="19" t="n"/>
      <c r="C1849" s="18">
        <f>IF(B1849="","",IFERROR(INDEX(Jugadores!$C$2:$C$501,MATCH(B1849,Jugadores!$A$2:$A$501,0)),"⚠ ID no existe"))</f>
        <v/>
      </c>
      <c r="D1849" s="19" t="n"/>
      <c r="E1849" s="19" t="n"/>
      <c r="F1849" s="16">
        <f>IF(OR(B1849="",D1849=""),"",IFERROR(INDEX('Tabla XP'!$B$2:$B$12,MATCH(D1849,'Tabla XP'!$A$2:$A$12,0))*IF(E1849="",1,E1849),0))</f>
        <v/>
      </c>
      <c r="G1849" s="19" t="n"/>
      <c r="H1849" s="19" t="n"/>
    </row>
    <row r="1850">
      <c r="A1850" s="22" t="n"/>
      <c r="B1850" s="19" t="n"/>
      <c r="C1850" s="18">
        <f>IF(B1850="","",IFERROR(INDEX(Jugadores!$C$2:$C$501,MATCH(B1850,Jugadores!$A$2:$A$501,0)),"⚠ ID no existe"))</f>
        <v/>
      </c>
      <c r="D1850" s="19" t="n"/>
      <c r="E1850" s="19" t="n"/>
      <c r="F1850" s="16">
        <f>IF(OR(B1850="",D1850=""),"",IFERROR(INDEX('Tabla XP'!$B$2:$B$12,MATCH(D1850,'Tabla XP'!$A$2:$A$12,0))*IF(E1850="",1,E1850),0))</f>
        <v/>
      </c>
      <c r="G1850" s="19" t="n"/>
      <c r="H1850" s="19" t="n"/>
    </row>
    <row r="1851">
      <c r="A1851" s="22" t="n"/>
      <c r="B1851" s="19" t="n"/>
      <c r="C1851" s="18">
        <f>IF(B1851="","",IFERROR(INDEX(Jugadores!$C$2:$C$501,MATCH(B1851,Jugadores!$A$2:$A$501,0)),"⚠ ID no existe"))</f>
        <v/>
      </c>
      <c r="D1851" s="19" t="n"/>
      <c r="E1851" s="19" t="n"/>
      <c r="F1851" s="16">
        <f>IF(OR(B1851="",D1851=""),"",IFERROR(INDEX('Tabla XP'!$B$2:$B$12,MATCH(D1851,'Tabla XP'!$A$2:$A$12,0))*IF(E1851="",1,E1851),0))</f>
        <v/>
      </c>
      <c r="G1851" s="19" t="n"/>
      <c r="H1851" s="19" t="n"/>
    </row>
    <row r="1852">
      <c r="A1852" s="22" t="n"/>
      <c r="B1852" s="19" t="n"/>
      <c r="C1852" s="18">
        <f>IF(B1852="","",IFERROR(INDEX(Jugadores!$C$2:$C$501,MATCH(B1852,Jugadores!$A$2:$A$501,0)),"⚠ ID no existe"))</f>
        <v/>
      </c>
      <c r="D1852" s="19" t="n"/>
      <c r="E1852" s="19" t="n"/>
      <c r="F1852" s="16">
        <f>IF(OR(B1852="",D1852=""),"",IFERROR(INDEX('Tabla XP'!$B$2:$B$12,MATCH(D1852,'Tabla XP'!$A$2:$A$12,0))*IF(E1852="",1,E1852),0))</f>
        <v/>
      </c>
      <c r="G1852" s="19" t="n"/>
      <c r="H1852" s="19" t="n"/>
    </row>
    <row r="1853">
      <c r="A1853" s="22" t="n"/>
      <c r="B1853" s="19" t="n"/>
      <c r="C1853" s="18">
        <f>IF(B1853="","",IFERROR(INDEX(Jugadores!$C$2:$C$501,MATCH(B1853,Jugadores!$A$2:$A$501,0)),"⚠ ID no existe"))</f>
        <v/>
      </c>
      <c r="D1853" s="19" t="n"/>
      <c r="E1853" s="19" t="n"/>
      <c r="F1853" s="16">
        <f>IF(OR(B1853="",D1853=""),"",IFERROR(INDEX('Tabla XP'!$B$2:$B$12,MATCH(D1853,'Tabla XP'!$A$2:$A$12,0))*IF(E1853="",1,E1853),0))</f>
        <v/>
      </c>
      <c r="G1853" s="19" t="n"/>
      <c r="H1853" s="19" t="n"/>
    </row>
    <row r="1854">
      <c r="A1854" s="22" t="n"/>
      <c r="B1854" s="19" t="n"/>
      <c r="C1854" s="18">
        <f>IF(B1854="","",IFERROR(INDEX(Jugadores!$C$2:$C$501,MATCH(B1854,Jugadores!$A$2:$A$501,0)),"⚠ ID no existe"))</f>
        <v/>
      </c>
      <c r="D1854" s="19" t="n"/>
      <c r="E1854" s="19" t="n"/>
      <c r="F1854" s="16">
        <f>IF(OR(B1854="",D1854=""),"",IFERROR(INDEX('Tabla XP'!$B$2:$B$12,MATCH(D1854,'Tabla XP'!$A$2:$A$12,0))*IF(E1854="",1,E1854),0))</f>
        <v/>
      </c>
      <c r="G1854" s="19" t="n"/>
      <c r="H1854" s="19" t="n"/>
    </row>
    <row r="1855">
      <c r="A1855" s="22" t="n"/>
      <c r="B1855" s="19" t="n"/>
      <c r="C1855" s="18">
        <f>IF(B1855="","",IFERROR(INDEX(Jugadores!$C$2:$C$501,MATCH(B1855,Jugadores!$A$2:$A$501,0)),"⚠ ID no existe"))</f>
        <v/>
      </c>
      <c r="D1855" s="19" t="n"/>
      <c r="E1855" s="19" t="n"/>
      <c r="F1855" s="16">
        <f>IF(OR(B1855="",D1855=""),"",IFERROR(INDEX('Tabla XP'!$B$2:$B$12,MATCH(D1855,'Tabla XP'!$A$2:$A$12,0))*IF(E1855="",1,E1855),0))</f>
        <v/>
      </c>
      <c r="G1855" s="19" t="n"/>
      <c r="H1855" s="19" t="n"/>
    </row>
    <row r="1856">
      <c r="A1856" s="22" t="n"/>
      <c r="B1856" s="19" t="n"/>
      <c r="C1856" s="18">
        <f>IF(B1856="","",IFERROR(INDEX(Jugadores!$C$2:$C$501,MATCH(B1856,Jugadores!$A$2:$A$501,0)),"⚠ ID no existe"))</f>
        <v/>
      </c>
      <c r="D1856" s="19" t="n"/>
      <c r="E1856" s="19" t="n"/>
      <c r="F1856" s="16">
        <f>IF(OR(B1856="",D1856=""),"",IFERROR(INDEX('Tabla XP'!$B$2:$B$12,MATCH(D1856,'Tabla XP'!$A$2:$A$12,0))*IF(E1856="",1,E1856),0))</f>
        <v/>
      </c>
      <c r="G1856" s="19" t="n"/>
      <c r="H1856" s="19" t="n"/>
    </row>
    <row r="1857">
      <c r="A1857" s="22" t="n"/>
      <c r="B1857" s="19" t="n"/>
      <c r="C1857" s="18">
        <f>IF(B1857="","",IFERROR(INDEX(Jugadores!$C$2:$C$501,MATCH(B1857,Jugadores!$A$2:$A$501,0)),"⚠ ID no existe"))</f>
        <v/>
      </c>
      <c r="D1857" s="19" t="n"/>
      <c r="E1857" s="19" t="n"/>
      <c r="F1857" s="16">
        <f>IF(OR(B1857="",D1857=""),"",IFERROR(INDEX('Tabla XP'!$B$2:$B$12,MATCH(D1857,'Tabla XP'!$A$2:$A$12,0))*IF(E1857="",1,E1857),0))</f>
        <v/>
      </c>
      <c r="G1857" s="19" t="n"/>
      <c r="H1857" s="19" t="n"/>
    </row>
    <row r="1858">
      <c r="A1858" s="22" t="n"/>
      <c r="B1858" s="19" t="n"/>
      <c r="C1858" s="18">
        <f>IF(B1858="","",IFERROR(INDEX(Jugadores!$C$2:$C$501,MATCH(B1858,Jugadores!$A$2:$A$501,0)),"⚠ ID no existe"))</f>
        <v/>
      </c>
      <c r="D1858" s="19" t="n"/>
      <c r="E1858" s="19" t="n"/>
      <c r="F1858" s="16">
        <f>IF(OR(B1858="",D1858=""),"",IFERROR(INDEX('Tabla XP'!$B$2:$B$12,MATCH(D1858,'Tabla XP'!$A$2:$A$12,0))*IF(E1858="",1,E1858),0))</f>
        <v/>
      </c>
      <c r="G1858" s="19" t="n"/>
      <c r="H1858" s="19" t="n"/>
    </row>
    <row r="1859">
      <c r="A1859" s="22" t="n"/>
      <c r="B1859" s="19" t="n"/>
      <c r="C1859" s="18">
        <f>IF(B1859="","",IFERROR(INDEX(Jugadores!$C$2:$C$501,MATCH(B1859,Jugadores!$A$2:$A$501,0)),"⚠ ID no existe"))</f>
        <v/>
      </c>
      <c r="D1859" s="19" t="n"/>
      <c r="E1859" s="19" t="n"/>
      <c r="F1859" s="16">
        <f>IF(OR(B1859="",D1859=""),"",IFERROR(INDEX('Tabla XP'!$B$2:$B$12,MATCH(D1859,'Tabla XP'!$A$2:$A$12,0))*IF(E1859="",1,E1859),0))</f>
        <v/>
      </c>
      <c r="G1859" s="19" t="n"/>
      <c r="H1859" s="19" t="n"/>
    </row>
    <row r="1860">
      <c r="A1860" s="22" t="n"/>
      <c r="B1860" s="19" t="n"/>
      <c r="C1860" s="18">
        <f>IF(B1860="","",IFERROR(INDEX(Jugadores!$C$2:$C$501,MATCH(B1860,Jugadores!$A$2:$A$501,0)),"⚠ ID no existe"))</f>
        <v/>
      </c>
      <c r="D1860" s="19" t="n"/>
      <c r="E1860" s="19" t="n"/>
      <c r="F1860" s="16">
        <f>IF(OR(B1860="",D1860=""),"",IFERROR(INDEX('Tabla XP'!$B$2:$B$12,MATCH(D1860,'Tabla XP'!$A$2:$A$12,0))*IF(E1860="",1,E1860),0))</f>
        <v/>
      </c>
      <c r="G1860" s="19" t="n"/>
      <c r="H1860" s="19" t="n"/>
    </row>
    <row r="1861">
      <c r="A1861" s="22" t="n"/>
      <c r="B1861" s="19" t="n"/>
      <c r="C1861" s="18">
        <f>IF(B1861="","",IFERROR(INDEX(Jugadores!$C$2:$C$501,MATCH(B1861,Jugadores!$A$2:$A$501,0)),"⚠ ID no existe"))</f>
        <v/>
      </c>
      <c r="D1861" s="19" t="n"/>
      <c r="E1861" s="19" t="n"/>
      <c r="F1861" s="16">
        <f>IF(OR(B1861="",D1861=""),"",IFERROR(INDEX('Tabla XP'!$B$2:$B$12,MATCH(D1861,'Tabla XP'!$A$2:$A$12,0))*IF(E1861="",1,E1861),0))</f>
        <v/>
      </c>
      <c r="G1861" s="19" t="n"/>
      <c r="H1861" s="19" t="n"/>
    </row>
    <row r="1862">
      <c r="A1862" s="22" t="n"/>
      <c r="B1862" s="19" t="n"/>
      <c r="C1862" s="18">
        <f>IF(B1862="","",IFERROR(INDEX(Jugadores!$C$2:$C$501,MATCH(B1862,Jugadores!$A$2:$A$501,0)),"⚠ ID no existe"))</f>
        <v/>
      </c>
      <c r="D1862" s="19" t="n"/>
      <c r="E1862" s="19" t="n"/>
      <c r="F1862" s="16">
        <f>IF(OR(B1862="",D1862=""),"",IFERROR(INDEX('Tabla XP'!$B$2:$B$12,MATCH(D1862,'Tabla XP'!$A$2:$A$12,0))*IF(E1862="",1,E1862),0))</f>
        <v/>
      </c>
      <c r="G1862" s="19" t="n"/>
      <c r="H1862" s="19" t="n"/>
    </row>
    <row r="1863">
      <c r="A1863" s="22" t="n"/>
      <c r="B1863" s="19" t="n"/>
      <c r="C1863" s="18">
        <f>IF(B1863="","",IFERROR(INDEX(Jugadores!$C$2:$C$501,MATCH(B1863,Jugadores!$A$2:$A$501,0)),"⚠ ID no existe"))</f>
        <v/>
      </c>
      <c r="D1863" s="19" t="n"/>
      <c r="E1863" s="19" t="n"/>
      <c r="F1863" s="16">
        <f>IF(OR(B1863="",D1863=""),"",IFERROR(INDEX('Tabla XP'!$B$2:$B$12,MATCH(D1863,'Tabla XP'!$A$2:$A$12,0))*IF(E1863="",1,E1863),0))</f>
        <v/>
      </c>
      <c r="G1863" s="19" t="n"/>
      <c r="H1863" s="19" t="n"/>
    </row>
    <row r="1864">
      <c r="A1864" s="22" t="n"/>
      <c r="B1864" s="19" t="n"/>
      <c r="C1864" s="18">
        <f>IF(B1864="","",IFERROR(INDEX(Jugadores!$C$2:$C$501,MATCH(B1864,Jugadores!$A$2:$A$501,0)),"⚠ ID no existe"))</f>
        <v/>
      </c>
      <c r="D1864" s="19" t="n"/>
      <c r="E1864" s="19" t="n"/>
      <c r="F1864" s="16">
        <f>IF(OR(B1864="",D1864=""),"",IFERROR(INDEX('Tabla XP'!$B$2:$B$12,MATCH(D1864,'Tabla XP'!$A$2:$A$12,0))*IF(E1864="",1,E1864),0))</f>
        <v/>
      </c>
      <c r="G1864" s="19" t="n"/>
      <c r="H1864" s="19" t="n"/>
    </row>
    <row r="1865">
      <c r="A1865" s="22" t="n"/>
      <c r="B1865" s="19" t="n"/>
      <c r="C1865" s="18">
        <f>IF(B1865="","",IFERROR(INDEX(Jugadores!$C$2:$C$501,MATCH(B1865,Jugadores!$A$2:$A$501,0)),"⚠ ID no existe"))</f>
        <v/>
      </c>
      <c r="D1865" s="19" t="n"/>
      <c r="E1865" s="19" t="n"/>
      <c r="F1865" s="16">
        <f>IF(OR(B1865="",D1865=""),"",IFERROR(INDEX('Tabla XP'!$B$2:$B$12,MATCH(D1865,'Tabla XP'!$A$2:$A$12,0))*IF(E1865="",1,E1865),0))</f>
        <v/>
      </c>
      <c r="G1865" s="19" t="n"/>
      <c r="H1865" s="19" t="n"/>
    </row>
    <row r="1866">
      <c r="A1866" s="22" t="n"/>
      <c r="B1866" s="19" t="n"/>
      <c r="C1866" s="18">
        <f>IF(B1866="","",IFERROR(INDEX(Jugadores!$C$2:$C$501,MATCH(B1866,Jugadores!$A$2:$A$501,0)),"⚠ ID no existe"))</f>
        <v/>
      </c>
      <c r="D1866" s="19" t="n"/>
      <c r="E1866" s="19" t="n"/>
      <c r="F1866" s="16">
        <f>IF(OR(B1866="",D1866=""),"",IFERROR(INDEX('Tabla XP'!$B$2:$B$12,MATCH(D1866,'Tabla XP'!$A$2:$A$12,0))*IF(E1866="",1,E1866),0))</f>
        <v/>
      </c>
      <c r="G1866" s="19" t="n"/>
      <c r="H1866" s="19" t="n"/>
    </row>
    <row r="1867">
      <c r="A1867" s="22" t="n"/>
      <c r="B1867" s="19" t="n"/>
      <c r="C1867" s="18">
        <f>IF(B1867="","",IFERROR(INDEX(Jugadores!$C$2:$C$501,MATCH(B1867,Jugadores!$A$2:$A$501,0)),"⚠ ID no existe"))</f>
        <v/>
      </c>
      <c r="D1867" s="19" t="n"/>
      <c r="E1867" s="19" t="n"/>
      <c r="F1867" s="16">
        <f>IF(OR(B1867="",D1867=""),"",IFERROR(INDEX('Tabla XP'!$B$2:$B$12,MATCH(D1867,'Tabla XP'!$A$2:$A$12,0))*IF(E1867="",1,E1867),0))</f>
        <v/>
      </c>
      <c r="G1867" s="19" t="n"/>
      <c r="H1867" s="19" t="n"/>
    </row>
    <row r="1868">
      <c r="A1868" s="22" t="n"/>
      <c r="B1868" s="19" t="n"/>
      <c r="C1868" s="18">
        <f>IF(B1868="","",IFERROR(INDEX(Jugadores!$C$2:$C$501,MATCH(B1868,Jugadores!$A$2:$A$501,0)),"⚠ ID no existe"))</f>
        <v/>
      </c>
      <c r="D1868" s="19" t="n"/>
      <c r="E1868" s="19" t="n"/>
      <c r="F1868" s="16">
        <f>IF(OR(B1868="",D1868=""),"",IFERROR(INDEX('Tabla XP'!$B$2:$B$12,MATCH(D1868,'Tabla XP'!$A$2:$A$12,0))*IF(E1868="",1,E1868),0))</f>
        <v/>
      </c>
      <c r="G1868" s="19" t="n"/>
      <c r="H1868" s="19" t="n"/>
    </row>
    <row r="1869">
      <c r="A1869" s="22" t="n"/>
      <c r="B1869" s="19" t="n"/>
      <c r="C1869" s="18">
        <f>IF(B1869="","",IFERROR(INDEX(Jugadores!$C$2:$C$501,MATCH(B1869,Jugadores!$A$2:$A$501,0)),"⚠ ID no existe"))</f>
        <v/>
      </c>
      <c r="D1869" s="19" t="n"/>
      <c r="E1869" s="19" t="n"/>
      <c r="F1869" s="16">
        <f>IF(OR(B1869="",D1869=""),"",IFERROR(INDEX('Tabla XP'!$B$2:$B$12,MATCH(D1869,'Tabla XP'!$A$2:$A$12,0))*IF(E1869="",1,E1869),0))</f>
        <v/>
      </c>
      <c r="G1869" s="19" t="n"/>
      <c r="H1869" s="19" t="n"/>
    </row>
    <row r="1870">
      <c r="A1870" s="22" t="n"/>
      <c r="B1870" s="19" t="n"/>
      <c r="C1870" s="18">
        <f>IF(B1870="","",IFERROR(INDEX(Jugadores!$C$2:$C$501,MATCH(B1870,Jugadores!$A$2:$A$501,0)),"⚠ ID no existe"))</f>
        <v/>
      </c>
      <c r="D1870" s="19" t="n"/>
      <c r="E1870" s="19" t="n"/>
      <c r="F1870" s="16">
        <f>IF(OR(B1870="",D1870=""),"",IFERROR(INDEX('Tabla XP'!$B$2:$B$12,MATCH(D1870,'Tabla XP'!$A$2:$A$12,0))*IF(E1870="",1,E1870),0))</f>
        <v/>
      </c>
      <c r="G1870" s="19" t="n"/>
      <c r="H1870" s="19" t="n"/>
    </row>
    <row r="1871">
      <c r="A1871" s="22" t="n"/>
      <c r="B1871" s="19" t="n"/>
      <c r="C1871" s="18">
        <f>IF(B1871="","",IFERROR(INDEX(Jugadores!$C$2:$C$501,MATCH(B1871,Jugadores!$A$2:$A$501,0)),"⚠ ID no existe"))</f>
        <v/>
      </c>
      <c r="D1871" s="19" t="n"/>
      <c r="E1871" s="19" t="n"/>
      <c r="F1871" s="16">
        <f>IF(OR(B1871="",D1871=""),"",IFERROR(INDEX('Tabla XP'!$B$2:$B$12,MATCH(D1871,'Tabla XP'!$A$2:$A$12,0))*IF(E1871="",1,E1871),0))</f>
        <v/>
      </c>
      <c r="G1871" s="19" t="n"/>
      <c r="H1871" s="19" t="n"/>
    </row>
    <row r="1872">
      <c r="A1872" s="22" t="n"/>
      <c r="B1872" s="19" t="n"/>
      <c r="C1872" s="18">
        <f>IF(B1872="","",IFERROR(INDEX(Jugadores!$C$2:$C$501,MATCH(B1872,Jugadores!$A$2:$A$501,0)),"⚠ ID no existe"))</f>
        <v/>
      </c>
      <c r="D1872" s="19" t="n"/>
      <c r="E1872" s="19" t="n"/>
      <c r="F1872" s="16">
        <f>IF(OR(B1872="",D1872=""),"",IFERROR(INDEX('Tabla XP'!$B$2:$B$12,MATCH(D1872,'Tabla XP'!$A$2:$A$12,0))*IF(E1872="",1,E1872),0))</f>
        <v/>
      </c>
      <c r="G1872" s="19" t="n"/>
      <c r="H1872" s="19" t="n"/>
    </row>
    <row r="1873">
      <c r="A1873" s="22" t="n"/>
      <c r="B1873" s="19" t="n"/>
      <c r="C1873" s="18">
        <f>IF(B1873="","",IFERROR(INDEX(Jugadores!$C$2:$C$501,MATCH(B1873,Jugadores!$A$2:$A$501,0)),"⚠ ID no existe"))</f>
        <v/>
      </c>
      <c r="D1873" s="19" t="n"/>
      <c r="E1873" s="19" t="n"/>
      <c r="F1873" s="16">
        <f>IF(OR(B1873="",D1873=""),"",IFERROR(INDEX('Tabla XP'!$B$2:$B$12,MATCH(D1873,'Tabla XP'!$A$2:$A$12,0))*IF(E1873="",1,E1873),0))</f>
        <v/>
      </c>
      <c r="G1873" s="19" t="n"/>
      <c r="H1873" s="19" t="n"/>
    </row>
    <row r="1874">
      <c r="A1874" s="22" t="n"/>
      <c r="B1874" s="19" t="n"/>
      <c r="C1874" s="18">
        <f>IF(B1874="","",IFERROR(INDEX(Jugadores!$C$2:$C$501,MATCH(B1874,Jugadores!$A$2:$A$501,0)),"⚠ ID no existe"))</f>
        <v/>
      </c>
      <c r="D1874" s="19" t="n"/>
      <c r="E1874" s="19" t="n"/>
      <c r="F1874" s="16">
        <f>IF(OR(B1874="",D1874=""),"",IFERROR(INDEX('Tabla XP'!$B$2:$B$12,MATCH(D1874,'Tabla XP'!$A$2:$A$12,0))*IF(E1874="",1,E1874),0))</f>
        <v/>
      </c>
      <c r="G1874" s="19" t="n"/>
      <c r="H1874" s="19" t="n"/>
    </row>
    <row r="1875">
      <c r="A1875" s="22" t="n"/>
      <c r="B1875" s="19" t="n"/>
      <c r="C1875" s="18">
        <f>IF(B1875="","",IFERROR(INDEX(Jugadores!$C$2:$C$501,MATCH(B1875,Jugadores!$A$2:$A$501,0)),"⚠ ID no existe"))</f>
        <v/>
      </c>
      <c r="D1875" s="19" t="n"/>
      <c r="E1875" s="19" t="n"/>
      <c r="F1875" s="16">
        <f>IF(OR(B1875="",D1875=""),"",IFERROR(INDEX('Tabla XP'!$B$2:$B$12,MATCH(D1875,'Tabla XP'!$A$2:$A$12,0))*IF(E1875="",1,E1875),0))</f>
        <v/>
      </c>
      <c r="G1875" s="19" t="n"/>
      <c r="H1875" s="19" t="n"/>
    </row>
    <row r="1876">
      <c r="A1876" s="22" t="n"/>
      <c r="B1876" s="19" t="n"/>
      <c r="C1876" s="18">
        <f>IF(B1876="","",IFERROR(INDEX(Jugadores!$C$2:$C$501,MATCH(B1876,Jugadores!$A$2:$A$501,0)),"⚠ ID no existe"))</f>
        <v/>
      </c>
      <c r="D1876" s="19" t="n"/>
      <c r="E1876" s="19" t="n"/>
      <c r="F1876" s="16">
        <f>IF(OR(B1876="",D1876=""),"",IFERROR(INDEX('Tabla XP'!$B$2:$B$12,MATCH(D1876,'Tabla XP'!$A$2:$A$12,0))*IF(E1876="",1,E1876),0))</f>
        <v/>
      </c>
      <c r="G1876" s="19" t="n"/>
      <c r="H1876" s="19" t="n"/>
    </row>
    <row r="1877">
      <c r="A1877" s="22" t="n"/>
      <c r="B1877" s="19" t="n"/>
      <c r="C1877" s="18">
        <f>IF(B1877="","",IFERROR(INDEX(Jugadores!$C$2:$C$501,MATCH(B1877,Jugadores!$A$2:$A$501,0)),"⚠ ID no existe"))</f>
        <v/>
      </c>
      <c r="D1877" s="19" t="n"/>
      <c r="E1877" s="19" t="n"/>
      <c r="F1877" s="16">
        <f>IF(OR(B1877="",D1877=""),"",IFERROR(INDEX('Tabla XP'!$B$2:$B$12,MATCH(D1877,'Tabla XP'!$A$2:$A$12,0))*IF(E1877="",1,E1877),0))</f>
        <v/>
      </c>
      <c r="G1877" s="19" t="n"/>
      <c r="H1877" s="19" t="n"/>
    </row>
    <row r="1878">
      <c r="A1878" s="22" t="n"/>
      <c r="B1878" s="19" t="n"/>
      <c r="C1878" s="18">
        <f>IF(B1878="","",IFERROR(INDEX(Jugadores!$C$2:$C$501,MATCH(B1878,Jugadores!$A$2:$A$501,0)),"⚠ ID no existe"))</f>
        <v/>
      </c>
      <c r="D1878" s="19" t="n"/>
      <c r="E1878" s="19" t="n"/>
      <c r="F1878" s="16">
        <f>IF(OR(B1878="",D1878=""),"",IFERROR(INDEX('Tabla XP'!$B$2:$B$12,MATCH(D1878,'Tabla XP'!$A$2:$A$12,0))*IF(E1878="",1,E1878),0))</f>
        <v/>
      </c>
      <c r="G1878" s="19" t="n"/>
      <c r="H1878" s="19" t="n"/>
    </row>
    <row r="1879">
      <c r="A1879" s="22" t="n"/>
      <c r="B1879" s="19" t="n"/>
      <c r="C1879" s="18">
        <f>IF(B1879="","",IFERROR(INDEX(Jugadores!$C$2:$C$501,MATCH(B1879,Jugadores!$A$2:$A$501,0)),"⚠ ID no existe"))</f>
        <v/>
      </c>
      <c r="D1879" s="19" t="n"/>
      <c r="E1879" s="19" t="n"/>
      <c r="F1879" s="16">
        <f>IF(OR(B1879="",D1879=""),"",IFERROR(INDEX('Tabla XP'!$B$2:$B$12,MATCH(D1879,'Tabla XP'!$A$2:$A$12,0))*IF(E1879="",1,E1879),0))</f>
        <v/>
      </c>
      <c r="G1879" s="19" t="n"/>
      <c r="H1879" s="19" t="n"/>
    </row>
    <row r="1880">
      <c r="A1880" s="22" t="n"/>
      <c r="B1880" s="19" t="n"/>
      <c r="C1880" s="18">
        <f>IF(B1880="","",IFERROR(INDEX(Jugadores!$C$2:$C$501,MATCH(B1880,Jugadores!$A$2:$A$501,0)),"⚠ ID no existe"))</f>
        <v/>
      </c>
      <c r="D1880" s="19" t="n"/>
      <c r="E1880" s="19" t="n"/>
      <c r="F1880" s="16">
        <f>IF(OR(B1880="",D1880=""),"",IFERROR(INDEX('Tabla XP'!$B$2:$B$12,MATCH(D1880,'Tabla XP'!$A$2:$A$12,0))*IF(E1880="",1,E1880),0))</f>
        <v/>
      </c>
      <c r="G1880" s="19" t="n"/>
      <c r="H1880" s="19" t="n"/>
    </row>
    <row r="1881">
      <c r="A1881" s="22" t="n"/>
      <c r="B1881" s="19" t="n"/>
      <c r="C1881" s="18">
        <f>IF(B1881="","",IFERROR(INDEX(Jugadores!$C$2:$C$501,MATCH(B1881,Jugadores!$A$2:$A$501,0)),"⚠ ID no existe"))</f>
        <v/>
      </c>
      <c r="D1881" s="19" t="n"/>
      <c r="E1881" s="19" t="n"/>
      <c r="F1881" s="16">
        <f>IF(OR(B1881="",D1881=""),"",IFERROR(INDEX('Tabla XP'!$B$2:$B$12,MATCH(D1881,'Tabla XP'!$A$2:$A$12,0))*IF(E1881="",1,E1881),0))</f>
        <v/>
      </c>
      <c r="G1881" s="19" t="n"/>
      <c r="H1881" s="19" t="n"/>
    </row>
    <row r="1882">
      <c r="A1882" s="22" t="n"/>
      <c r="B1882" s="19" t="n"/>
      <c r="C1882" s="18">
        <f>IF(B1882="","",IFERROR(INDEX(Jugadores!$C$2:$C$501,MATCH(B1882,Jugadores!$A$2:$A$501,0)),"⚠ ID no existe"))</f>
        <v/>
      </c>
      <c r="D1882" s="19" t="n"/>
      <c r="E1882" s="19" t="n"/>
      <c r="F1882" s="16">
        <f>IF(OR(B1882="",D1882=""),"",IFERROR(INDEX('Tabla XP'!$B$2:$B$12,MATCH(D1882,'Tabla XP'!$A$2:$A$12,0))*IF(E1882="",1,E1882),0))</f>
        <v/>
      </c>
      <c r="G1882" s="19" t="n"/>
      <c r="H1882" s="19" t="n"/>
    </row>
    <row r="1883">
      <c r="A1883" s="22" t="n"/>
      <c r="B1883" s="19" t="n"/>
      <c r="C1883" s="18">
        <f>IF(B1883="","",IFERROR(INDEX(Jugadores!$C$2:$C$501,MATCH(B1883,Jugadores!$A$2:$A$501,0)),"⚠ ID no existe"))</f>
        <v/>
      </c>
      <c r="D1883" s="19" t="n"/>
      <c r="E1883" s="19" t="n"/>
      <c r="F1883" s="16">
        <f>IF(OR(B1883="",D1883=""),"",IFERROR(INDEX('Tabla XP'!$B$2:$B$12,MATCH(D1883,'Tabla XP'!$A$2:$A$12,0))*IF(E1883="",1,E1883),0))</f>
        <v/>
      </c>
      <c r="G1883" s="19" t="n"/>
      <c r="H1883" s="19" t="n"/>
    </row>
    <row r="1884">
      <c r="A1884" s="22" t="n"/>
      <c r="B1884" s="19" t="n"/>
      <c r="C1884" s="18">
        <f>IF(B1884="","",IFERROR(INDEX(Jugadores!$C$2:$C$501,MATCH(B1884,Jugadores!$A$2:$A$501,0)),"⚠ ID no existe"))</f>
        <v/>
      </c>
      <c r="D1884" s="19" t="n"/>
      <c r="E1884" s="19" t="n"/>
      <c r="F1884" s="16">
        <f>IF(OR(B1884="",D1884=""),"",IFERROR(INDEX('Tabla XP'!$B$2:$B$12,MATCH(D1884,'Tabla XP'!$A$2:$A$12,0))*IF(E1884="",1,E1884),0))</f>
        <v/>
      </c>
      <c r="G1884" s="19" t="n"/>
      <c r="H1884" s="19" t="n"/>
    </row>
    <row r="1885">
      <c r="A1885" s="22" t="n"/>
      <c r="B1885" s="19" t="n"/>
      <c r="C1885" s="18">
        <f>IF(B1885="","",IFERROR(INDEX(Jugadores!$C$2:$C$501,MATCH(B1885,Jugadores!$A$2:$A$501,0)),"⚠ ID no existe"))</f>
        <v/>
      </c>
      <c r="D1885" s="19" t="n"/>
      <c r="E1885" s="19" t="n"/>
      <c r="F1885" s="16">
        <f>IF(OR(B1885="",D1885=""),"",IFERROR(INDEX('Tabla XP'!$B$2:$B$12,MATCH(D1885,'Tabla XP'!$A$2:$A$12,0))*IF(E1885="",1,E1885),0))</f>
        <v/>
      </c>
      <c r="G1885" s="19" t="n"/>
      <c r="H1885" s="19" t="n"/>
    </row>
    <row r="1886">
      <c r="A1886" s="22" t="n"/>
      <c r="B1886" s="19" t="n"/>
      <c r="C1886" s="18">
        <f>IF(B1886="","",IFERROR(INDEX(Jugadores!$C$2:$C$501,MATCH(B1886,Jugadores!$A$2:$A$501,0)),"⚠ ID no existe"))</f>
        <v/>
      </c>
      <c r="D1886" s="19" t="n"/>
      <c r="E1886" s="19" t="n"/>
      <c r="F1886" s="16">
        <f>IF(OR(B1886="",D1886=""),"",IFERROR(INDEX('Tabla XP'!$B$2:$B$12,MATCH(D1886,'Tabla XP'!$A$2:$A$12,0))*IF(E1886="",1,E1886),0))</f>
        <v/>
      </c>
      <c r="G1886" s="19" t="n"/>
      <c r="H1886" s="19" t="n"/>
    </row>
    <row r="1887">
      <c r="A1887" s="22" t="n"/>
      <c r="B1887" s="19" t="n"/>
      <c r="C1887" s="18">
        <f>IF(B1887="","",IFERROR(INDEX(Jugadores!$C$2:$C$501,MATCH(B1887,Jugadores!$A$2:$A$501,0)),"⚠ ID no existe"))</f>
        <v/>
      </c>
      <c r="D1887" s="19" t="n"/>
      <c r="E1887" s="19" t="n"/>
      <c r="F1887" s="16">
        <f>IF(OR(B1887="",D1887=""),"",IFERROR(INDEX('Tabla XP'!$B$2:$B$12,MATCH(D1887,'Tabla XP'!$A$2:$A$12,0))*IF(E1887="",1,E1887),0))</f>
        <v/>
      </c>
      <c r="G1887" s="19" t="n"/>
      <c r="H1887" s="19" t="n"/>
    </row>
    <row r="1888">
      <c r="A1888" s="22" t="n"/>
      <c r="B1888" s="19" t="n"/>
      <c r="C1888" s="18">
        <f>IF(B1888="","",IFERROR(INDEX(Jugadores!$C$2:$C$501,MATCH(B1888,Jugadores!$A$2:$A$501,0)),"⚠ ID no existe"))</f>
        <v/>
      </c>
      <c r="D1888" s="19" t="n"/>
      <c r="E1888" s="19" t="n"/>
      <c r="F1888" s="16">
        <f>IF(OR(B1888="",D1888=""),"",IFERROR(INDEX('Tabla XP'!$B$2:$B$12,MATCH(D1888,'Tabla XP'!$A$2:$A$12,0))*IF(E1888="",1,E1888),0))</f>
        <v/>
      </c>
      <c r="G1888" s="19" t="n"/>
      <c r="H1888" s="19" t="n"/>
    </row>
    <row r="1889">
      <c r="A1889" s="22" t="n"/>
      <c r="B1889" s="19" t="n"/>
      <c r="C1889" s="18">
        <f>IF(B1889="","",IFERROR(INDEX(Jugadores!$C$2:$C$501,MATCH(B1889,Jugadores!$A$2:$A$501,0)),"⚠ ID no existe"))</f>
        <v/>
      </c>
      <c r="D1889" s="19" t="n"/>
      <c r="E1889" s="19" t="n"/>
      <c r="F1889" s="16">
        <f>IF(OR(B1889="",D1889=""),"",IFERROR(INDEX('Tabla XP'!$B$2:$B$12,MATCH(D1889,'Tabla XP'!$A$2:$A$12,0))*IF(E1889="",1,E1889),0))</f>
        <v/>
      </c>
      <c r="G1889" s="19" t="n"/>
      <c r="H1889" s="19" t="n"/>
    </row>
    <row r="1890">
      <c r="A1890" s="22" t="n"/>
      <c r="B1890" s="19" t="n"/>
      <c r="C1890" s="18">
        <f>IF(B1890="","",IFERROR(INDEX(Jugadores!$C$2:$C$501,MATCH(B1890,Jugadores!$A$2:$A$501,0)),"⚠ ID no existe"))</f>
        <v/>
      </c>
      <c r="D1890" s="19" t="n"/>
      <c r="E1890" s="19" t="n"/>
      <c r="F1890" s="16">
        <f>IF(OR(B1890="",D1890=""),"",IFERROR(INDEX('Tabla XP'!$B$2:$B$12,MATCH(D1890,'Tabla XP'!$A$2:$A$12,0))*IF(E1890="",1,E1890),0))</f>
        <v/>
      </c>
      <c r="G1890" s="19" t="n"/>
      <c r="H1890" s="19" t="n"/>
    </row>
    <row r="1891">
      <c r="A1891" s="22" t="n"/>
      <c r="B1891" s="19" t="n"/>
      <c r="C1891" s="18">
        <f>IF(B1891="","",IFERROR(INDEX(Jugadores!$C$2:$C$501,MATCH(B1891,Jugadores!$A$2:$A$501,0)),"⚠ ID no existe"))</f>
        <v/>
      </c>
      <c r="D1891" s="19" t="n"/>
      <c r="E1891" s="19" t="n"/>
      <c r="F1891" s="16">
        <f>IF(OR(B1891="",D1891=""),"",IFERROR(INDEX('Tabla XP'!$B$2:$B$12,MATCH(D1891,'Tabla XP'!$A$2:$A$12,0))*IF(E1891="",1,E1891),0))</f>
        <v/>
      </c>
      <c r="G1891" s="19" t="n"/>
      <c r="H1891" s="19" t="n"/>
    </row>
    <row r="1892">
      <c r="A1892" s="22" t="n"/>
      <c r="B1892" s="19" t="n"/>
      <c r="C1892" s="18">
        <f>IF(B1892="","",IFERROR(INDEX(Jugadores!$C$2:$C$501,MATCH(B1892,Jugadores!$A$2:$A$501,0)),"⚠ ID no existe"))</f>
        <v/>
      </c>
      <c r="D1892" s="19" t="n"/>
      <c r="E1892" s="19" t="n"/>
      <c r="F1892" s="16">
        <f>IF(OR(B1892="",D1892=""),"",IFERROR(INDEX('Tabla XP'!$B$2:$B$12,MATCH(D1892,'Tabla XP'!$A$2:$A$12,0))*IF(E1892="",1,E1892),0))</f>
        <v/>
      </c>
      <c r="G1892" s="19" t="n"/>
      <c r="H1892" s="19" t="n"/>
    </row>
    <row r="1893">
      <c r="A1893" s="22" t="n"/>
      <c r="B1893" s="19" t="n"/>
      <c r="C1893" s="18">
        <f>IF(B1893="","",IFERROR(INDEX(Jugadores!$C$2:$C$501,MATCH(B1893,Jugadores!$A$2:$A$501,0)),"⚠ ID no existe"))</f>
        <v/>
      </c>
      <c r="D1893" s="19" t="n"/>
      <c r="E1893" s="19" t="n"/>
      <c r="F1893" s="16">
        <f>IF(OR(B1893="",D1893=""),"",IFERROR(INDEX('Tabla XP'!$B$2:$B$12,MATCH(D1893,'Tabla XP'!$A$2:$A$12,0))*IF(E1893="",1,E1893),0))</f>
        <v/>
      </c>
      <c r="G1893" s="19" t="n"/>
      <c r="H1893" s="19" t="n"/>
    </row>
    <row r="1894">
      <c r="A1894" s="22" t="n"/>
      <c r="B1894" s="19" t="n"/>
      <c r="C1894" s="18">
        <f>IF(B1894="","",IFERROR(INDEX(Jugadores!$C$2:$C$501,MATCH(B1894,Jugadores!$A$2:$A$501,0)),"⚠ ID no existe"))</f>
        <v/>
      </c>
      <c r="D1894" s="19" t="n"/>
      <c r="E1894" s="19" t="n"/>
      <c r="F1894" s="16">
        <f>IF(OR(B1894="",D1894=""),"",IFERROR(INDEX('Tabla XP'!$B$2:$B$12,MATCH(D1894,'Tabla XP'!$A$2:$A$12,0))*IF(E1894="",1,E1894),0))</f>
        <v/>
      </c>
      <c r="G1894" s="19" t="n"/>
      <c r="H1894" s="19" t="n"/>
    </row>
    <row r="1895">
      <c r="A1895" s="22" t="n"/>
      <c r="B1895" s="19" t="n"/>
      <c r="C1895" s="18">
        <f>IF(B1895="","",IFERROR(INDEX(Jugadores!$C$2:$C$501,MATCH(B1895,Jugadores!$A$2:$A$501,0)),"⚠ ID no existe"))</f>
        <v/>
      </c>
      <c r="D1895" s="19" t="n"/>
      <c r="E1895" s="19" t="n"/>
      <c r="F1895" s="16">
        <f>IF(OR(B1895="",D1895=""),"",IFERROR(INDEX('Tabla XP'!$B$2:$B$12,MATCH(D1895,'Tabla XP'!$A$2:$A$12,0))*IF(E1895="",1,E1895),0))</f>
        <v/>
      </c>
      <c r="G1895" s="19" t="n"/>
      <c r="H1895" s="19" t="n"/>
    </row>
    <row r="1896">
      <c r="A1896" s="22" t="n"/>
      <c r="B1896" s="19" t="n"/>
      <c r="C1896" s="18">
        <f>IF(B1896="","",IFERROR(INDEX(Jugadores!$C$2:$C$501,MATCH(B1896,Jugadores!$A$2:$A$501,0)),"⚠ ID no existe"))</f>
        <v/>
      </c>
      <c r="D1896" s="19" t="n"/>
      <c r="E1896" s="19" t="n"/>
      <c r="F1896" s="16">
        <f>IF(OR(B1896="",D1896=""),"",IFERROR(INDEX('Tabla XP'!$B$2:$B$12,MATCH(D1896,'Tabla XP'!$A$2:$A$12,0))*IF(E1896="",1,E1896),0))</f>
        <v/>
      </c>
      <c r="G1896" s="19" t="n"/>
      <c r="H1896" s="19" t="n"/>
    </row>
    <row r="1897">
      <c r="A1897" s="22" t="n"/>
      <c r="B1897" s="19" t="n"/>
      <c r="C1897" s="18">
        <f>IF(B1897="","",IFERROR(INDEX(Jugadores!$C$2:$C$501,MATCH(B1897,Jugadores!$A$2:$A$501,0)),"⚠ ID no existe"))</f>
        <v/>
      </c>
      <c r="D1897" s="19" t="n"/>
      <c r="E1897" s="19" t="n"/>
      <c r="F1897" s="16">
        <f>IF(OR(B1897="",D1897=""),"",IFERROR(INDEX('Tabla XP'!$B$2:$B$12,MATCH(D1897,'Tabla XP'!$A$2:$A$12,0))*IF(E1897="",1,E1897),0))</f>
        <v/>
      </c>
      <c r="G1897" s="19" t="n"/>
      <c r="H1897" s="19" t="n"/>
    </row>
    <row r="1898">
      <c r="A1898" s="22" t="n"/>
      <c r="B1898" s="19" t="n"/>
      <c r="C1898" s="18">
        <f>IF(B1898="","",IFERROR(INDEX(Jugadores!$C$2:$C$501,MATCH(B1898,Jugadores!$A$2:$A$501,0)),"⚠ ID no existe"))</f>
        <v/>
      </c>
      <c r="D1898" s="19" t="n"/>
      <c r="E1898" s="19" t="n"/>
      <c r="F1898" s="16">
        <f>IF(OR(B1898="",D1898=""),"",IFERROR(INDEX('Tabla XP'!$B$2:$B$12,MATCH(D1898,'Tabla XP'!$A$2:$A$12,0))*IF(E1898="",1,E1898),0))</f>
        <v/>
      </c>
      <c r="G1898" s="19" t="n"/>
      <c r="H1898" s="19" t="n"/>
    </row>
    <row r="1899">
      <c r="A1899" s="22" t="n"/>
      <c r="B1899" s="19" t="n"/>
      <c r="C1899" s="18">
        <f>IF(B1899="","",IFERROR(INDEX(Jugadores!$C$2:$C$501,MATCH(B1899,Jugadores!$A$2:$A$501,0)),"⚠ ID no existe"))</f>
        <v/>
      </c>
      <c r="D1899" s="19" t="n"/>
      <c r="E1899" s="19" t="n"/>
      <c r="F1899" s="16">
        <f>IF(OR(B1899="",D1899=""),"",IFERROR(INDEX('Tabla XP'!$B$2:$B$12,MATCH(D1899,'Tabla XP'!$A$2:$A$12,0))*IF(E1899="",1,E1899),0))</f>
        <v/>
      </c>
      <c r="G1899" s="19" t="n"/>
      <c r="H1899" s="19" t="n"/>
    </row>
    <row r="1900">
      <c r="A1900" s="22" t="n"/>
      <c r="B1900" s="19" t="n"/>
      <c r="C1900" s="18">
        <f>IF(B1900="","",IFERROR(INDEX(Jugadores!$C$2:$C$501,MATCH(B1900,Jugadores!$A$2:$A$501,0)),"⚠ ID no existe"))</f>
        <v/>
      </c>
      <c r="D1900" s="19" t="n"/>
      <c r="E1900" s="19" t="n"/>
      <c r="F1900" s="16">
        <f>IF(OR(B1900="",D1900=""),"",IFERROR(INDEX('Tabla XP'!$B$2:$B$12,MATCH(D1900,'Tabla XP'!$A$2:$A$12,0))*IF(E1900="",1,E1900),0))</f>
        <v/>
      </c>
      <c r="G1900" s="19" t="n"/>
      <c r="H1900" s="19" t="n"/>
    </row>
    <row r="1901">
      <c r="A1901" s="22" t="n"/>
      <c r="B1901" s="19" t="n"/>
      <c r="C1901" s="18">
        <f>IF(B1901="","",IFERROR(INDEX(Jugadores!$C$2:$C$501,MATCH(B1901,Jugadores!$A$2:$A$501,0)),"⚠ ID no existe"))</f>
        <v/>
      </c>
      <c r="D1901" s="19" t="n"/>
      <c r="E1901" s="19" t="n"/>
      <c r="F1901" s="16">
        <f>IF(OR(B1901="",D1901=""),"",IFERROR(INDEX('Tabla XP'!$B$2:$B$12,MATCH(D1901,'Tabla XP'!$A$2:$A$12,0))*IF(E1901="",1,E1901),0))</f>
        <v/>
      </c>
      <c r="G1901" s="19" t="n"/>
      <c r="H1901" s="19" t="n"/>
    </row>
    <row r="1902">
      <c r="A1902" s="22" t="n"/>
      <c r="B1902" s="19" t="n"/>
      <c r="C1902" s="18">
        <f>IF(B1902="","",IFERROR(INDEX(Jugadores!$C$2:$C$501,MATCH(B1902,Jugadores!$A$2:$A$501,0)),"⚠ ID no existe"))</f>
        <v/>
      </c>
      <c r="D1902" s="19" t="n"/>
      <c r="E1902" s="19" t="n"/>
      <c r="F1902" s="16">
        <f>IF(OR(B1902="",D1902=""),"",IFERROR(INDEX('Tabla XP'!$B$2:$B$12,MATCH(D1902,'Tabla XP'!$A$2:$A$12,0))*IF(E1902="",1,E1902),0))</f>
        <v/>
      </c>
      <c r="G1902" s="19" t="n"/>
      <c r="H1902" s="19" t="n"/>
    </row>
    <row r="1903">
      <c r="A1903" s="22" t="n"/>
      <c r="B1903" s="19" t="n"/>
      <c r="C1903" s="18">
        <f>IF(B1903="","",IFERROR(INDEX(Jugadores!$C$2:$C$501,MATCH(B1903,Jugadores!$A$2:$A$501,0)),"⚠ ID no existe"))</f>
        <v/>
      </c>
      <c r="D1903" s="19" t="n"/>
      <c r="E1903" s="19" t="n"/>
      <c r="F1903" s="16">
        <f>IF(OR(B1903="",D1903=""),"",IFERROR(INDEX('Tabla XP'!$B$2:$B$12,MATCH(D1903,'Tabla XP'!$A$2:$A$12,0))*IF(E1903="",1,E1903),0))</f>
        <v/>
      </c>
      <c r="G1903" s="19" t="n"/>
      <c r="H1903" s="19" t="n"/>
    </row>
    <row r="1904">
      <c r="A1904" s="22" t="n"/>
      <c r="B1904" s="19" t="n"/>
      <c r="C1904" s="18">
        <f>IF(B1904="","",IFERROR(INDEX(Jugadores!$C$2:$C$501,MATCH(B1904,Jugadores!$A$2:$A$501,0)),"⚠ ID no existe"))</f>
        <v/>
      </c>
      <c r="D1904" s="19" t="n"/>
      <c r="E1904" s="19" t="n"/>
      <c r="F1904" s="16">
        <f>IF(OR(B1904="",D1904=""),"",IFERROR(INDEX('Tabla XP'!$B$2:$B$12,MATCH(D1904,'Tabla XP'!$A$2:$A$12,0))*IF(E1904="",1,E1904),0))</f>
        <v/>
      </c>
      <c r="G1904" s="19" t="n"/>
      <c r="H1904" s="19" t="n"/>
    </row>
    <row r="1905">
      <c r="A1905" s="22" t="n"/>
      <c r="B1905" s="19" t="n"/>
      <c r="C1905" s="18">
        <f>IF(B1905="","",IFERROR(INDEX(Jugadores!$C$2:$C$501,MATCH(B1905,Jugadores!$A$2:$A$501,0)),"⚠ ID no existe"))</f>
        <v/>
      </c>
      <c r="D1905" s="19" t="n"/>
      <c r="E1905" s="19" t="n"/>
      <c r="F1905" s="16">
        <f>IF(OR(B1905="",D1905=""),"",IFERROR(INDEX('Tabla XP'!$B$2:$B$12,MATCH(D1905,'Tabla XP'!$A$2:$A$12,0))*IF(E1905="",1,E1905),0))</f>
        <v/>
      </c>
      <c r="G1905" s="19" t="n"/>
      <c r="H1905" s="19" t="n"/>
    </row>
    <row r="1906">
      <c r="A1906" s="22" t="n"/>
      <c r="B1906" s="19" t="n"/>
      <c r="C1906" s="18">
        <f>IF(B1906="","",IFERROR(INDEX(Jugadores!$C$2:$C$501,MATCH(B1906,Jugadores!$A$2:$A$501,0)),"⚠ ID no existe"))</f>
        <v/>
      </c>
      <c r="D1906" s="19" t="n"/>
      <c r="E1906" s="19" t="n"/>
      <c r="F1906" s="16">
        <f>IF(OR(B1906="",D1906=""),"",IFERROR(INDEX('Tabla XP'!$B$2:$B$12,MATCH(D1906,'Tabla XP'!$A$2:$A$12,0))*IF(E1906="",1,E1906),0))</f>
        <v/>
      </c>
      <c r="G1906" s="19" t="n"/>
      <c r="H1906" s="19" t="n"/>
    </row>
    <row r="1907">
      <c r="A1907" s="22" t="n"/>
      <c r="B1907" s="19" t="n"/>
      <c r="C1907" s="18">
        <f>IF(B1907="","",IFERROR(INDEX(Jugadores!$C$2:$C$501,MATCH(B1907,Jugadores!$A$2:$A$501,0)),"⚠ ID no existe"))</f>
        <v/>
      </c>
      <c r="D1907" s="19" t="n"/>
      <c r="E1907" s="19" t="n"/>
      <c r="F1907" s="16">
        <f>IF(OR(B1907="",D1907=""),"",IFERROR(INDEX('Tabla XP'!$B$2:$B$12,MATCH(D1907,'Tabla XP'!$A$2:$A$12,0))*IF(E1907="",1,E1907),0))</f>
        <v/>
      </c>
      <c r="G1907" s="19" t="n"/>
      <c r="H1907" s="19" t="n"/>
    </row>
    <row r="1908">
      <c r="A1908" s="22" t="n"/>
      <c r="B1908" s="19" t="n"/>
      <c r="C1908" s="18">
        <f>IF(B1908="","",IFERROR(INDEX(Jugadores!$C$2:$C$501,MATCH(B1908,Jugadores!$A$2:$A$501,0)),"⚠ ID no existe"))</f>
        <v/>
      </c>
      <c r="D1908" s="19" t="n"/>
      <c r="E1908" s="19" t="n"/>
      <c r="F1908" s="16">
        <f>IF(OR(B1908="",D1908=""),"",IFERROR(INDEX('Tabla XP'!$B$2:$B$12,MATCH(D1908,'Tabla XP'!$A$2:$A$12,0))*IF(E1908="",1,E1908),0))</f>
        <v/>
      </c>
      <c r="G1908" s="19" t="n"/>
      <c r="H1908" s="19" t="n"/>
    </row>
    <row r="1909">
      <c r="A1909" s="22" t="n"/>
      <c r="B1909" s="19" t="n"/>
      <c r="C1909" s="18">
        <f>IF(B1909="","",IFERROR(INDEX(Jugadores!$C$2:$C$501,MATCH(B1909,Jugadores!$A$2:$A$501,0)),"⚠ ID no existe"))</f>
        <v/>
      </c>
      <c r="D1909" s="19" t="n"/>
      <c r="E1909" s="19" t="n"/>
      <c r="F1909" s="16">
        <f>IF(OR(B1909="",D1909=""),"",IFERROR(INDEX('Tabla XP'!$B$2:$B$12,MATCH(D1909,'Tabla XP'!$A$2:$A$12,0))*IF(E1909="",1,E1909),0))</f>
        <v/>
      </c>
      <c r="G1909" s="19" t="n"/>
      <c r="H1909" s="19" t="n"/>
    </row>
    <row r="1910">
      <c r="A1910" s="22" t="n"/>
      <c r="B1910" s="19" t="n"/>
      <c r="C1910" s="18">
        <f>IF(B1910="","",IFERROR(INDEX(Jugadores!$C$2:$C$501,MATCH(B1910,Jugadores!$A$2:$A$501,0)),"⚠ ID no existe"))</f>
        <v/>
      </c>
      <c r="D1910" s="19" t="n"/>
      <c r="E1910" s="19" t="n"/>
      <c r="F1910" s="16">
        <f>IF(OR(B1910="",D1910=""),"",IFERROR(INDEX('Tabla XP'!$B$2:$B$12,MATCH(D1910,'Tabla XP'!$A$2:$A$12,0))*IF(E1910="",1,E1910),0))</f>
        <v/>
      </c>
      <c r="G1910" s="19" t="n"/>
      <c r="H1910" s="19" t="n"/>
    </row>
    <row r="1911">
      <c r="A1911" s="22" t="n"/>
      <c r="B1911" s="19" t="n"/>
      <c r="C1911" s="18">
        <f>IF(B1911="","",IFERROR(INDEX(Jugadores!$C$2:$C$501,MATCH(B1911,Jugadores!$A$2:$A$501,0)),"⚠ ID no existe"))</f>
        <v/>
      </c>
      <c r="D1911" s="19" t="n"/>
      <c r="E1911" s="19" t="n"/>
      <c r="F1911" s="16">
        <f>IF(OR(B1911="",D1911=""),"",IFERROR(INDEX('Tabla XP'!$B$2:$B$12,MATCH(D1911,'Tabla XP'!$A$2:$A$12,0))*IF(E1911="",1,E1911),0))</f>
        <v/>
      </c>
      <c r="G1911" s="19" t="n"/>
      <c r="H1911" s="19" t="n"/>
    </row>
    <row r="1912">
      <c r="A1912" s="22" t="n"/>
      <c r="B1912" s="19" t="n"/>
      <c r="C1912" s="18">
        <f>IF(B1912="","",IFERROR(INDEX(Jugadores!$C$2:$C$501,MATCH(B1912,Jugadores!$A$2:$A$501,0)),"⚠ ID no existe"))</f>
        <v/>
      </c>
      <c r="D1912" s="19" t="n"/>
      <c r="E1912" s="19" t="n"/>
      <c r="F1912" s="16">
        <f>IF(OR(B1912="",D1912=""),"",IFERROR(INDEX('Tabla XP'!$B$2:$B$12,MATCH(D1912,'Tabla XP'!$A$2:$A$12,0))*IF(E1912="",1,E1912),0))</f>
        <v/>
      </c>
      <c r="G1912" s="19" t="n"/>
      <c r="H1912" s="19" t="n"/>
    </row>
    <row r="1913">
      <c r="A1913" s="22" t="n"/>
      <c r="B1913" s="19" t="n"/>
      <c r="C1913" s="18">
        <f>IF(B1913="","",IFERROR(INDEX(Jugadores!$C$2:$C$501,MATCH(B1913,Jugadores!$A$2:$A$501,0)),"⚠ ID no existe"))</f>
        <v/>
      </c>
      <c r="D1913" s="19" t="n"/>
      <c r="E1913" s="19" t="n"/>
      <c r="F1913" s="16">
        <f>IF(OR(B1913="",D1913=""),"",IFERROR(INDEX('Tabla XP'!$B$2:$B$12,MATCH(D1913,'Tabla XP'!$A$2:$A$12,0))*IF(E1913="",1,E1913),0))</f>
        <v/>
      </c>
      <c r="G1913" s="19" t="n"/>
      <c r="H1913" s="19" t="n"/>
    </row>
    <row r="1914">
      <c r="A1914" s="22" t="n"/>
      <c r="B1914" s="19" t="n"/>
      <c r="C1914" s="18">
        <f>IF(B1914="","",IFERROR(INDEX(Jugadores!$C$2:$C$501,MATCH(B1914,Jugadores!$A$2:$A$501,0)),"⚠ ID no existe"))</f>
        <v/>
      </c>
      <c r="D1914" s="19" t="n"/>
      <c r="E1914" s="19" t="n"/>
      <c r="F1914" s="16">
        <f>IF(OR(B1914="",D1914=""),"",IFERROR(INDEX('Tabla XP'!$B$2:$B$12,MATCH(D1914,'Tabla XP'!$A$2:$A$12,0))*IF(E1914="",1,E1914),0))</f>
        <v/>
      </c>
      <c r="G1914" s="19" t="n"/>
      <c r="H1914" s="19" t="n"/>
    </row>
    <row r="1915">
      <c r="A1915" s="22" t="n"/>
      <c r="B1915" s="19" t="n"/>
      <c r="C1915" s="18">
        <f>IF(B1915="","",IFERROR(INDEX(Jugadores!$C$2:$C$501,MATCH(B1915,Jugadores!$A$2:$A$501,0)),"⚠ ID no existe"))</f>
        <v/>
      </c>
      <c r="D1915" s="19" t="n"/>
      <c r="E1915" s="19" t="n"/>
      <c r="F1915" s="16">
        <f>IF(OR(B1915="",D1915=""),"",IFERROR(INDEX('Tabla XP'!$B$2:$B$12,MATCH(D1915,'Tabla XP'!$A$2:$A$12,0))*IF(E1915="",1,E1915),0))</f>
        <v/>
      </c>
      <c r="G1915" s="19" t="n"/>
      <c r="H1915" s="19" t="n"/>
    </row>
    <row r="1916">
      <c r="A1916" s="22" t="n"/>
      <c r="B1916" s="19" t="n"/>
      <c r="C1916" s="18">
        <f>IF(B1916="","",IFERROR(INDEX(Jugadores!$C$2:$C$501,MATCH(B1916,Jugadores!$A$2:$A$501,0)),"⚠ ID no existe"))</f>
        <v/>
      </c>
      <c r="D1916" s="19" t="n"/>
      <c r="E1916" s="19" t="n"/>
      <c r="F1916" s="16">
        <f>IF(OR(B1916="",D1916=""),"",IFERROR(INDEX('Tabla XP'!$B$2:$B$12,MATCH(D1916,'Tabla XP'!$A$2:$A$12,0))*IF(E1916="",1,E1916),0))</f>
        <v/>
      </c>
      <c r="G1916" s="19" t="n"/>
      <c r="H1916" s="19" t="n"/>
    </row>
    <row r="1917">
      <c r="A1917" s="22" t="n"/>
      <c r="B1917" s="19" t="n"/>
      <c r="C1917" s="18">
        <f>IF(B1917="","",IFERROR(INDEX(Jugadores!$C$2:$C$501,MATCH(B1917,Jugadores!$A$2:$A$501,0)),"⚠ ID no existe"))</f>
        <v/>
      </c>
      <c r="D1917" s="19" t="n"/>
      <c r="E1917" s="19" t="n"/>
      <c r="F1917" s="16">
        <f>IF(OR(B1917="",D1917=""),"",IFERROR(INDEX('Tabla XP'!$B$2:$B$12,MATCH(D1917,'Tabla XP'!$A$2:$A$12,0))*IF(E1917="",1,E1917),0))</f>
        <v/>
      </c>
      <c r="G1917" s="19" t="n"/>
      <c r="H1917" s="19" t="n"/>
    </row>
    <row r="1918">
      <c r="A1918" s="22" t="n"/>
      <c r="B1918" s="19" t="n"/>
      <c r="C1918" s="18">
        <f>IF(B1918="","",IFERROR(INDEX(Jugadores!$C$2:$C$501,MATCH(B1918,Jugadores!$A$2:$A$501,0)),"⚠ ID no existe"))</f>
        <v/>
      </c>
      <c r="D1918" s="19" t="n"/>
      <c r="E1918" s="19" t="n"/>
      <c r="F1918" s="16">
        <f>IF(OR(B1918="",D1918=""),"",IFERROR(INDEX('Tabla XP'!$B$2:$B$12,MATCH(D1918,'Tabla XP'!$A$2:$A$12,0))*IF(E1918="",1,E1918),0))</f>
        <v/>
      </c>
      <c r="G1918" s="19" t="n"/>
      <c r="H1918" s="19" t="n"/>
    </row>
    <row r="1919">
      <c r="A1919" s="22" t="n"/>
      <c r="B1919" s="19" t="n"/>
      <c r="C1919" s="18">
        <f>IF(B1919="","",IFERROR(INDEX(Jugadores!$C$2:$C$501,MATCH(B1919,Jugadores!$A$2:$A$501,0)),"⚠ ID no existe"))</f>
        <v/>
      </c>
      <c r="D1919" s="19" t="n"/>
      <c r="E1919" s="19" t="n"/>
      <c r="F1919" s="16">
        <f>IF(OR(B1919="",D1919=""),"",IFERROR(INDEX('Tabla XP'!$B$2:$B$12,MATCH(D1919,'Tabla XP'!$A$2:$A$12,0))*IF(E1919="",1,E1919),0))</f>
        <v/>
      </c>
      <c r="G1919" s="19" t="n"/>
      <c r="H1919" s="19" t="n"/>
    </row>
    <row r="1920">
      <c r="A1920" s="22" t="n"/>
      <c r="B1920" s="19" t="n"/>
      <c r="C1920" s="18">
        <f>IF(B1920="","",IFERROR(INDEX(Jugadores!$C$2:$C$501,MATCH(B1920,Jugadores!$A$2:$A$501,0)),"⚠ ID no existe"))</f>
        <v/>
      </c>
      <c r="D1920" s="19" t="n"/>
      <c r="E1920" s="19" t="n"/>
      <c r="F1920" s="16">
        <f>IF(OR(B1920="",D1920=""),"",IFERROR(INDEX('Tabla XP'!$B$2:$B$12,MATCH(D1920,'Tabla XP'!$A$2:$A$12,0))*IF(E1920="",1,E1920),0))</f>
        <v/>
      </c>
      <c r="G1920" s="19" t="n"/>
      <c r="H1920" s="19" t="n"/>
    </row>
    <row r="1921">
      <c r="A1921" s="22" t="n"/>
      <c r="B1921" s="19" t="n"/>
      <c r="C1921" s="18">
        <f>IF(B1921="","",IFERROR(INDEX(Jugadores!$C$2:$C$501,MATCH(B1921,Jugadores!$A$2:$A$501,0)),"⚠ ID no existe"))</f>
        <v/>
      </c>
      <c r="D1921" s="19" t="n"/>
      <c r="E1921" s="19" t="n"/>
      <c r="F1921" s="16">
        <f>IF(OR(B1921="",D1921=""),"",IFERROR(INDEX('Tabla XP'!$B$2:$B$12,MATCH(D1921,'Tabla XP'!$A$2:$A$12,0))*IF(E1921="",1,E1921),0))</f>
        <v/>
      </c>
      <c r="G1921" s="19" t="n"/>
      <c r="H1921" s="19" t="n"/>
    </row>
    <row r="1922">
      <c r="A1922" s="22" t="n"/>
      <c r="B1922" s="19" t="n"/>
      <c r="C1922" s="18">
        <f>IF(B1922="","",IFERROR(INDEX(Jugadores!$C$2:$C$501,MATCH(B1922,Jugadores!$A$2:$A$501,0)),"⚠ ID no existe"))</f>
        <v/>
      </c>
      <c r="D1922" s="19" t="n"/>
      <c r="E1922" s="19" t="n"/>
      <c r="F1922" s="16">
        <f>IF(OR(B1922="",D1922=""),"",IFERROR(INDEX('Tabla XP'!$B$2:$B$12,MATCH(D1922,'Tabla XP'!$A$2:$A$12,0))*IF(E1922="",1,E1922),0))</f>
        <v/>
      </c>
      <c r="G1922" s="19" t="n"/>
      <c r="H1922" s="19" t="n"/>
    </row>
    <row r="1923">
      <c r="A1923" s="22" t="n"/>
      <c r="B1923" s="19" t="n"/>
      <c r="C1923" s="18">
        <f>IF(B1923="","",IFERROR(INDEX(Jugadores!$C$2:$C$501,MATCH(B1923,Jugadores!$A$2:$A$501,0)),"⚠ ID no existe"))</f>
        <v/>
      </c>
      <c r="D1923" s="19" t="n"/>
      <c r="E1923" s="19" t="n"/>
      <c r="F1923" s="16">
        <f>IF(OR(B1923="",D1923=""),"",IFERROR(INDEX('Tabla XP'!$B$2:$B$12,MATCH(D1923,'Tabla XP'!$A$2:$A$12,0))*IF(E1923="",1,E1923),0))</f>
        <v/>
      </c>
      <c r="G1923" s="19" t="n"/>
      <c r="H1923" s="19" t="n"/>
    </row>
    <row r="1924">
      <c r="A1924" s="22" t="n"/>
      <c r="B1924" s="19" t="n"/>
      <c r="C1924" s="18">
        <f>IF(B1924="","",IFERROR(INDEX(Jugadores!$C$2:$C$501,MATCH(B1924,Jugadores!$A$2:$A$501,0)),"⚠ ID no existe"))</f>
        <v/>
      </c>
      <c r="D1924" s="19" t="n"/>
      <c r="E1924" s="19" t="n"/>
      <c r="F1924" s="16">
        <f>IF(OR(B1924="",D1924=""),"",IFERROR(INDEX('Tabla XP'!$B$2:$B$12,MATCH(D1924,'Tabla XP'!$A$2:$A$12,0))*IF(E1924="",1,E1924),0))</f>
        <v/>
      </c>
      <c r="G1924" s="19" t="n"/>
      <c r="H1924" s="19" t="n"/>
    </row>
    <row r="1925">
      <c r="A1925" s="22" t="n"/>
      <c r="B1925" s="19" t="n"/>
      <c r="C1925" s="18">
        <f>IF(B1925="","",IFERROR(INDEX(Jugadores!$C$2:$C$501,MATCH(B1925,Jugadores!$A$2:$A$501,0)),"⚠ ID no existe"))</f>
        <v/>
      </c>
      <c r="D1925" s="19" t="n"/>
      <c r="E1925" s="19" t="n"/>
      <c r="F1925" s="16">
        <f>IF(OR(B1925="",D1925=""),"",IFERROR(INDEX('Tabla XP'!$B$2:$B$12,MATCH(D1925,'Tabla XP'!$A$2:$A$12,0))*IF(E1925="",1,E1925),0))</f>
        <v/>
      </c>
      <c r="G1925" s="19" t="n"/>
      <c r="H1925" s="19" t="n"/>
    </row>
    <row r="1926">
      <c r="A1926" s="22" t="n"/>
      <c r="B1926" s="19" t="n"/>
      <c r="C1926" s="18">
        <f>IF(B1926="","",IFERROR(INDEX(Jugadores!$C$2:$C$501,MATCH(B1926,Jugadores!$A$2:$A$501,0)),"⚠ ID no existe"))</f>
        <v/>
      </c>
      <c r="D1926" s="19" t="n"/>
      <c r="E1926" s="19" t="n"/>
      <c r="F1926" s="16">
        <f>IF(OR(B1926="",D1926=""),"",IFERROR(INDEX('Tabla XP'!$B$2:$B$12,MATCH(D1926,'Tabla XP'!$A$2:$A$12,0))*IF(E1926="",1,E1926),0))</f>
        <v/>
      </c>
      <c r="G1926" s="19" t="n"/>
      <c r="H1926" s="19" t="n"/>
    </row>
    <row r="1927">
      <c r="A1927" s="22" t="n"/>
      <c r="B1927" s="19" t="n"/>
      <c r="C1927" s="18">
        <f>IF(B1927="","",IFERROR(INDEX(Jugadores!$C$2:$C$501,MATCH(B1927,Jugadores!$A$2:$A$501,0)),"⚠ ID no existe"))</f>
        <v/>
      </c>
      <c r="D1927" s="19" t="n"/>
      <c r="E1927" s="19" t="n"/>
      <c r="F1927" s="16">
        <f>IF(OR(B1927="",D1927=""),"",IFERROR(INDEX('Tabla XP'!$B$2:$B$12,MATCH(D1927,'Tabla XP'!$A$2:$A$12,0))*IF(E1927="",1,E1927),0))</f>
        <v/>
      </c>
      <c r="G1927" s="19" t="n"/>
      <c r="H1927" s="19" t="n"/>
    </row>
    <row r="1928">
      <c r="A1928" s="22" t="n"/>
      <c r="B1928" s="19" t="n"/>
      <c r="C1928" s="18">
        <f>IF(B1928="","",IFERROR(INDEX(Jugadores!$C$2:$C$501,MATCH(B1928,Jugadores!$A$2:$A$501,0)),"⚠ ID no existe"))</f>
        <v/>
      </c>
      <c r="D1928" s="19" t="n"/>
      <c r="E1928" s="19" t="n"/>
      <c r="F1928" s="16">
        <f>IF(OR(B1928="",D1928=""),"",IFERROR(INDEX('Tabla XP'!$B$2:$B$12,MATCH(D1928,'Tabla XP'!$A$2:$A$12,0))*IF(E1928="",1,E1928),0))</f>
        <v/>
      </c>
      <c r="G1928" s="19" t="n"/>
      <c r="H1928" s="19" t="n"/>
    </row>
    <row r="1929">
      <c r="A1929" s="22" t="n"/>
      <c r="B1929" s="19" t="n"/>
      <c r="C1929" s="18">
        <f>IF(B1929="","",IFERROR(INDEX(Jugadores!$C$2:$C$501,MATCH(B1929,Jugadores!$A$2:$A$501,0)),"⚠ ID no existe"))</f>
        <v/>
      </c>
      <c r="D1929" s="19" t="n"/>
      <c r="E1929" s="19" t="n"/>
      <c r="F1929" s="16">
        <f>IF(OR(B1929="",D1929=""),"",IFERROR(INDEX('Tabla XP'!$B$2:$B$12,MATCH(D1929,'Tabla XP'!$A$2:$A$12,0))*IF(E1929="",1,E1929),0))</f>
        <v/>
      </c>
      <c r="G1929" s="19" t="n"/>
      <c r="H1929" s="19" t="n"/>
    </row>
    <row r="1930">
      <c r="A1930" s="22" t="n"/>
      <c r="B1930" s="19" t="n"/>
      <c r="C1930" s="18">
        <f>IF(B1930="","",IFERROR(INDEX(Jugadores!$C$2:$C$501,MATCH(B1930,Jugadores!$A$2:$A$501,0)),"⚠ ID no existe"))</f>
        <v/>
      </c>
      <c r="D1930" s="19" t="n"/>
      <c r="E1930" s="19" t="n"/>
      <c r="F1930" s="16">
        <f>IF(OR(B1930="",D1930=""),"",IFERROR(INDEX('Tabla XP'!$B$2:$B$12,MATCH(D1930,'Tabla XP'!$A$2:$A$12,0))*IF(E1930="",1,E1930),0))</f>
        <v/>
      </c>
      <c r="G1930" s="19" t="n"/>
      <c r="H1930" s="19" t="n"/>
    </row>
    <row r="1931">
      <c r="A1931" s="22" t="n"/>
      <c r="B1931" s="19" t="n"/>
      <c r="C1931" s="18">
        <f>IF(B1931="","",IFERROR(INDEX(Jugadores!$C$2:$C$501,MATCH(B1931,Jugadores!$A$2:$A$501,0)),"⚠ ID no existe"))</f>
        <v/>
      </c>
      <c r="D1931" s="19" t="n"/>
      <c r="E1931" s="19" t="n"/>
      <c r="F1931" s="16">
        <f>IF(OR(B1931="",D1931=""),"",IFERROR(INDEX('Tabla XP'!$B$2:$B$12,MATCH(D1931,'Tabla XP'!$A$2:$A$12,0))*IF(E1931="",1,E1931),0))</f>
        <v/>
      </c>
      <c r="G1931" s="19" t="n"/>
      <c r="H1931" s="19" t="n"/>
    </row>
    <row r="1932">
      <c r="A1932" s="22" t="n"/>
      <c r="B1932" s="19" t="n"/>
      <c r="C1932" s="18">
        <f>IF(B1932="","",IFERROR(INDEX(Jugadores!$C$2:$C$501,MATCH(B1932,Jugadores!$A$2:$A$501,0)),"⚠ ID no existe"))</f>
        <v/>
      </c>
      <c r="D1932" s="19" t="n"/>
      <c r="E1932" s="19" t="n"/>
      <c r="F1932" s="16">
        <f>IF(OR(B1932="",D1932=""),"",IFERROR(INDEX('Tabla XP'!$B$2:$B$12,MATCH(D1932,'Tabla XP'!$A$2:$A$12,0))*IF(E1932="",1,E1932),0))</f>
        <v/>
      </c>
      <c r="G1932" s="19" t="n"/>
      <c r="H1932" s="19" t="n"/>
    </row>
    <row r="1933">
      <c r="A1933" s="22" t="n"/>
      <c r="B1933" s="19" t="n"/>
      <c r="C1933" s="18">
        <f>IF(B1933="","",IFERROR(INDEX(Jugadores!$C$2:$C$501,MATCH(B1933,Jugadores!$A$2:$A$501,0)),"⚠ ID no existe"))</f>
        <v/>
      </c>
      <c r="D1933" s="19" t="n"/>
      <c r="E1933" s="19" t="n"/>
      <c r="F1933" s="16">
        <f>IF(OR(B1933="",D1933=""),"",IFERROR(INDEX('Tabla XP'!$B$2:$B$12,MATCH(D1933,'Tabla XP'!$A$2:$A$12,0))*IF(E1933="",1,E1933),0))</f>
        <v/>
      </c>
      <c r="G1933" s="19" t="n"/>
      <c r="H1933" s="19" t="n"/>
    </row>
    <row r="1934">
      <c r="A1934" s="22" t="n"/>
      <c r="B1934" s="19" t="n"/>
      <c r="C1934" s="18">
        <f>IF(B1934="","",IFERROR(INDEX(Jugadores!$C$2:$C$501,MATCH(B1934,Jugadores!$A$2:$A$501,0)),"⚠ ID no existe"))</f>
        <v/>
      </c>
      <c r="D1934" s="19" t="n"/>
      <c r="E1934" s="19" t="n"/>
      <c r="F1934" s="16">
        <f>IF(OR(B1934="",D1934=""),"",IFERROR(INDEX('Tabla XP'!$B$2:$B$12,MATCH(D1934,'Tabla XP'!$A$2:$A$12,0))*IF(E1934="",1,E1934),0))</f>
        <v/>
      </c>
      <c r="G1934" s="19" t="n"/>
      <c r="H1934" s="19" t="n"/>
    </row>
    <row r="1935">
      <c r="A1935" s="22" t="n"/>
      <c r="B1935" s="19" t="n"/>
      <c r="C1935" s="18">
        <f>IF(B1935="","",IFERROR(INDEX(Jugadores!$C$2:$C$501,MATCH(B1935,Jugadores!$A$2:$A$501,0)),"⚠ ID no existe"))</f>
        <v/>
      </c>
      <c r="D1935" s="19" t="n"/>
      <c r="E1935" s="19" t="n"/>
      <c r="F1935" s="16">
        <f>IF(OR(B1935="",D1935=""),"",IFERROR(INDEX('Tabla XP'!$B$2:$B$12,MATCH(D1935,'Tabla XP'!$A$2:$A$12,0))*IF(E1935="",1,E1935),0))</f>
        <v/>
      </c>
      <c r="G1935" s="19" t="n"/>
      <c r="H1935" s="19" t="n"/>
    </row>
    <row r="1936">
      <c r="A1936" s="22" t="n"/>
      <c r="B1936" s="19" t="n"/>
      <c r="C1936" s="18">
        <f>IF(B1936="","",IFERROR(INDEX(Jugadores!$C$2:$C$501,MATCH(B1936,Jugadores!$A$2:$A$501,0)),"⚠ ID no existe"))</f>
        <v/>
      </c>
      <c r="D1936" s="19" t="n"/>
      <c r="E1936" s="19" t="n"/>
      <c r="F1936" s="16">
        <f>IF(OR(B1936="",D1936=""),"",IFERROR(INDEX('Tabla XP'!$B$2:$B$12,MATCH(D1936,'Tabla XP'!$A$2:$A$12,0))*IF(E1936="",1,E1936),0))</f>
        <v/>
      </c>
      <c r="G1936" s="19" t="n"/>
      <c r="H1936" s="19" t="n"/>
    </row>
    <row r="1937">
      <c r="A1937" s="22" t="n"/>
      <c r="B1937" s="19" t="n"/>
      <c r="C1937" s="18">
        <f>IF(B1937="","",IFERROR(INDEX(Jugadores!$C$2:$C$501,MATCH(B1937,Jugadores!$A$2:$A$501,0)),"⚠ ID no existe"))</f>
        <v/>
      </c>
      <c r="D1937" s="19" t="n"/>
      <c r="E1937" s="19" t="n"/>
      <c r="F1937" s="16">
        <f>IF(OR(B1937="",D1937=""),"",IFERROR(INDEX('Tabla XP'!$B$2:$B$12,MATCH(D1937,'Tabla XP'!$A$2:$A$12,0))*IF(E1937="",1,E1937),0))</f>
        <v/>
      </c>
      <c r="G1937" s="19" t="n"/>
      <c r="H1937" s="19" t="n"/>
    </row>
    <row r="1938">
      <c r="A1938" s="22" t="n"/>
      <c r="B1938" s="19" t="n"/>
      <c r="C1938" s="18">
        <f>IF(B1938="","",IFERROR(INDEX(Jugadores!$C$2:$C$501,MATCH(B1938,Jugadores!$A$2:$A$501,0)),"⚠ ID no existe"))</f>
        <v/>
      </c>
      <c r="D1938" s="19" t="n"/>
      <c r="E1938" s="19" t="n"/>
      <c r="F1938" s="16">
        <f>IF(OR(B1938="",D1938=""),"",IFERROR(INDEX('Tabla XP'!$B$2:$B$12,MATCH(D1938,'Tabla XP'!$A$2:$A$12,0))*IF(E1938="",1,E1938),0))</f>
        <v/>
      </c>
      <c r="G1938" s="19" t="n"/>
      <c r="H1938" s="19" t="n"/>
    </row>
    <row r="1939">
      <c r="A1939" s="22" t="n"/>
      <c r="B1939" s="19" t="n"/>
      <c r="C1939" s="18">
        <f>IF(B1939="","",IFERROR(INDEX(Jugadores!$C$2:$C$501,MATCH(B1939,Jugadores!$A$2:$A$501,0)),"⚠ ID no existe"))</f>
        <v/>
      </c>
      <c r="D1939" s="19" t="n"/>
      <c r="E1939" s="19" t="n"/>
      <c r="F1939" s="16">
        <f>IF(OR(B1939="",D1939=""),"",IFERROR(INDEX('Tabla XP'!$B$2:$B$12,MATCH(D1939,'Tabla XP'!$A$2:$A$12,0))*IF(E1939="",1,E1939),0))</f>
        <v/>
      </c>
      <c r="G1939" s="19" t="n"/>
      <c r="H1939" s="19" t="n"/>
    </row>
    <row r="1940">
      <c r="A1940" s="22" t="n"/>
      <c r="B1940" s="19" t="n"/>
      <c r="C1940" s="18">
        <f>IF(B1940="","",IFERROR(INDEX(Jugadores!$C$2:$C$501,MATCH(B1940,Jugadores!$A$2:$A$501,0)),"⚠ ID no existe"))</f>
        <v/>
      </c>
      <c r="D1940" s="19" t="n"/>
      <c r="E1940" s="19" t="n"/>
      <c r="F1940" s="16">
        <f>IF(OR(B1940="",D1940=""),"",IFERROR(INDEX('Tabla XP'!$B$2:$B$12,MATCH(D1940,'Tabla XP'!$A$2:$A$12,0))*IF(E1940="",1,E1940),0))</f>
        <v/>
      </c>
      <c r="G1940" s="19" t="n"/>
      <c r="H1940" s="19" t="n"/>
    </row>
    <row r="1941">
      <c r="A1941" s="22" t="n"/>
      <c r="B1941" s="19" t="n"/>
      <c r="C1941" s="18">
        <f>IF(B1941="","",IFERROR(INDEX(Jugadores!$C$2:$C$501,MATCH(B1941,Jugadores!$A$2:$A$501,0)),"⚠ ID no existe"))</f>
        <v/>
      </c>
      <c r="D1941" s="19" t="n"/>
      <c r="E1941" s="19" t="n"/>
      <c r="F1941" s="16">
        <f>IF(OR(B1941="",D1941=""),"",IFERROR(INDEX('Tabla XP'!$B$2:$B$12,MATCH(D1941,'Tabla XP'!$A$2:$A$12,0))*IF(E1941="",1,E1941),0))</f>
        <v/>
      </c>
      <c r="G1941" s="19" t="n"/>
      <c r="H1941" s="19" t="n"/>
    </row>
    <row r="1942">
      <c r="A1942" s="22" t="n"/>
      <c r="B1942" s="19" t="n"/>
      <c r="C1942" s="18">
        <f>IF(B1942="","",IFERROR(INDEX(Jugadores!$C$2:$C$501,MATCH(B1942,Jugadores!$A$2:$A$501,0)),"⚠ ID no existe"))</f>
        <v/>
      </c>
      <c r="D1942" s="19" t="n"/>
      <c r="E1942" s="19" t="n"/>
      <c r="F1942" s="16">
        <f>IF(OR(B1942="",D1942=""),"",IFERROR(INDEX('Tabla XP'!$B$2:$B$12,MATCH(D1942,'Tabla XP'!$A$2:$A$12,0))*IF(E1942="",1,E1942),0))</f>
        <v/>
      </c>
      <c r="G1942" s="19" t="n"/>
      <c r="H1942" s="19" t="n"/>
    </row>
    <row r="1943">
      <c r="A1943" s="22" t="n"/>
      <c r="B1943" s="19" t="n"/>
      <c r="C1943" s="18">
        <f>IF(B1943="","",IFERROR(INDEX(Jugadores!$C$2:$C$501,MATCH(B1943,Jugadores!$A$2:$A$501,0)),"⚠ ID no existe"))</f>
        <v/>
      </c>
      <c r="D1943" s="19" t="n"/>
      <c r="E1943" s="19" t="n"/>
      <c r="F1943" s="16">
        <f>IF(OR(B1943="",D1943=""),"",IFERROR(INDEX('Tabla XP'!$B$2:$B$12,MATCH(D1943,'Tabla XP'!$A$2:$A$12,0))*IF(E1943="",1,E1943),0))</f>
        <v/>
      </c>
      <c r="G1943" s="19" t="n"/>
      <c r="H1943" s="19" t="n"/>
    </row>
    <row r="1944">
      <c r="A1944" s="22" t="n"/>
      <c r="B1944" s="19" t="n"/>
      <c r="C1944" s="18">
        <f>IF(B1944="","",IFERROR(INDEX(Jugadores!$C$2:$C$501,MATCH(B1944,Jugadores!$A$2:$A$501,0)),"⚠ ID no existe"))</f>
        <v/>
      </c>
      <c r="D1944" s="19" t="n"/>
      <c r="E1944" s="19" t="n"/>
      <c r="F1944" s="16">
        <f>IF(OR(B1944="",D1944=""),"",IFERROR(INDEX('Tabla XP'!$B$2:$B$12,MATCH(D1944,'Tabla XP'!$A$2:$A$12,0))*IF(E1944="",1,E1944),0))</f>
        <v/>
      </c>
      <c r="G1944" s="19" t="n"/>
      <c r="H1944" s="19" t="n"/>
    </row>
    <row r="1945">
      <c r="A1945" s="22" t="n"/>
      <c r="B1945" s="19" t="n"/>
      <c r="C1945" s="18">
        <f>IF(B1945="","",IFERROR(INDEX(Jugadores!$C$2:$C$501,MATCH(B1945,Jugadores!$A$2:$A$501,0)),"⚠ ID no existe"))</f>
        <v/>
      </c>
      <c r="D1945" s="19" t="n"/>
      <c r="E1945" s="19" t="n"/>
      <c r="F1945" s="16">
        <f>IF(OR(B1945="",D1945=""),"",IFERROR(INDEX('Tabla XP'!$B$2:$B$12,MATCH(D1945,'Tabla XP'!$A$2:$A$12,0))*IF(E1945="",1,E1945),0))</f>
        <v/>
      </c>
      <c r="G1945" s="19" t="n"/>
      <c r="H1945" s="19" t="n"/>
    </row>
    <row r="1946">
      <c r="A1946" s="22" t="n"/>
      <c r="B1946" s="19" t="n"/>
      <c r="C1946" s="18">
        <f>IF(B1946="","",IFERROR(INDEX(Jugadores!$C$2:$C$501,MATCH(B1946,Jugadores!$A$2:$A$501,0)),"⚠ ID no existe"))</f>
        <v/>
      </c>
      <c r="D1946" s="19" t="n"/>
      <c r="E1946" s="19" t="n"/>
      <c r="F1946" s="16">
        <f>IF(OR(B1946="",D1946=""),"",IFERROR(INDEX('Tabla XP'!$B$2:$B$12,MATCH(D1946,'Tabla XP'!$A$2:$A$12,0))*IF(E1946="",1,E1946),0))</f>
        <v/>
      </c>
      <c r="G1946" s="19" t="n"/>
      <c r="H1946" s="19" t="n"/>
    </row>
    <row r="1947">
      <c r="A1947" s="22" t="n"/>
      <c r="B1947" s="19" t="n"/>
      <c r="C1947" s="18">
        <f>IF(B1947="","",IFERROR(INDEX(Jugadores!$C$2:$C$501,MATCH(B1947,Jugadores!$A$2:$A$501,0)),"⚠ ID no existe"))</f>
        <v/>
      </c>
      <c r="D1947" s="19" t="n"/>
      <c r="E1947" s="19" t="n"/>
      <c r="F1947" s="16">
        <f>IF(OR(B1947="",D1947=""),"",IFERROR(INDEX('Tabla XP'!$B$2:$B$12,MATCH(D1947,'Tabla XP'!$A$2:$A$12,0))*IF(E1947="",1,E1947),0))</f>
        <v/>
      </c>
      <c r="G1947" s="19" t="n"/>
      <c r="H1947" s="19" t="n"/>
    </row>
    <row r="1948">
      <c r="A1948" s="22" t="n"/>
      <c r="B1948" s="19" t="n"/>
      <c r="C1948" s="18">
        <f>IF(B1948="","",IFERROR(INDEX(Jugadores!$C$2:$C$501,MATCH(B1948,Jugadores!$A$2:$A$501,0)),"⚠ ID no existe"))</f>
        <v/>
      </c>
      <c r="D1948" s="19" t="n"/>
      <c r="E1948" s="19" t="n"/>
      <c r="F1948" s="16">
        <f>IF(OR(B1948="",D1948=""),"",IFERROR(INDEX('Tabla XP'!$B$2:$B$12,MATCH(D1948,'Tabla XP'!$A$2:$A$12,0))*IF(E1948="",1,E1948),0))</f>
        <v/>
      </c>
      <c r="G1948" s="19" t="n"/>
      <c r="H1948" s="19" t="n"/>
    </row>
    <row r="1949">
      <c r="A1949" s="22" t="n"/>
      <c r="B1949" s="19" t="n"/>
      <c r="C1949" s="18">
        <f>IF(B1949="","",IFERROR(INDEX(Jugadores!$C$2:$C$501,MATCH(B1949,Jugadores!$A$2:$A$501,0)),"⚠ ID no existe"))</f>
        <v/>
      </c>
      <c r="D1949" s="19" t="n"/>
      <c r="E1949" s="19" t="n"/>
      <c r="F1949" s="16">
        <f>IF(OR(B1949="",D1949=""),"",IFERROR(INDEX('Tabla XP'!$B$2:$B$12,MATCH(D1949,'Tabla XP'!$A$2:$A$12,0))*IF(E1949="",1,E1949),0))</f>
        <v/>
      </c>
      <c r="G1949" s="19" t="n"/>
      <c r="H1949" s="19" t="n"/>
    </row>
    <row r="1950">
      <c r="A1950" s="22" t="n"/>
      <c r="B1950" s="19" t="n"/>
      <c r="C1950" s="18">
        <f>IF(B1950="","",IFERROR(INDEX(Jugadores!$C$2:$C$501,MATCH(B1950,Jugadores!$A$2:$A$501,0)),"⚠ ID no existe"))</f>
        <v/>
      </c>
      <c r="D1950" s="19" t="n"/>
      <c r="E1950" s="19" t="n"/>
      <c r="F1950" s="16">
        <f>IF(OR(B1950="",D1950=""),"",IFERROR(INDEX('Tabla XP'!$B$2:$B$12,MATCH(D1950,'Tabla XP'!$A$2:$A$12,0))*IF(E1950="",1,E1950),0))</f>
        <v/>
      </c>
      <c r="G1950" s="19" t="n"/>
      <c r="H1950" s="19" t="n"/>
    </row>
    <row r="1951">
      <c r="A1951" s="22" t="n"/>
      <c r="B1951" s="19" t="n"/>
      <c r="C1951" s="18">
        <f>IF(B1951="","",IFERROR(INDEX(Jugadores!$C$2:$C$501,MATCH(B1951,Jugadores!$A$2:$A$501,0)),"⚠ ID no existe"))</f>
        <v/>
      </c>
      <c r="D1951" s="19" t="n"/>
      <c r="E1951" s="19" t="n"/>
      <c r="F1951" s="16">
        <f>IF(OR(B1951="",D1951=""),"",IFERROR(INDEX('Tabla XP'!$B$2:$B$12,MATCH(D1951,'Tabla XP'!$A$2:$A$12,0))*IF(E1951="",1,E1951),0))</f>
        <v/>
      </c>
      <c r="G1951" s="19" t="n"/>
      <c r="H1951" s="19" t="n"/>
    </row>
    <row r="1952">
      <c r="A1952" s="22" t="n"/>
      <c r="B1952" s="19" t="n"/>
      <c r="C1952" s="18">
        <f>IF(B1952="","",IFERROR(INDEX(Jugadores!$C$2:$C$501,MATCH(B1952,Jugadores!$A$2:$A$501,0)),"⚠ ID no existe"))</f>
        <v/>
      </c>
      <c r="D1952" s="19" t="n"/>
      <c r="E1952" s="19" t="n"/>
      <c r="F1952" s="16">
        <f>IF(OR(B1952="",D1952=""),"",IFERROR(INDEX('Tabla XP'!$B$2:$B$12,MATCH(D1952,'Tabla XP'!$A$2:$A$12,0))*IF(E1952="",1,E1952),0))</f>
        <v/>
      </c>
      <c r="G1952" s="19" t="n"/>
      <c r="H1952" s="19" t="n"/>
    </row>
    <row r="1953">
      <c r="A1953" s="22" t="n"/>
      <c r="B1953" s="19" t="n"/>
      <c r="C1953" s="18">
        <f>IF(B1953="","",IFERROR(INDEX(Jugadores!$C$2:$C$501,MATCH(B1953,Jugadores!$A$2:$A$501,0)),"⚠ ID no existe"))</f>
        <v/>
      </c>
      <c r="D1953" s="19" t="n"/>
      <c r="E1953" s="19" t="n"/>
      <c r="F1953" s="16">
        <f>IF(OR(B1953="",D1953=""),"",IFERROR(INDEX('Tabla XP'!$B$2:$B$12,MATCH(D1953,'Tabla XP'!$A$2:$A$12,0))*IF(E1953="",1,E1953),0))</f>
        <v/>
      </c>
      <c r="G1953" s="19" t="n"/>
      <c r="H1953" s="19" t="n"/>
    </row>
    <row r="1954">
      <c r="A1954" s="22" t="n"/>
      <c r="B1954" s="19" t="n"/>
      <c r="C1954" s="18">
        <f>IF(B1954="","",IFERROR(INDEX(Jugadores!$C$2:$C$501,MATCH(B1954,Jugadores!$A$2:$A$501,0)),"⚠ ID no existe"))</f>
        <v/>
      </c>
      <c r="D1954" s="19" t="n"/>
      <c r="E1954" s="19" t="n"/>
      <c r="F1954" s="16">
        <f>IF(OR(B1954="",D1954=""),"",IFERROR(INDEX('Tabla XP'!$B$2:$B$12,MATCH(D1954,'Tabla XP'!$A$2:$A$12,0))*IF(E1954="",1,E1954),0))</f>
        <v/>
      </c>
      <c r="G1954" s="19" t="n"/>
      <c r="H1954" s="19" t="n"/>
    </row>
    <row r="1955">
      <c r="A1955" s="22" t="n"/>
      <c r="B1955" s="19" t="n"/>
      <c r="C1955" s="18">
        <f>IF(B1955="","",IFERROR(INDEX(Jugadores!$C$2:$C$501,MATCH(B1955,Jugadores!$A$2:$A$501,0)),"⚠ ID no existe"))</f>
        <v/>
      </c>
      <c r="D1955" s="19" t="n"/>
      <c r="E1955" s="19" t="n"/>
      <c r="F1955" s="16">
        <f>IF(OR(B1955="",D1955=""),"",IFERROR(INDEX('Tabla XP'!$B$2:$B$12,MATCH(D1955,'Tabla XP'!$A$2:$A$12,0))*IF(E1955="",1,E1955),0))</f>
        <v/>
      </c>
      <c r="G1955" s="19" t="n"/>
      <c r="H1955" s="19" t="n"/>
    </row>
    <row r="1956">
      <c r="A1956" s="22" t="n"/>
      <c r="B1956" s="19" t="n"/>
      <c r="C1956" s="18">
        <f>IF(B1956="","",IFERROR(INDEX(Jugadores!$C$2:$C$501,MATCH(B1956,Jugadores!$A$2:$A$501,0)),"⚠ ID no existe"))</f>
        <v/>
      </c>
      <c r="D1956" s="19" t="n"/>
      <c r="E1956" s="19" t="n"/>
      <c r="F1956" s="16">
        <f>IF(OR(B1956="",D1956=""),"",IFERROR(INDEX('Tabla XP'!$B$2:$B$12,MATCH(D1956,'Tabla XP'!$A$2:$A$12,0))*IF(E1956="",1,E1956),0))</f>
        <v/>
      </c>
      <c r="G1956" s="19" t="n"/>
      <c r="H1956" s="19" t="n"/>
    </row>
    <row r="1957">
      <c r="A1957" s="22" t="n"/>
      <c r="B1957" s="19" t="n"/>
      <c r="C1957" s="18">
        <f>IF(B1957="","",IFERROR(INDEX(Jugadores!$C$2:$C$501,MATCH(B1957,Jugadores!$A$2:$A$501,0)),"⚠ ID no existe"))</f>
        <v/>
      </c>
      <c r="D1957" s="19" t="n"/>
      <c r="E1957" s="19" t="n"/>
      <c r="F1957" s="16">
        <f>IF(OR(B1957="",D1957=""),"",IFERROR(INDEX('Tabla XP'!$B$2:$B$12,MATCH(D1957,'Tabla XP'!$A$2:$A$12,0))*IF(E1957="",1,E1957),0))</f>
        <v/>
      </c>
      <c r="G1957" s="19" t="n"/>
      <c r="H1957" s="19" t="n"/>
    </row>
    <row r="1958">
      <c r="A1958" s="22" t="n"/>
      <c r="B1958" s="19" t="n"/>
      <c r="C1958" s="18">
        <f>IF(B1958="","",IFERROR(INDEX(Jugadores!$C$2:$C$501,MATCH(B1958,Jugadores!$A$2:$A$501,0)),"⚠ ID no existe"))</f>
        <v/>
      </c>
      <c r="D1958" s="19" t="n"/>
      <c r="E1958" s="19" t="n"/>
      <c r="F1958" s="16">
        <f>IF(OR(B1958="",D1958=""),"",IFERROR(INDEX('Tabla XP'!$B$2:$B$12,MATCH(D1958,'Tabla XP'!$A$2:$A$12,0))*IF(E1958="",1,E1958),0))</f>
        <v/>
      </c>
      <c r="G1958" s="19" t="n"/>
      <c r="H1958" s="19" t="n"/>
    </row>
    <row r="1959">
      <c r="A1959" s="22" t="n"/>
      <c r="B1959" s="19" t="n"/>
      <c r="C1959" s="18">
        <f>IF(B1959="","",IFERROR(INDEX(Jugadores!$C$2:$C$501,MATCH(B1959,Jugadores!$A$2:$A$501,0)),"⚠ ID no existe"))</f>
        <v/>
      </c>
      <c r="D1959" s="19" t="n"/>
      <c r="E1959" s="19" t="n"/>
      <c r="F1959" s="16">
        <f>IF(OR(B1959="",D1959=""),"",IFERROR(INDEX('Tabla XP'!$B$2:$B$12,MATCH(D1959,'Tabla XP'!$A$2:$A$12,0))*IF(E1959="",1,E1959),0))</f>
        <v/>
      </c>
      <c r="G1959" s="19" t="n"/>
      <c r="H1959" s="19" t="n"/>
    </row>
    <row r="1960">
      <c r="A1960" s="22" t="n"/>
      <c r="B1960" s="19" t="n"/>
      <c r="C1960" s="18">
        <f>IF(B1960="","",IFERROR(INDEX(Jugadores!$C$2:$C$501,MATCH(B1960,Jugadores!$A$2:$A$501,0)),"⚠ ID no existe"))</f>
        <v/>
      </c>
      <c r="D1960" s="19" t="n"/>
      <c r="E1960" s="19" t="n"/>
      <c r="F1960" s="16">
        <f>IF(OR(B1960="",D1960=""),"",IFERROR(INDEX('Tabla XP'!$B$2:$B$12,MATCH(D1960,'Tabla XP'!$A$2:$A$12,0))*IF(E1960="",1,E1960),0))</f>
        <v/>
      </c>
      <c r="G1960" s="19" t="n"/>
      <c r="H1960" s="19" t="n"/>
    </row>
    <row r="1961">
      <c r="A1961" s="22" t="n"/>
      <c r="B1961" s="19" t="n"/>
      <c r="C1961" s="18">
        <f>IF(B1961="","",IFERROR(INDEX(Jugadores!$C$2:$C$501,MATCH(B1961,Jugadores!$A$2:$A$501,0)),"⚠ ID no existe"))</f>
        <v/>
      </c>
      <c r="D1961" s="19" t="n"/>
      <c r="E1961" s="19" t="n"/>
      <c r="F1961" s="16">
        <f>IF(OR(B1961="",D1961=""),"",IFERROR(INDEX('Tabla XP'!$B$2:$B$12,MATCH(D1961,'Tabla XP'!$A$2:$A$12,0))*IF(E1961="",1,E1961),0))</f>
        <v/>
      </c>
      <c r="G1961" s="19" t="n"/>
      <c r="H1961" s="19" t="n"/>
    </row>
    <row r="1962">
      <c r="A1962" s="22" t="n"/>
      <c r="B1962" s="19" t="n"/>
      <c r="C1962" s="18">
        <f>IF(B1962="","",IFERROR(INDEX(Jugadores!$C$2:$C$501,MATCH(B1962,Jugadores!$A$2:$A$501,0)),"⚠ ID no existe"))</f>
        <v/>
      </c>
      <c r="D1962" s="19" t="n"/>
      <c r="E1962" s="19" t="n"/>
      <c r="F1962" s="16">
        <f>IF(OR(B1962="",D1962=""),"",IFERROR(INDEX('Tabla XP'!$B$2:$B$12,MATCH(D1962,'Tabla XP'!$A$2:$A$12,0))*IF(E1962="",1,E1962),0))</f>
        <v/>
      </c>
      <c r="G1962" s="19" t="n"/>
      <c r="H1962" s="19" t="n"/>
    </row>
    <row r="1963">
      <c r="A1963" s="22" t="n"/>
      <c r="B1963" s="19" t="n"/>
      <c r="C1963" s="18">
        <f>IF(B1963="","",IFERROR(INDEX(Jugadores!$C$2:$C$501,MATCH(B1963,Jugadores!$A$2:$A$501,0)),"⚠ ID no existe"))</f>
        <v/>
      </c>
      <c r="D1963" s="19" t="n"/>
      <c r="E1963" s="19" t="n"/>
      <c r="F1963" s="16">
        <f>IF(OR(B1963="",D1963=""),"",IFERROR(INDEX('Tabla XP'!$B$2:$B$12,MATCH(D1963,'Tabla XP'!$A$2:$A$12,0))*IF(E1963="",1,E1963),0))</f>
        <v/>
      </c>
      <c r="G1963" s="19" t="n"/>
      <c r="H1963" s="19" t="n"/>
    </row>
    <row r="1964">
      <c r="A1964" s="22" t="n"/>
      <c r="B1964" s="19" t="n"/>
      <c r="C1964" s="18">
        <f>IF(B1964="","",IFERROR(INDEX(Jugadores!$C$2:$C$501,MATCH(B1964,Jugadores!$A$2:$A$501,0)),"⚠ ID no existe"))</f>
        <v/>
      </c>
      <c r="D1964" s="19" t="n"/>
      <c r="E1964" s="19" t="n"/>
      <c r="F1964" s="16">
        <f>IF(OR(B1964="",D1964=""),"",IFERROR(INDEX('Tabla XP'!$B$2:$B$12,MATCH(D1964,'Tabla XP'!$A$2:$A$12,0))*IF(E1964="",1,E1964),0))</f>
        <v/>
      </c>
      <c r="G1964" s="19" t="n"/>
      <c r="H1964" s="19" t="n"/>
    </row>
    <row r="1965">
      <c r="A1965" s="22" t="n"/>
      <c r="B1965" s="19" t="n"/>
      <c r="C1965" s="18">
        <f>IF(B1965="","",IFERROR(INDEX(Jugadores!$C$2:$C$501,MATCH(B1965,Jugadores!$A$2:$A$501,0)),"⚠ ID no existe"))</f>
        <v/>
      </c>
      <c r="D1965" s="19" t="n"/>
      <c r="E1965" s="19" t="n"/>
      <c r="F1965" s="16">
        <f>IF(OR(B1965="",D1965=""),"",IFERROR(INDEX('Tabla XP'!$B$2:$B$12,MATCH(D1965,'Tabla XP'!$A$2:$A$12,0))*IF(E1965="",1,E1965),0))</f>
        <v/>
      </c>
      <c r="G1965" s="19" t="n"/>
      <c r="H1965" s="19" t="n"/>
    </row>
    <row r="1966">
      <c r="A1966" s="22" t="n"/>
      <c r="B1966" s="19" t="n"/>
      <c r="C1966" s="18">
        <f>IF(B1966="","",IFERROR(INDEX(Jugadores!$C$2:$C$501,MATCH(B1966,Jugadores!$A$2:$A$501,0)),"⚠ ID no existe"))</f>
        <v/>
      </c>
      <c r="D1966" s="19" t="n"/>
      <c r="E1966" s="19" t="n"/>
      <c r="F1966" s="16">
        <f>IF(OR(B1966="",D1966=""),"",IFERROR(INDEX('Tabla XP'!$B$2:$B$12,MATCH(D1966,'Tabla XP'!$A$2:$A$12,0))*IF(E1966="",1,E1966),0))</f>
        <v/>
      </c>
      <c r="G1966" s="19" t="n"/>
      <c r="H1966" s="19" t="n"/>
    </row>
    <row r="1967">
      <c r="A1967" s="22" t="n"/>
      <c r="B1967" s="19" t="n"/>
      <c r="C1967" s="18">
        <f>IF(B1967="","",IFERROR(INDEX(Jugadores!$C$2:$C$501,MATCH(B1967,Jugadores!$A$2:$A$501,0)),"⚠ ID no existe"))</f>
        <v/>
      </c>
      <c r="D1967" s="19" t="n"/>
      <c r="E1967" s="19" t="n"/>
      <c r="F1967" s="16">
        <f>IF(OR(B1967="",D1967=""),"",IFERROR(INDEX('Tabla XP'!$B$2:$B$12,MATCH(D1967,'Tabla XP'!$A$2:$A$12,0))*IF(E1967="",1,E1967),0))</f>
        <v/>
      </c>
      <c r="G1967" s="19" t="n"/>
      <c r="H1967" s="19" t="n"/>
    </row>
    <row r="1968">
      <c r="A1968" s="22" t="n"/>
      <c r="B1968" s="19" t="n"/>
      <c r="C1968" s="18">
        <f>IF(B1968="","",IFERROR(INDEX(Jugadores!$C$2:$C$501,MATCH(B1968,Jugadores!$A$2:$A$501,0)),"⚠ ID no existe"))</f>
        <v/>
      </c>
      <c r="D1968" s="19" t="n"/>
      <c r="E1968" s="19" t="n"/>
      <c r="F1968" s="16">
        <f>IF(OR(B1968="",D1968=""),"",IFERROR(INDEX('Tabla XP'!$B$2:$B$12,MATCH(D1968,'Tabla XP'!$A$2:$A$12,0))*IF(E1968="",1,E1968),0))</f>
        <v/>
      </c>
      <c r="G1968" s="19" t="n"/>
      <c r="H1968" s="19" t="n"/>
    </row>
    <row r="1969">
      <c r="A1969" s="22" t="n"/>
      <c r="B1969" s="19" t="n"/>
      <c r="C1969" s="18">
        <f>IF(B1969="","",IFERROR(INDEX(Jugadores!$C$2:$C$501,MATCH(B1969,Jugadores!$A$2:$A$501,0)),"⚠ ID no existe"))</f>
        <v/>
      </c>
      <c r="D1969" s="19" t="n"/>
      <c r="E1969" s="19" t="n"/>
      <c r="F1969" s="16">
        <f>IF(OR(B1969="",D1969=""),"",IFERROR(INDEX('Tabla XP'!$B$2:$B$12,MATCH(D1969,'Tabla XP'!$A$2:$A$12,0))*IF(E1969="",1,E1969),0))</f>
        <v/>
      </c>
      <c r="G1969" s="19" t="n"/>
      <c r="H1969" s="19" t="n"/>
    </row>
    <row r="1970">
      <c r="A1970" s="22" t="n"/>
      <c r="B1970" s="19" t="n"/>
      <c r="C1970" s="18">
        <f>IF(B1970="","",IFERROR(INDEX(Jugadores!$C$2:$C$501,MATCH(B1970,Jugadores!$A$2:$A$501,0)),"⚠ ID no existe"))</f>
        <v/>
      </c>
      <c r="D1970" s="19" t="n"/>
      <c r="E1970" s="19" t="n"/>
      <c r="F1970" s="16">
        <f>IF(OR(B1970="",D1970=""),"",IFERROR(INDEX('Tabla XP'!$B$2:$B$12,MATCH(D1970,'Tabla XP'!$A$2:$A$12,0))*IF(E1970="",1,E1970),0))</f>
        <v/>
      </c>
      <c r="G1970" s="19" t="n"/>
      <c r="H1970" s="19" t="n"/>
    </row>
    <row r="1971">
      <c r="A1971" s="22" t="n"/>
      <c r="B1971" s="19" t="n"/>
      <c r="C1971" s="18">
        <f>IF(B1971="","",IFERROR(INDEX(Jugadores!$C$2:$C$501,MATCH(B1971,Jugadores!$A$2:$A$501,0)),"⚠ ID no existe"))</f>
        <v/>
      </c>
      <c r="D1971" s="19" t="n"/>
      <c r="E1971" s="19" t="n"/>
      <c r="F1971" s="16">
        <f>IF(OR(B1971="",D1971=""),"",IFERROR(INDEX('Tabla XP'!$B$2:$B$12,MATCH(D1971,'Tabla XP'!$A$2:$A$12,0))*IF(E1971="",1,E1971),0))</f>
        <v/>
      </c>
      <c r="G1971" s="19" t="n"/>
      <c r="H1971" s="19" t="n"/>
    </row>
    <row r="1972">
      <c r="A1972" s="22" t="n"/>
      <c r="B1972" s="19" t="n"/>
      <c r="C1972" s="18">
        <f>IF(B1972="","",IFERROR(INDEX(Jugadores!$C$2:$C$501,MATCH(B1972,Jugadores!$A$2:$A$501,0)),"⚠ ID no existe"))</f>
        <v/>
      </c>
      <c r="D1972" s="19" t="n"/>
      <c r="E1972" s="19" t="n"/>
      <c r="F1972" s="16">
        <f>IF(OR(B1972="",D1972=""),"",IFERROR(INDEX('Tabla XP'!$B$2:$B$12,MATCH(D1972,'Tabla XP'!$A$2:$A$12,0))*IF(E1972="",1,E1972),0))</f>
        <v/>
      </c>
      <c r="G1972" s="19" t="n"/>
      <c r="H1972" s="19" t="n"/>
    </row>
    <row r="1973">
      <c r="A1973" s="22" t="n"/>
      <c r="B1973" s="19" t="n"/>
      <c r="C1973" s="18">
        <f>IF(B1973="","",IFERROR(INDEX(Jugadores!$C$2:$C$501,MATCH(B1973,Jugadores!$A$2:$A$501,0)),"⚠ ID no existe"))</f>
        <v/>
      </c>
      <c r="D1973" s="19" t="n"/>
      <c r="E1973" s="19" t="n"/>
      <c r="F1973" s="16">
        <f>IF(OR(B1973="",D1973=""),"",IFERROR(INDEX('Tabla XP'!$B$2:$B$12,MATCH(D1973,'Tabla XP'!$A$2:$A$12,0))*IF(E1973="",1,E1973),0))</f>
        <v/>
      </c>
      <c r="G1973" s="19" t="n"/>
      <c r="H1973" s="19" t="n"/>
    </row>
    <row r="1974">
      <c r="A1974" s="22" t="n"/>
      <c r="B1974" s="19" t="n"/>
      <c r="C1974" s="18">
        <f>IF(B1974="","",IFERROR(INDEX(Jugadores!$C$2:$C$501,MATCH(B1974,Jugadores!$A$2:$A$501,0)),"⚠ ID no existe"))</f>
        <v/>
      </c>
      <c r="D1974" s="19" t="n"/>
      <c r="E1974" s="19" t="n"/>
      <c r="F1974" s="16">
        <f>IF(OR(B1974="",D1974=""),"",IFERROR(INDEX('Tabla XP'!$B$2:$B$12,MATCH(D1974,'Tabla XP'!$A$2:$A$12,0))*IF(E1974="",1,E1974),0))</f>
        <v/>
      </c>
      <c r="G1974" s="19" t="n"/>
      <c r="H1974" s="19" t="n"/>
    </row>
    <row r="1975">
      <c r="A1975" s="22" t="n"/>
      <c r="B1975" s="19" t="n"/>
      <c r="C1975" s="18">
        <f>IF(B1975="","",IFERROR(INDEX(Jugadores!$C$2:$C$501,MATCH(B1975,Jugadores!$A$2:$A$501,0)),"⚠ ID no existe"))</f>
        <v/>
      </c>
      <c r="D1975" s="19" t="n"/>
      <c r="E1975" s="19" t="n"/>
      <c r="F1975" s="16">
        <f>IF(OR(B1975="",D1975=""),"",IFERROR(INDEX('Tabla XP'!$B$2:$B$12,MATCH(D1975,'Tabla XP'!$A$2:$A$12,0))*IF(E1975="",1,E1975),0))</f>
        <v/>
      </c>
      <c r="G1975" s="19" t="n"/>
      <c r="H1975" s="19" t="n"/>
    </row>
    <row r="1976">
      <c r="A1976" s="22" t="n"/>
      <c r="B1976" s="19" t="n"/>
      <c r="C1976" s="18">
        <f>IF(B1976="","",IFERROR(INDEX(Jugadores!$C$2:$C$501,MATCH(B1976,Jugadores!$A$2:$A$501,0)),"⚠ ID no existe"))</f>
        <v/>
      </c>
      <c r="D1976" s="19" t="n"/>
      <c r="E1976" s="19" t="n"/>
      <c r="F1976" s="16">
        <f>IF(OR(B1976="",D1976=""),"",IFERROR(INDEX('Tabla XP'!$B$2:$B$12,MATCH(D1976,'Tabla XP'!$A$2:$A$12,0))*IF(E1976="",1,E1976),0))</f>
        <v/>
      </c>
      <c r="G1976" s="19" t="n"/>
      <c r="H1976" s="19" t="n"/>
    </row>
    <row r="1977">
      <c r="A1977" s="22" t="n"/>
      <c r="B1977" s="19" t="n"/>
      <c r="C1977" s="18">
        <f>IF(B1977="","",IFERROR(INDEX(Jugadores!$C$2:$C$501,MATCH(B1977,Jugadores!$A$2:$A$501,0)),"⚠ ID no existe"))</f>
        <v/>
      </c>
      <c r="D1977" s="19" t="n"/>
      <c r="E1977" s="19" t="n"/>
      <c r="F1977" s="16">
        <f>IF(OR(B1977="",D1977=""),"",IFERROR(INDEX('Tabla XP'!$B$2:$B$12,MATCH(D1977,'Tabla XP'!$A$2:$A$12,0))*IF(E1977="",1,E1977),0))</f>
        <v/>
      </c>
      <c r="G1977" s="19" t="n"/>
      <c r="H1977" s="19" t="n"/>
    </row>
    <row r="1978">
      <c r="A1978" s="22" t="n"/>
      <c r="B1978" s="19" t="n"/>
      <c r="C1978" s="18">
        <f>IF(B1978="","",IFERROR(INDEX(Jugadores!$C$2:$C$501,MATCH(B1978,Jugadores!$A$2:$A$501,0)),"⚠ ID no existe"))</f>
        <v/>
      </c>
      <c r="D1978" s="19" t="n"/>
      <c r="E1978" s="19" t="n"/>
      <c r="F1978" s="16">
        <f>IF(OR(B1978="",D1978=""),"",IFERROR(INDEX('Tabla XP'!$B$2:$B$12,MATCH(D1978,'Tabla XP'!$A$2:$A$12,0))*IF(E1978="",1,E1978),0))</f>
        <v/>
      </c>
      <c r="G1978" s="19" t="n"/>
      <c r="H1978" s="19" t="n"/>
    </row>
    <row r="1979">
      <c r="A1979" s="22" t="n"/>
      <c r="B1979" s="19" t="n"/>
      <c r="C1979" s="18">
        <f>IF(B1979="","",IFERROR(INDEX(Jugadores!$C$2:$C$501,MATCH(B1979,Jugadores!$A$2:$A$501,0)),"⚠ ID no existe"))</f>
        <v/>
      </c>
      <c r="D1979" s="19" t="n"/>
      <c r="E1979" s="19" t="n"/>
      <c r="F1979" s="16">
        <f>IF(OR(B1979="",D1979=""),"",IFERROR(INDEX('Tabla XP'!$B$2:$B$12,MATCH(D1979,'Tabla XP'!$A$2:$A$12,0))*IF(E1979="",1,E1979),0))</f>
        <v/>
      </c>
      <c r="G1979" s="19" t="n"/>
      <c r="H1979" s="19" t="n"/>
    </row>
    <row r="1980">
      <c r="A1980" s="22" t="n"/>
      <c r="B1980" s="19" t="n"/>
      <c r="C1980" s="18">
        <f>IF(B1980="","",IFERROR(INDEX(Jugadores!$C$2:$C$501,MATCH(B1980,Jugadores!$A$2:$A$501,0)),"⚠ ID no existe"))</f>
        <v/>
      </c>
      <c r="D1980" s="19" t="n"/>
      <c r="E1980" s="19" t="n"/>
      <c r="F1980" s="16">
        <f>IF(OR(B1980="",D1980=""),"",IFERROR(INDEX('Tabla XP'!$B$2:$B$12,MATCH(D1980,'Tabla XP'!$A$2:$A$12,0))*IF(E1980="",1,E1980),0))</f>
        <v/>
      </c>
      <c r="G1980" s="19" t="n"/>
      <c r="H1980" s="19" t="n"/>
    </row>
    <row r="1981">
      <c r="A1981" s="22" t="n"/>
      <c r="B1981" s="19" t="n"/>
      <c r="C1981" s="18">
        <f>IF(B1981="","",IFERROR(INDEX(Jugadores!$C$2:$C$501,MATCH(B1981,Jugadores!$A$2:$A$501,0)),"⚠ ID no existe"))</f>
        <v/>
      </c>
      <c r="D1981" s="19" t="n"/>
      <c r="E1981" s="19" t="n"/>
      <c r="F1981" s="16">
        <f>IF(OR(B1981="",D1981=""),"",IFERROR(INDEX('Tabla XP'!$B$2:$B$12,MATCH(D1981,'Tabla XP'!$A$2:$A$12,0))*IF(E1981="",1,E1981),0))</f>
        <v/>
      </c>
      <c r="G1981" s="19" t="n"/>
      <c r="H1981" s="19" t="n"/>
    </row>
    <row r="1982">
      <c r="A1982" s="22" t="n"/>
      <c r="B1982" s="19" t="n"/>
      <c r="C1982" s="18">
        <f>IF(B1982="","",IFERROR(INDEX(Jugadores!$C$2:$C$501,MATCH(B1982,Jugadores!$A$2:$A$501,0)),"⚠ ID no existe"))</f>
        <v/>
      </c>
      <c r="D1982" s="19" t="n"/>
      <c r="E1982" s="19" t="n"/>
      <c r="F1982" s="16">
        <f>IF(OR(B1982="",D1982=""),"",IFERROR(INDEX('Tabla XP'!$B$2:$B$12,MATCH(D1982,'Tabla XP'!$A$2:$A$12,0))*IF(E1982="",1,E1982),0))</f>
        <v/>
      </c>
      <c r="G1982" s="19" t="n"/>
      <c r="H1982" s="19" t="n"/>
    </row>
    <row r="1983">
      <c r="A1983" s="22" t="n"/>
      <c r="B1983" s="19" t="n"/>
      <c r="C1983" s="18">
        <f>IF(B1983="","",IFERROR(INDEX(Jugadores!$C$2:$C$501,MATCH(B1983,Jugadores!$A$2:$A$501,0)),"⚠ ID no existe"))</f>
        <v/>
      </c>
      <c r="D1983" s="19" t="n"/>
      <c r="E1983" s="19" t="n"/>
      <c r="F1983" s="16">
        <f>IF(OR(B1983="",D1983=""),"",IFERROR(INDEX('Tabla XP'!$B$2:$B$12,MATCH(D1983,'Tabla XP'!$A$2:$A$12,0))*IF(E1983="",1,E1983),0))</f>
        <v/>
      </c>
      <c r="G1983" s="19" t="n"/>
      <c r="H1983" s="19" t="n"/>
    </row>
    <row r="1984">
      <c r="A1984" s="22" t="n"/>
      <c r="B1984" s="19" t="n"/>
      <c r="C1984" s="18">
        <f>IF(B1984="","",IFERROR(INDEX(Jugadores!$C$2:$C$501,MATCH(B1984,Jugadores!$A$2:$A$501,0)),"⚠ ID no existe"))</f>
        <v/>
      </c>
      <c r="D1984" s="19" t="n"/>
      <c r="E1984" s="19" t="n"/>
      <c r="F1984" s="16">
        <f>IF(OR(B1984="",D1984=""),"",IFERROR(INDEX('Tabla XP'!$B$2:$B$12,MATCH(D1984,'Tabla XP'!$A$2:$A$12,0))*IF(E1984="",1,E1984),0))</f>
        <v/>
      </c>
      <c r="G1984" s="19" t="n"/>
      <c r="H1984" s="19" t="n"/>
    </row>
    <row r="1985">
      <c r="A1985" s="22" t="n"/>
      <c r="B1985" s="19" t="n"/>
      <c r="C1985" s="18">
        <f>IF(B1985="","",IFERROR(INDEX(Jugadores!$C$2:$C$501,MATCH(B1985,Jugadores!$A$2:$A$501,0)),"⚠ ID no existe"))</f>
        <v/>
      </c>
      <c r="D1985" s="19" t="n"/>
      <c r="E1985" s="19" t="n"/>
      <c r="F1985" s="16">
        <f>IF(OR(B1985="",D1985=""),"",IFERROR(INDEX('Tabla XP'!$B$2:$B$12,MATCH(D1985,'Tabla XP'!$A$2:$A$12,0))*IF(E1985="",1,E1985),0))</f>
        <v/>
      </c>
      <c r="G1985" s="19" t="n"/>
      <c r="H1985" s="19" t="n"/>
    </row>
    <row r="1986">
      <c r="A1986" s="22" t="n"/>
      <c r="B1986" s="19" t="n"/>
      <c r="C1986" s="18">
        <f>IF(B1986="","",IFERROR(INDEX(Jugadores!$C$2:$C$501,MATCH(B1986,Jugadores!$A$2:$A$501,0)),"⚠ ID no existe"))</f>
        <v/>
      </c>
      <c r="D1986" s="19" t="n"/>
      <c r="E1986" s="19" t="n"/>
      <c r="F1986" s="16">
        <f>IF(OR(B1986="",D1986=""),"",IFERROR(INDEX('Tabla XP'!$B$2:$B$12,MATCH(D1986,'Tabla XP'!$A$2:$A$12,0))*IF(E1986="",1,E1986),0))</f>
        <v/>
      </c>
      <c r="G1986" s="19" t="n"/>
      <c r="H1986" s="19" t="n"/>
    </row>
    <row r="1987">
      <c r="A1987" s="22" t="n"/>
      <c r="B1987" s="19" t="n"/>
      <c r="C1987" s="18">
        <f>IF(B1987="","",IFERROR(INDEX(Jugadores!$C$2:$C$501,MATCH(B1987,Jugadores!$A$2:$A$501,0)),"⚠ ID no existe"))</f>
        <v/>
      </c>
      <c r="D1987" s="19" t="n"/>
      <c r="E1987" s="19" t="n"/>
      <c r="F1987" s="16">
        <f>IF(OR(B1987="",D1987=""),"",IFERROR(INDEX('Tabla XP'!$B$2:$B$12,MATCH(D1987,'Tabla XP'!$A$2:$A$12,0))*IF(E1987="",1,E1987),0))</f>
        <v/>
      </c>
      <c r="G1987" s="19" t="n"/>
      <c r="H1987" s="19" t="n"/>
    </row>
    <row r="1988">
      <c r="A1988" s="22" t="n"/>
      <c r="B1988" s="19" t="n"/>
      <c r="C1988" s="18">
        <f>IF(B1988="","",IFERROR(INDEX(Jugadores!$C$2:$C$501,MATCH(B1988,Jugadores!$A$2:$A$501,0)),"⚠ ID no existe"))</f>
        <v/>
      </c>
      <c r="D1988" s="19" t="n"/>
      <c r="E1988" s="19" t="n"/>
      <c r="F1988" s="16">
        <f>IF(OR(B1988="",D1988=""),"",IFERROR(INDEX('Tabla XP'!$B$2:$B$12,MATCH(D1988,'Tabla XP'!$A$2:$A$12,0))*IF(E1988="",1,E1988),0))</f>
        <v/>
      </c>
      <c r="G1988" s="19" t="n"/>
      <c r="H1988" s="19" t="n"/>
    </row>
    <row r="1989">
      <c r="A1989" s="22" t="n"/>
      <c r="B1989" s="19" t="n"/>
      <c r="C1989" s="18">
        <f>IF(B1989="","",IFERROR(INDEX(Jugadores!$C$2:$C$501,MATCH(B1989,Jugadores!$A$2:$A$501,0)),"⚠ ID no existe"))</f>
        <v/>
      </c>
      <c r="D1989" s="19" t="n"/>
      <c r="E1989" s="19" t="n"/>
      <c r="F1989" s="16">
        <f>IF(OR(B1989="",D1989=""),"",IFERROR(INDEX('Tabla XP'!$B$2:$B$12,MATCH(D1989,'Tabla XP'!$A$2:$A$12,0))*IF(E1989="",1,E1989),0))</f>
        <v/>
      </c>
      <c r="G1989" s="19" t="n"/>
      <c r="H1989" s="19" t="n"/>
    </row>
    <row r="1990">
      <c r="A1990" s="22" t="n"/>
      <c r="B1990" s="19" t="n"/>
      <c r="C1990" s="18">
        <f>IF(B1990="","",IFERROR(INDEX(Jugadores!$C$2:$C$501,MATCH(B1990,Jugadores!$A$2:$A$501,0)),"⚠ ID no existe"))</f>
        <v/>
      </c>
      <c r="D1990" s="19" t="n"/>
      <c r="E1990" s="19" t="n"/>
      <c r="F1990" s="16">
        <f>IF(OR(B1990="",D1990=""),"",IFERROR(INDEX('Tabla XP'!$B$2:$B$12,MATCH(D1990,'Tabla XP'!$A$2:$A$12,0))*IF(E1990="",1,E1990),0))</f>
        <v/>
      </c>
      <c r="G1990" s="19" t="n"/>
      <c r="H1990" s="19" t="n"/>
    </row>
    <row r="1991">
      <c r="A1991" s="22" t="n"/>
      <c r="B1991" s="19" t="n"/>
      <c r="C1991" s="18">
        <f>IF(B1991="","",IFERROR(INDEX(Jugadores!$C$2:$C$501,MATCH(B1991,Jugadores!$A$2:$A$501,0)),"⚠ ID no existe"))</f>
        <v/>
      </c>
      <c r="D1991" s="19" t="n"/>
      <c r="E1991" s="19" t="n"/>
      <c r="F1991" s="16">
        <f>IF(OR(B1991="",D1991=""),"",IFERROR(INDEX('Tabla XP'!$B$2:$B$12,MATCH(D1991,'Tabla XP'!$A$2:$A$12,0))*IF(E1991="",1,E1991),0))</f>
        <v/>
      </c>
      <c r="G1991" s="19" t="n"/>
      <c r="H1991" s="19" t="n"/>
    </row>
    <row r="1992">
      <c r="A1992" s="22" t="n"/>
      <c r="B1992" s="19" t="n"/>
      <c r="C1992" s="18">
        <f>IF(B1992="","",IFERROR(INDEX(Jugadores!$C$2:$C$501,MATCH(B1992,Jugadores!$A$2:$A$501,0)),"⚠ ID no existe"))</f>
        <v/>
      </c>
      <c r="D1992" s="19" t="n"/>
      <c r="E1992" s="19" t="n"/>
      <c r="F1992" s="16">
        <f>IF(OR(B1992="",D1992=""),"",IFERROR(INDEX('Tabla XP'!$B$2:$B$12,MATCH(D1992,'Tabla XP'!$A$2:$A$12,0))*IF(E1992="",1,E1992),0))</f>
        <v/>
      </c>
      <c r="G1992" s="19" t="n"/>
      <c r="H1992" s="19" t="n"/>
    </row>
    <row r="1993">
      <c r="A1993" s="22" t="n"/>
      <c r="B1993" s="19" t="n"/>
      <c r="C1993" s="18">
        <f>IF(B1993="","",IFERROR(INDEX(Jugadores!$C$2:$C$501,MATCH(B1993,Jugadores!$A$2:$A$501,0)),"⚠ ID no existe"))</f>
        <v/>
      </c>
      <c r="D1993" s="19" t="n"/>
      <c r="E1993" s="19" t="n"/>
      <c r="F1993" s="16">
        <f>IF(OR(B1993="",D1993=""),"",IFERROR(INDEX('Tabla XP'!$B$2:$B$12,MATCH(D1993,'Tabla XP'!$A$2:$A$12,0))*IF(E1993="",1,E1993),0))</f>
        <v/>
      </c>
      <c r="G1993" s="19" t="n"/>
      <c r="H1993" s="19" t="n"/>
    </row>
    <row r="1994">
      <c r="A1994" s="22" t="n"/>
      <c r="B1994" s="19" t="n"/>
      <c r="C1994" s="18">
        <f>IF(B1994="","",IFERROR(INDEX(Jugadores!$C$2:$C$501,MATCH(B1994,Jugadores!$A$2:$A$501,0)),"⚠ ID no existe"))</f>
        <v/>
      </c>
      <c r="D1994" s="19" t="n"/>
      <c r="E1994" s="19" t="n"/>
      <c r="F1994" s="16">
        <f>IF(OR(B1994="",D1994=""),"",IFERROR(INDEX('Tabla XP'!$B$2:$B$12,MATCH(D1994,'Tabla XP'!$A$2:$A$12,0))*IF(E1994="",1,E1994),0))</f>
        <v/>
      </c>
      <c r="G1994" s="19" t="n"/>
      <c r="H1994" s="19" t="n"/>
    </row>
    <row r="1995">
      <c r="A1995" s="22" t="n"/>
      <c r="B1995" s="19" t="n"/>
      <c r="C1995" s="18">
        <f>IF(B1995="","",IFERROR(INDEX(Jugadores!$C$2:$C$501,MATCH(B1995,Jugadores!$A$2:$A$501,0)),"⚠ ID no existe"))</f>
        <v/>
      </c>
      <c r="D1995" s="19" t="n"/>
      <c r="E1995" s="19" t="n"/>
      <c r="F1995" s="16">
        <f>IF(OR(B1995="",D1995=""),"",IFERROR(INDEX('Tabla XP'!$B$2:$B$12,MATCH(D1995,'Tabla XP'!$A$2:$A$12,0))*IF(E1995="",1,E1995),0))</f>
        <v/>
      </c>
      <c r="G1995" s="19" t="n"/>
      <c r="H1995" s="19" t="n"/>
    </row>
    <row r="1996">
      <c r="A1996" s="22" t="n"/>
      <c r="B1996" s="19" t="n"/>
      <c r="C1996" s="18">
        <f>IF(B1996="","",IFERROR(INDEX(Jugadores!$C$2:$C$501,MATCH(B1996,Jugadores!$A$2:$A$501,0)),"⚠ ID no existe"))</f>
        <v/>
      </c>
      <c r="D1996" s="19" t="n"/>
      <c r="E1996" s="19" t="n"/>
      <c r="F1996" s="16">
        <f>IF(OR(B1996="",D1996=""),"",IFERROR(INDEX('Tabla XP'!$B$2:$B$12,MATCH(D1996,'Tabla XP'!$A$2:$A$12,0))*IF(E1996="",1,E1996),0))</f>
        <v/>
      </c>
      <c r="G1996" s="19" t="n"/>
      <c r="H1996" s="19" t="n"/>
    </row>
    <row r="1997">
      <c r="A1997" s="22" t="n"/>
      <c r="B1997" s="19" t="n"/>
      <c r="C1997" s="18">
        <f>IF(B1997="","",IFERROR(INDEX(Jugadores!$C$2:$C$501,MATCH(B1997,Jugadores!$A$2:$A$501,0)),"⚠ ID no existe"))</f>
        <v/>
      </c>
      <c r="D1997" s="19" t="n"/>
      <c r="E1997" s="19" t="n"/>
      <c r="F1997" s="16">
        <f>IF(OR(B1997="",D1997=""),"",IFERROR(INDEX('Tabla XP'!$B$2:$B$12,MATCH(D1997,'Tabla XP'!$A$2:$A$12,0))*IF(E1997="",1,E1997),0))</f>
        <v/>
      </c>
      <c r="G1997" s="19" t="n"/>
      <c r="H1997" s="19" t="n"/>
    </row>
    <row r="1998">
      <c r="A1998" s="22" t="n"/>
      <c r="B1998" s="19" t="n"/>
      <c r="C1998" s="18">
        <f>IF(B1998="","",IFERROR(INDEX(Jugadores!$C$2:$C$501,MATCH(B1998,Jugadores!$A$2:$A$501,0)),"⚠ ID no existe"))</f>
        <v/>
      </c>
      <c r="D1998" s="19" t="n"/>
      <c r="E1998" s="19" t="n"/>
      <c r="F1998" s="16">
        <f>IF(OR(B1998="",D1998=""),"",IFERROR(INDEX('Tabla XP'!$B$2:$B$12,MATCH(D1998,'Tabla XP'!$A$2:$A$12,0))*IF(E1998="",1,E1998),0))</f>
        <v/>
      </c>
      <c r="G1998" s="19" t="n"/>
      <c r="H1998" s="19" t="n"/>
    </row>
    <row r="1999">
      <c r="A1999" s="22" t="n"/>
      <c r="B1999" s="19" t="n"/>
      <c r="C1999" s="18">
        <f>IF(B1999="","",IFERROR(INDEX(Jugadores!$C$2:$C$501,MATCH(B1999,Jugadores!$A$2:$A$501,0)),"⚠ ID no existe"))</f>
        <v/>
      </c>
      <c r="D1999" s="19" t="n"/>
      <c r="E1999" s="19" t="n"/>
      <c r="F1999" s="16">
        <f>IF(OR(B1999="",D1999=""),"",IFERROR(INDEX('Tabla XP'!$B$2:$B$12,MATCH(D1999,'Tabla XP'!$A$2:$A$12,0))*IF(E1999="",1,E1999),0))</f>
        <v/>
      </c>
      <c r="G1999" s="19" t="n"/>
      <c r="H1999" s="19" t="n"/>
    </row>
    <row r="2000">
      <c r="A2000" s="22" t="n"/>
      <c r="B2000" s="19" t="n"/>
      <c r="C2000" s="18">
        <f>IF(B2000="","",IFERROR(INDEX(Jugadores!$C$2:$C$501,MATCH(B2000,Jugadores!$A$2:$A$501,0)),"⚠ ID no existe"))</f>
        <v/>
      </c>
      <c r="D2000" s="19" t="n"/>
      <c r="E2000" s="19" t="n"/>
      <c r="F2000" s="16">
        <f>IF(OR(B2000="",D2000=""),"",IFERROR(INDEX('Tabla XP'!$B$2:$B$12,MATCH(D2000,'Tabla XP'!$A$2:$A$12,0))*IF(E2000="",1,E2000),0))</f>
        <v/>
      </c>
      <c r="G2000" s="19" t="n"/>
      <c r="H2000" s="19" t="n"/>
    </row>
    <row r="2001">
      <c r="A2001" s="22" t="n"/>
      <c r="B2001" s="19" t="n"/>
      <c r="C2001" s="18">
        <f>IF(B2001="","",IFERROR(INDEX(Jugadores!$C$2:$C$501,MATCH(B2001,Jugadores!$A$2:$A$501,0)),"⚠ ID no existe"))</f>
        <v/>
      </c>
      <c r="D2001" s="19" t="n"/>
      <c r="E2001" s="19" t="n"/>
      <c r="F2001" s="16">
        <f>IF(OR(B2001="",D2001=""),"",IFERROR(INDEX('Tabla XP'!$B$2:$B$12,MATCH(D2001,'Tabla XP'!$A$2:$A$12,0))*IF(E2001="",1,E2001),0))</f>
        <v/>
      </c>
      <c r="G2001" s="19" t="n"/>
      <c r="H2001" s="19" t="n"/>
    </row>
    <row r="2002">
      <c r="A2002" s="22" t="n"/>
      <c r="B2002" s="19" t="n"/>
      <c r="C2002" s="18">
        <f>IF(B2002="","",IFERROR(INDEX(Jugadores!$C$2:$C$501,MATCH(B2002,Jugadores!$A$2:$A$501,0)),"⚠ ID no existe"))</f>
        <v/>
      </c>
      <c r="D2002" s="19" t="n"/>
      <c r="E2002" s="19" t="n"/>
      <c r="F2002" s="16">
        <f>IF(OR(B2002="",D2002=""),"",IFERROR(INDEX('Tabla XP'!$B$2:$B$12,MATCH(D2002,'Tabla XP'!$A$2:$A$12,0))*IF(E2002="",1,E2002),0))</f>
        <v/>
      </c>
      <c r="G2002" s="19" t="n"/>
      <c r="H2002" s="19" t="n"/>
    </row>
    <row r="2003">
      <c r="A2003" s="22" t="n"/>
      <c r="B2003" s="19" t="n"/>
      <c r="C2003" s="18">
        <f>IF(B2003="","",IFERROR(INDEX(Jugadores!$C$2:$C$501,MATCH(B2003,Jugadores!$A$2:$A$501,0)),"⚠ ID no existe"))</f>
        <v/>
      </c>
      <c r="D2003" s="19" t="n"/>
      <c r="E2003" s="19" t="n"/>
      <c r="F2003" s="16">
        <f>IF(OR(B2003="",D2003=""),"",IFERROR(INDEX('Tabla XP'!$B$2:$B$12,MATCH(D2003,'Tabla XP'!$A$2:$A$12,0))*IF(E2003="",1,E2003),0))</f>
        <v/>
      </c>
      <c r="G2003" s="19" t="n"/>
      <c r="H2003" s="19" t="n"/>
    </row>
    <row r="2004">
      <c r="A2004" s="22" t="n"/>
      <c r="B2004" s="19" t="n"/>
      <c r="C2004" s="18">
        <f>IF(B2004="","",IFERROR(INDEX(Jugadores!$C$2:$C$501,MATCH(B2004,Jugadores!$A$2:$A$501,0)),"⚠ ID no existe"))</f>
        <v/>
      </c>
      <c r="D2004" s="19" t="n"/>
      <c r="E2004" s="19" t="n"/>
      <c r="F2004" s="16">
        <f>IF(OR(B2004="",D2004=""),"",IFERROR(INDEX('Tabla XP'!$B$2:$B$12,MATCH(D2004,'Tabla XP'!$A$2:$A$12,0))*IF(E2004="",1,E2004),0))</f>
        <v/>
      </c>
      <c r="G2004" s="19" t="n"/>
      <c r="H2004" s="19" t="n"/>
    </row>
    <row r="2005">
      <c r="A2005" s="22" t="n"/>
      <c r="B2005" s="19" t="n"/>
      <c r="C2005" s="18">
        <f>IF(B2005="","",IFERROR(INDEX(Jugadores!$C$2:$C$501,MATCH(B2005,Jugadores!$A$2:$A$501,0)),"⚠ ID no existe"))</f>
        <v/>
      </c>
      <c r="D2005" s="19" t="n"/>
      <c r="E2005" s="19" t="n"/>
      <c r="F2005" s="16">
        <f>IF(OR(B2005="",D2005=""),"",IFERROR(INDEX('Tabla XP'!$B$2:$B$12,MATCH(D2005,'Tabla XP'!$A$2:$A$12,0))*IF(E2005="",1,E2005),0))</f>
        <v/>
      </c>
      <c r="G2005" s="19" t="n"/>
      <c r="H2005" s="19" t="n"/>
    </row>
    <row r="2006">
      <c r="A2006" s="22" t="n"/>
      <c r="B2006" s="19" t="n"/>
      <c r="C2006" s="18">
        <f>IF(B2006="","",IFERROR(INDEX(Jugadores!$C$2:$C$501,MATCH(B2006,Jugadores!$A$2:$A$501,0)),"⚠ ID no existe"))</f>
        <v/>
      </c>
      <c r="D2006" s="19" t="n"/>
      <c r="E2006" s="19" t="n"/>
      <c r="F2006" s="16">
        <f>IF(OR(B2006="",D2006=""),"",IFERROR(INDEX('Tabla XP'!$B$2:$B$12,MATCH(D2006,'Tabla XP'!$A$2:$A$12,0))*IF(E2006="",1,E2006),0))</f>
        <v/>
      </c>
      <c r="G2006" s="19" t="n"/>
      <c r="H2006" s="19" t="n"/>
    </row>
    <row r="2007">
      <c r="A2007" s="22" t="n"/>
      <c r="B2007" s="19" t="n"/>
      <c r="C2007" s="18">
        <f>IF(B2007="","",IFERROR(INDEX(Jugadores!$C$2:$C$501,MATCH(B2007,Jugadores!$A$2:$A$501,0)),"⚠ ID no existe"))</f>
        <v/>
      </c>
      <c r="D2007" s="19" t="n"/>
      <c r="E2007" s="19" t="n"/>
      <c r="F2007" s="16">
        <f>IF(OR(B2007="",D2007=""),"",IFERROR(INDEX('Tabla XP'!$B$2:$B$12,MATCH(D2007,'Tabla XP'!$A$2:$A$12,0))*IF(E2007="",1,E2007),0))</f>
        <v/>
      </c>
      <c r="G2007" s="19" t="n"/>
      <c r="H2007" s="19" t="n"/>
    </row>
    <row r="2008">
      <c r="A2008" s="22" t="n"/>
      <c r="B2008" s="19" t="n"/>
      <c r="C2008" s="18">
        <f>IF(B2008="","",IFERROR(INDEX(Jugadores!$C$2:$C$501,MATCH(B2008,Jugadores!$A$2:$A$501,0)),"⚠ ID no existe"))</f>
        <v/>
      </c>
      <c r="D2008" s="19" t="n"/>
      <c r="E2008" s="19" t="n"/>
      <c r="F2008" s="16">
        <f>IF(OR(B2008="",D2008=""),"",IFERROR(INDEX('Tabla XP'!$B$2:$B$12,MATCH(D2008,'Tabla XP'!$A$2:$A$12,0))*IF(E2008="",1,E2008),0))</f>
        <v/>
      </c>
      <c r="G2008" s="19" t="n"/>
      <c r="H2008" s="19" t="n"/>
    </row>
    <row r="2009">
      <c r="A2009" s="22" t="n"/>
      <c r="B2009" s="19" t="n"/>
      <c r="C2009" s="18">
        <f>IF(B2009="","",IFERROR(INDEX(Jugadores!$C$2:$C$501,MATCH(B2009,Jugadores!$A$2:$A$501,0)),"⚠ ID no existe"))</f>
        <v/>
      </c>
      <c r="D2009" s="19" t="n"/>
      <c r="E2009" s="19" t="n"/>
      <c r="F2009" s="16">
        <f>IF(OR(B2009="",D2009=""),"",IFERROR(INDEX('Tabla XP'!$B$2:$B$12,MATCH(D2009,'Tabla XP'!$A$2:$A$12,0))*IF(E2009="",1,E2009),0))</f>
        <v/>
      </c>
      <c r="G2009" s="19" t="n"/>
      <c r="H2009" s="19" t="n"/>
    </row>
    <row r="2010">
      <c r="A2010" s="22" t="n"/>
      <c r="B2010" s="19" t="n"/>
      <c r="C2010" s="18">
        <f>IF(B2010="","",IFERROR(INDEX(Jugadores!$C$2:$C$501,MATCH(B2010,Jugadores!$A$2:$A$501,0)),"⚠ ID no existe"))</f>
        <v/>
      </c>
      <c r="D2010" s="19" t="n"/>
      <c r="E2010" s="19" t="n"/>
      <c r="F2010" s="16">
        <f>IF(OR(B2010="",D2010=""),"",IFERROR(INDEX('Tabla XP'!$B$2:$B$12,MATCH(D2010,'Tabla XP'!$A$2:$A$12,0))*IF(E2010="",1,E2010),0))</f>
        <v/>
      </c>
      <c r="G2010" s="19" t="n"/>
      <c r="H2010" s="19" t="n"/>
    </row>
    <row r="2011">
      <c r="A2011" s="22" t="n"/>
      <c r="B2011" s="19" t="n"/>
      <c r="C2011" s="18">
        <f>IF(B2011="","",IFERROR(INDEX(Jugadores!$C$2:$C$501,MATCH(B2011,Jugadores!$A$2:$A$501,0)),"⚠ ID no existe"))</f>
        <v/>
      </c>
      <c r="D2011" s="19" t="n"/>
      <c r="E2011" s="19" t="n"/>
      <c r="F2011" s="16">
        <f>IF(OR(B2011="",D2011=""),"",IFERROR(INDEX('Tabla XP'!$B$2:$B$12,MATCH(D2011,'Tabla XP'!$A$2:$A$12,0))*IF(E2011="",1,E2011),0))</f>
        <v/>
      </c>
      <c r="G2011" s="19" t="n"/>
      <c r="H2011" s="19" t="n"/>
    </row>
    <row r="2012">
      <c r="A2012" s="22" t="n"/>
      <c r="B2012" s="19" t="n"/>
      <c r="C2012" s="18">
        <f>IF(B2012="","",IFERROR(INDEX(Jugadores!$C$2:$C$501,MATCH(B2012,Jugadores!$A$2:$A$501,0)),"⚠ ID no existe"))</f>
        <v/>
      </c>
      <c r="D2012" s="19" t="n"/>
      <c r="E2012" s="19" t="n"/>
      <c r="F2012" s="16">
        <f>IF(OR(B2012="",D2012=""),"",IFERROR(INDEX('Tabla XP'!$B$2:$B$12,MATCH(D2012,'Tabla XP'!$A$2:$A$12,0))*IF(E2012="",1,E2012),0))</f>
        <v/>
      </c>
      <c r="G2012" s="19" t="n"/>
      <c r="H2012" s="19" t="n"/>
    </row>
    <row r="2013">
      <c r="A2013" s="22" t="n"/>
      <c r="B2013" s="19" t="n"/>
      <c r="C2013" s="18">
        <f>IF(B2013="","",IFERROR(INDEX(Jugadores!$C$2:$C$501,MATCH(B2013,Jugadores!$A$2:$A$501,0)),"⚠ ID no existe"))</f>
        <v/>
      </c>
      <c r="D2013" s="19" t="n"/>
      <c r="E2013" s="19" t="n"/>
      <c r="F2013" s="16">
        <f>IF(OR(B2013="",D2013=""),"",IFERROR(INDEX('Tabla XP'!$B$2:$B$12,MATCH(D2013,'Tabla XP'!$A$2:$A$12,0))*IF(E2013="",1,E2013),0))</f>
        <v/>
      </c>
      <c r="G2013" s="19" t="n"/>
      <c r="H2013" s="19" t="n"/>
    </row>
    <row r="2014">
      <c r="A2014" s="22" t="n"/>
      <c r="B2014" s="19" t="n"/>
      <c r="C2014" s="18">
        <f>IF(B2014="","",IFERROR(INDEX(Jugadores!$C$2:$C$501,MATCH(B2014,Jugadores!$A$2:$A$501,0)),"⚠ ID no existe"))</f>
        <v/>
      </c>
      <c r="D2014" s="19" t="n"/>
      <c r="E2014" s="19" t="n"/>
      <c r="F2014" s="16">
        <f>IF(OR(B2014="",D2014=""),"",IFERROR(INDEX('Tabla XP'!$B$2:$B$12,MATCH(D2014,'Tabla XP'!$A$2:$A$12,0))*IF(E2014="",1,E2014),0))</f>
        <v/>
      </c>
      <c r="G2014" s="19" t="n"/>
      <c r="H2014" s="19" t="n"/>
    </row>
    <row r="2015">
      <c r="A2015" s="22" t="n"/>
      <c r="B2015" s="19" t="n"/>
      <c r="C2015" s="18">
        <f>IF(B2015="","",IFERROR(INDEX(Jugadores!$C$2:$C$501,MATCH(B2015,Jugadores!$A$2:$A$501,0)),"⚠ ID no existe"))</f>
        <v/>
      </c>
      <c r="D2015" s="19" t="n"/>
      <c r="E2015" s="19" t="n"/>
      <c r="F2015" s="16">
        <f>IF(OR(B2015="",D2015=""),"",IFERROR(INDEX('Tabla XP'!$B$2:$B$12,MATCH(D2015,'Tabla XP'!$A$2:$A$12,0))*IF(E2015="",1,E2015),0))</f>
        <v/>
      </c>
      <c r="G2015" s="19" t="n"/>
      <c r="H2015" s="19" t="n"/>
    </row>
    <row r="2016">
      <c r="A2016" s="22" t="n"/>
      <c r="B2016" s="19" t="n"/>
      <c r="C2016" s="18">
        <f>IF(B2016="","",IFERROR(INDEX(Jugadores!$C$2:$C$501,MATCH(B2016,Jugadores!$A$2:$A$501,0)),"⚠ ID no existe"))</f>
        <v/>
      </c>
      <c r="D2016" s="19" t="n"/>
      <c r="E2016" s="19" t="n"/>
      <c r="F2016" s="16">
        <f>IF(OR(B2016="",D2016=""),"",IFERROR(INDEX('Tabla XP'!$B$2:$B$12,MATCH(D2016,'Tabla XP'!$A$2:$A$12,0))*IF(E2016="",1,E2016),0))</f>
        <v/>
      </c>
      <c r="G2016" s="19" t="n"/>
      <c r="H2016" s="19" t="n"/>
    </row>
    <row r="2017">
      <c r="A2017" s="22" t="n"/>
      <c r="B2017" s="19" t="n"/>
      <c r="C2017" s="18">
        <f>IF(B2017="","",IFERROR(INDEX(Jugadores!$C$2:$C$501,MATCH(B2017,Jugadores!$A$2:$A$501,0)),"⚠ ID no existe"))</f>
        <v/>
      </c>
      <c r="D2017" s="19" t="n"/>
      <c r="E2017" s="19" t="n"/>
      <c r="F2017" s="16">
        <f>IF(OR(B2017="",D2017=""),"",IFERROR(INDEX('Tabla XP'!$B$2:$B$12,MATCH(D2017,'Tabla XP'!$A$2:$A$12,0))*IF(E2017="",1,E2017),0))</f>
        <v/>
      </c>
      <c r="G2017" s="19" t="n"/>
      <c r="H2017" s="19" t="n"/>
    </row>
    <row r="2018">
      <c r="A2018" s="22" t="n"/>
      <c r="B2018" s="19" t="n"/>
      <c r="C2018" s="18">
        <f>IF(B2018="","",IFERROR(INDEX(Jugadores!$C$2:$C$501,MATCH(B2018,Jugadores!$A$2:$A$501,0)),"⚠ ID no existe"))</f>
        <v/>
      </c>
      <c r="D2018" s="19" t="n"/>
      <c r="E2018" s="19" t="n"/>
      <c r="F2018" s="16">
        <f>IF(OR(B2018="",D2018=""),"",IFERROR(INDEX('Tabla XP'!$B$2:$B$12,MATCH(D2018,'Tabla XP'!$A$2:$A$12,0))*IF(E2018="",1,E2018),0))</f>
        <v/>
      </c>
      <c r="G2018" s="19" t="n"/>
      <c r="H2018" s="19" t="n"/>
    </row>
    <row r="2019">
      <c r="A2019" s="22" t="n"/>
      <c r="B2019" s="19" t="n"/>
      <c r="C2019" s="18">
        <f>IF(B2019="","",IFERROR(INDEX(Jugadores!$C$2:$C$501,MATCH(B2019,Jugadores!$A$2:$A$501,0)),"⚠ ID no existe"))</f>
        <v/>
      </c>
      <c r="D2019" s="19" t="n"/>
      <c r="E2019" s="19" t="n"/>
      <c r="F2019" s="16">
        <f>IF(OR(B2019="",D2019=""),"",IFERROR(INDEX('Tabla XP'!$B$2:$B$12,MATCH(D2019,'Tabla XP'!$A$2:$A$12,0))*IF(E2019="",1,E2019),0))</f>
        <v/>
      </c>
      <c r="G2019" s="19" t="n"/>
      <c r="H2019" s="19" t="n"/>
    </row>
    <row r="2020">
      <c r="A2020" s="22" t="n"/>
      <c r="B2020" s="19" t="n"/>
      <c r="C2020" s="18">
        <f>IF(B2020="","",IFERROR(INDEX(Jugadores!$C$2:$C$501,MATCH(B2020,Jugadores!$A$2:$A$501,0)),"⚠ ID no existe"))</f>
        <v/>
      </c>
      <c r="D2020" s="19" t="n"/>
      <c r="E2020" s="19" t="n"/>
      <c r="F2020" s="16">
        <f>IF(OR(B2020="",D2020=""),"",IFERROR(INDEX('Tabla XP'!$B$2:$B$12,MATCH(D2020,'Tabla XP'!$A$2:$A$12,0))*IF(E2020="",1,E2020),0))</f>
        <v/>
      </c>
      <c r="G2020" s="19" t="n"/>
      <c r="H2020" s="19" t="n"/>
    </row>
    <row r="2021">
      <c r="A2021" s="22" t="n"/>
      <c r="B2021" s="19" t="n"/>
      <c r="C2021" s="18">
        <f>IF(B2021="","",IFERROR(INDEX(Jugadores!$C$2:$C$501,MATCH(B2021,Jugadores!$A$2:$A$501,0)),"⚠ ID no existe"))</f>
        <v/>
      </c>
      <c r="D2021" s="19" t="n"/>
      <c r="E2021" s="19" t="n"/>
      <c r="F2021" s="16">
        <f>IF(OR(B2021="",D2021=""),"",IFERROR(INDEX('Tabla XP'!$B$2:$B$12,MATCH(D2021,'Tabla XP'!$A$2:$A$12,0))*IF(E2021="",1,E2021),0))</f>
        <v/>
      </c>
      <c r="G2021" s="19" t="n"/>
      <c r="H2021" s="19" t="n"/>
    </row>
    <row r="2022">
      <c r="A2022" s="22" t="n"/>
      <c r="B2022" s="19" t="n"/>
      <c r="C2022" s="18">
        <f>IF(B2022="","",IFERROR(INDEX(Jugadores!$C$2:$C$501,MATCH(B2022,Jugadores!$A$2:$A$501,0)),"⚠ ID no existe"))</f>
        <v/>
      </c>
      <c r="D2022" s="19" t="n"/>
      <c r="E2022" s="19" t="n"/>
      <c r="F2022" s="16">
        <f>IF(OR(B2022="",D2022=""),"",IFERROR(INDEX('Tabla XP'!$B$2:$B$12,MATCH(D2022,'Tabla XP'!$A$2:$A$12,0))*IF(E2022="",1,E2022),0))</f>
        <v/>
      </c>
      <c r="G2022" s="19" t="n"/>
      <c r="H2022" s="19" t="n"/>
    </row>
    <row r="2023">
      <c r="A2023" s="22" t="n"/>
      <c r="B2023" s="19" t="n"/>
      <c r="C2023" s="18">
        <f>IF(B2023="","",IFERROR(INDEX(Jugadores!$C$2:$C$501,MATCH(B2023,Jugadores!$A$2:$A$501,0)),"⚠ ID no existe"))</f>
        <v/>
      </c>
      <c r="D2023" s="19" t="n"/>
      <c r="E2023" s="19" t="n"/>
      <c r="F2023" s="16">
        <f>IF(OR(B2023="",D2023=""),"",IFERROR(INDEX('Tabla XP'!$B$2:$B$12,MATCH(D2023,'Tabla XP'!$A$2:$A$12,0))*IF(E2023="",1,E2023),0))</f>
        <v/>
      </c>
      <c r="G2023" s="19" t="n"/>
      <c r="H2023" s="19" t="n"/>
    </row>
    <row r="2024">
      <c r="A2024" s="22" t="n"/>
      <c r="B2024" s="19" t="n"/>
      <c r="C2024" s="18">
        <f>IF(B2024="","",IFERROR(INDEX(Jugadores!$C$2:$C$501,MATCH(B2024,Jugadores!$A$2:$A$501,0)),"⚠ ID no existe"))</f>
        <v/>
      </c>
      <c r="D2024" s="19" t="n"/>
      <c r="E2024" s="19" t="n"/>
      <c r="F2024" s="16">
        <f>IF(OR(B2024="",D2024=""),"",IFERROR(INDEX('Tabla XP'!$B$2:$B$12,MATCH(D2024,'Tabla XP'!$A$2:$A$12,0))*IF(E2024="",1,E2024),0))</f>
        <v/>
      </c>
      <c r="G2024" s="19" t="n"/>
      <c r="H2024" s="19" t="n"/>
    </row>
    <row r="2025">
      <c r="A2025" s="22" t="n"/>
      <c r="B2025" s="19" t="n"/>
      <c r="C2025" s="18">
        <f>IF(B2025="","",IFERROR(INDEX(Jugadores!$C$2:$C$501,MATCH(B2025,Jugadores!$A$2:$A$501,0)),"⚠ ID no existe"))</f>
        <v/>
      </c>
      <c r="D2025" s="19" t="n"/>
      <c r="E2025" s="19" t="n"/>
      <c r="F2025" s="16">
        <f>IF(OR(B2025="",D2025=""),"",IFERROR(INDEX('Tabla XP'!$B$2:$B$12,MATCH(D2025,'Tabla XP'!$A$2:$A$12,0))*IF(E2025="",1,E2025),0))</f>
        <v/>
      </c>
      <c r="G2025" s="19" t="n"/>
      <c r="H2025" s="19" t="n"/>
    </row>
    <row r="2026">
      <c r="A2026" s="22" t="n"/>
      <c r="B2026" s="19" t="n"/>
      <c r="C2026" s="18">
        <f>IF(B2026="","",IFERROR(INDEX(Jugadores!$C$2:$C$501,MATCH(B2026,Jugadores!$A$2:$A$501,0)),"⚠ ID no existe"))</f>
        <v/>
      </c>
      <c r="D2026" s="19" t="n"/>
      <c r="E2026" s="19" t="n"/>
      <c r="F2026" s="16">
        <f>IF(OR(B2026="",D2026=""),"",IFERROR(INDEX('Tabla XP'!$B$2:$B$12,MATCH(D2026,'Tabla XP'!$A$2:$A$12,0))*IF(E2026="",1,E2026),0))</f>
        <v/>
      </c>
      <c r="G2026" s="19" t="n"/>
      <c r="H2026" s="19" t="n"/>
    </row>
    <row r="2027">
      <c r="A2027" s="22" t="n"/>
      <c r="B2027" s="19" t="n"/>
      <c r="C2027" s="18">
        <f>IF(B2027="","",IFERROR(INDEX(Jugadores!$C$2:$C$501,MATCH(B2027,Jugadores!$A$2:$A$501,0)),"⚠ ID no existe"))</f>
        <v/>
      </c>
      <c r="D2027" s="19" t="n"/>
      <c r="E2027" s="19" t="n"/>
      <c r="F2027" s="16">
        <f>IF(OR(B2027="",D2027=""),"",IFERROR(INDEX('Tabla XP'!$B$2:$B$12,MATCH(D2027,'Tabla XP'!$A$2:$A$12,0))*IF(E2027="",1,E2027),0))</f>
        <v/>
      </c>
      <c r="G2027" s="19" t="n"/>
      <c r="H2027" s="19" t="n"/>
    </row>
    <row r="2028">
      <c r="A2028" s="22" t="n"/>
      <c r="B2028" s="19" t="n"/>
      <c r="C2028" s="18">
        <f>IF(B2028="","",IFERROR(INDEX(Jugadores!$C$2:$C$501,MATCH(B2028,Jugadores!$A$2:$A$501,0)),"⚠ ID no existe"))</f>
        <v/>
      </c>
      <c r="D2028" s="19" t="n"/>
      <c r="E2028" s="19" t="n"/>
      <c r="F2028" s="16">
        <f>IF(OR(B2028="",D2028=""),"",IFERROR(INDEX('Tabla XP'!$B$2:$B$12,MATCH(D2028,'Tabla XP'!$A$2:$A$12,0))*IF(E2028="",1,E2028),0))</f>
        <v/>
      </c>
      <c r="G2028" s="19" t="n"/>
      <c r="H2028" s="19" t="n"/>
    </row>
    <row r="2029">
      <c r="A2029" s="22" t="n"/>
      <c r="B2029" s="19" t="n"/>
      <c r="C2029" s="18">
        <f>IF(B2029="","",IFERROR(INDEX(Jugadores!$C$2:$C$501,MATCH(B2029,Jugadores!$A$2:$A$501,0)),"⚠ ID no existe"))</f>
        <v/>
      </c>
      <c r="D2029" s="19" t="n"/>
      <c r="E2029" s="19" t="n"/>
      <c r="F2029" s="16">
        <f>IF(OR(B2029="",D2029=""),"",IFERROR(INDEX('Tabla XP'!$B$2:$B$12,MATCH(D2029,'Tabla XP'!$A$2:$A$12,0))*IF(E2029="",1,E2029),0))</f>
        <v/>
      </c>
      <c r="G2029" s="19" t="n"/>
      <c r="H2029" s="19" t="n"/>
    </row>
    <row r="2030">
      <c r="A2030" s="22" t="n"/>
      <c r="B2030" s="19" t="n"/>
      <c r="C2030" s="18">
        <f>IF(B2030="","",IFERROR(INDEX(Jugadores!$C$2:$C$501,MATCH(B2030,Jugadores!$A$2:$A$501,0)),"⚠ ID no existe"))</f>
        <v/>
      </c>
      <c r="D2030" s="19" t="n"/>
      <c r="E2030" s="19" t="n"/>
      <c r="F2030" s="16">
        <f>IF(OR(B2030="",D2030=""),"",IFERROR(INDEX('Tabla XP'!$B$2:$B$12,MATCH(D2030,'Tabla XP'!$A$2:$A$12,0))*IF(E2030="",1,E2030),0))</f>
        <v/>
      </c>
      <c r="G2030" s="19" t="n"/>
      <c r="H2030" s="19" t="n"/>
    </row>
    <row r="2031">
      <c r="A2031" s="22" t="n"/>
      <c r="B2031" s="19" t="n"/>
      <c r="C2031" s="18">
        <f>IF(B2031="","",IFERROR(INDEX(Jugadores!$C$2:$C$501,MATCH(B2031,Jugadores!$A$2:$A$501,0)),"⚠ ID no existe"))</f>
        <v/>
      </c>
      <c r="D2031" s="19" t="n"/>
      <c r="E2031" s="19" t="n"/>
      <c r="F2031" s="16">
        <f>IF(OR(B2031="",D2031=""),"",IFERROR(INDEX('Tabla XP'!$B$2:$B$12,MATCH(D2031,'Tabla XP'!$A$2:$A$12,0))*IF(E2031="",1,E2031),0))</f>
        <v/>
      </c>
      <c r="G2031" s="19" t="n"/>
      <c r="H2031" s="19" t="n"/>
    </row>
    <row r="2032">
      <c r="A2032" s="22" t="n"/>
      <c r="B2032" s="19" t="n"/>
      <c r="C2032" s="18">
        <f>IF(B2032="","",IFERROR(INDEX(Jugadores!$C$2:$C$501,MATCH(B2032,Jugadores!$A$2:$A$501,0)),"⚠ ID no existe"))</f>
        <v/>
      </c>
      <c r="D2032" s="19" t="n"/>
      <c r="E2032" s="19" t="n"/>
      <c r="F2032" s="16">
        <f>IF(OR(B2032="",D2032=""),"",IFERROR(INDEX('Tabla XP'!$B$2:$B$12,MATCH(D2032,'Tabla XP'!$A$2:$A$12,0))*IF(E2032="",1,E2032),0))</f>
        <v/>
      </c>
      <c r="G2032" s="19" t="n"/>
      <c r="H2032" s="19" t="n"/>
    </row>
    <row r="2033">
      <c r="A2033" s="22" t="n"/>
      <c r="B2033" s="19" t="n"/>
      <c r="C2033" s="18">
        <f>IF(B2033="","",IFERROR(INDEX(Jugadores!$C$2:$C$501,MATCH(B2033,Jugadores!$A$2:$A$501,0)),"⚠ ID no existe"))</f>
        <v/>
      </c>
      <c r="D2033" s="19" t="n"/>
      <c r="E2033" s="19" t="n"/>
      <c r="F2033" s="16">
        <f>IF(OR(B2033="",D2033=""),"",IFERROR(INDEX('Tabla XP'!$B$2:$B$12,MATCH(D2033,'Tabla XP'!$A$2:$A$12,0))*IF(E2033="",1,E2033),0))</f>
        <v/>
      </c>
      <c r="G2033" s="19" t="n"/>
      <c r="H2033" s="19" t="n"/>
    </row>
    <row r="2034">
      <c r="A2034" s="22" t="n"/>
      <c r="B2034" s="19" t="n"/>
      <c r="C2034" s="18">
        <f>IF(B2034="","",IFERROR(INDEX(Jugadores!$C$2:$C$501,MATCH(B2034,Jugadores!$A$2:$A$501,0)),"⚠ ID no existe"))</f>
        <v/>
      </c>
      <c r="D2034" s="19" t="n"/>
      <c r="E2034" s="19" t="n"/>
      <c r="F2034" s="16">
        <f>IF(OR(B2034="",D2034=""),"",IFERROR(INDEX('Tabla XP'!$B$2:$B$12,MATCH(D2034,'Tabla XP'!$A$2:$A$12,0))*IF(E2034="",1,E2034),0))</f>
        <v/>
      </c>
      <c r="G2034" s="19" t="n"/>
      <c r="H2034" s="19" t="n"/>
    </row>
    <row r="2035">
      <c r="A2035" s="22" t="n"/>
      <c r="B2035" s="19" t="n"/>
      <c r="C2035" s="18">
        <f>IF(B2035="","",IFERROR(INDEX(Jugadores!$C$2:$C$501,MATCH(B2035,Jugadores!$A$2:$A$501,0)),"⚠ ID no existe"))</f>
        <v/>
      </c>
      <c r="D2035" s="19" t="n"/>
      <c r="E2035" s="19" t="n"/>
      <c r="F2035" s="16">
        <f>IF(OR(B2035="",D2035=""),"",IFERROR(INDEX('Tabla XP'!$B$2:$B$12,MATCH(D2035,'Tabla XP'!$A$2:$A$12,0))*IF(E2035="",1,E2035),0))</f>
        <v/>
      </c>
      <c r="G2035" s="19" t="n"/>
      <c r="H2035" s="19" t="n"/>
    </row>
    <row r="2036">
      <c r="A2036" s="22" t="n"/>
      <c r="B2036" s="19" t="n"/>
      <c r="C2036" s="18">
        <f>IF(B2036="","",IFERROR(INDEX(Jugadores!$C$2:$C$501,MATCH(B2036,Jugadores!$A$2:$A$501,0)),"⚠ ID no existe"))</f>
        <v/>
      </c>
      <c r="D2036" s="19" t="n"/>
      <c r="E2036" s="19" t="n"/>
      <c r="F2036" s="16">
        <f>IF(OR(B2036="",D2036=""),"",IFERROR(INDEX('Tabla XP'!$B$2:$B$12,MATCH(D2036,'Tabla XP'!$A$2:$A$12,0))*IF(E2036="",1,E2036),0))</f>
        <v/>
      </c>
      <c r="G2036" s="19" t="n"/>
      <c r="H2036" s="19" t="n"/>
    </row>
    <row r="2037">
      <c r="A2037" s="22" t="n"/>
      <c r="B2037" s="19" t="n"/>
      <c r="C2037" s="18">
        <f>IF(B2037="","",IFERROR(INDEX(Jugadores!$C$2:$C$501,MATCH(B2037,Jugadores!$A$2:$A$501,0)),"⚠ ID no existe"))</f>
        <v/>
      </c>
      <c r="D2037" s="19" t="n"/>
      <c r="E2037" s="19" t="n"/>
      <c r="F2037" s="16">
        <f>IF(OR(B2037="",D2037=""),"",IFERROR(INDEX('Tabla XP'!$B$2:$B$12,MATCH(D2037,'Tabla XP'!$A$2:$A$12,0))*IF(E2037="",1,E2037),0))</f>
        <v/>
      </c>
      <c r="G2037" s="19" t="n"/>
      <c r="H2037" s="19" t="n"/>
    </row>
    <row r="2038">
      <c r="A2038" s="22" t="n"/>
      <c r="B2038" s="19" t="n"/>
      <c r="C2038" s="18">
        <f>IF(B2038="","",IFERROR(INDEX(Jugadores!$C$2:$C$501,MATCH(B2038,Jugadores!$A$2:$A$501,0)),"⚠ ID no existe"))</f>
        <v/>
      </c>
      <c r="D2038" s="19" t="n"/>
      <c r="E2038" s="19" t="n"/>
      <c r="F2038" s="16">
        <f>IF(OR(B2038="",D2038=""),"",IFERROR(INDEX('Tabla XP'!$B$2:$B$12,MATCH(D2038,'Tabla XP'!$A$2:$A$12,0))*IF(E2038="",1,E2038),0))</f>
        <v/>
      </c>
      <c r="G2038" s="19" t="n"/>
      <c r="H2038" s="19" t="n"/>
    </row>
    <row r="2039">
      <c r="A2039" s="22" t="n"/>
      <c r="B2039" s="19" t="n"/>
      <c r="C2039" s="18">
        <f>IF(B2039="","",IFERROR(INDEX(Jugadores!$C$2:$C$501,MATCH(B2039,Jugadores!$A$2:$A$501,0)),"⚠ ID no existe"))</f>
        <v/>
      </c>
      <c r="D2039" s="19" t="n"/>
      <c r="E2039" s="19" t="n"/>
      <c r="F2039" s="16">
        <f>IF(OR(B2039="",D2039=""),"",IFERROR(INDEX('Tabla XP'!$B$2:$B$12,MATCH(D2039,'Tabla XP'!$A$2:$A$12,0))*IF(E2039="",1,E2039),0))</f>
        <v/>
      </c>
      <c r="G2039" s="19" t="n"/>
      <c r="H2039" s="19" t="n"/>
    </row>
    <row r="2040">
      <c r="A2040" s="22" t="n"/>
      <c r="B2040" s="19" t="n"/>
      <c r="C2040" s="18">
        <f>IF(B2040="","",IFERROR(INDEX(Jugadores!$C$2:$C$501,MATCH(B2040,Jugadores!$A$2:$A$501,0)),"⚠ ID no existe"))</f>
        <v/>
      </c>
      <c r="D2040" s="19" t="n"/>
      <c r="E2040" s="19" t="n"/>
      <c r="F2040" s="16">
        <f>IF(OR(B2040="",D2040=""),"",IFERROR(INDEX('Tabla XP'!$B$2:$B$12,MATCH(D2040,'Tabla XP'!$A$2:$A$12,0))*IF(E2040="",1,E2040),0))</f>
        <v/>
      </c>
      <c r="G2040" s="19" t="n"/>
      <c r="H2040" s="19" t="n"/>
    </row>
    <row r="2041">
      <c r="A2041" s="22" t="n"/>
      <c r="B2041" s="19" t="n"/>
      <c r="C2041" s="18">
        <f>IF(B2041="","",IFERROR(INDEX(Jugadores!$C$2:$C$501,MATCH(B2041,Jugadores!$A$2:$A$501,0)),"⚠ ID no existe"))</f>
        <v/>
      </c>
      <c r="D2041" s="19" t="n"/>
      <c r="E2041" s="19" t="n"/>
      <c r="F2041" s="16">
        <f>IF(OR(B2041="",D2041=""),"",IFERROR(INDEX('Tabla XP'!$B$2:$B$12,MATCH(D2041,'Tabla XP'!$A$2:$A$12,0))*IF(E2041="",1,E2041),0))</f>
        <v/>
      </c>
      <c r="G2041" s="19" t="n"/>
      <c r="H2041" s="19" t="n"/>
    </row>
    <row r="2042">
      <c r="A2042" s="22" t="n"/>
      <c r="B2042" s="19" t="n"/>
      <c r="C2042" s="18">
        <f>IF(B2042="","",IFERROR(INDEX(Jugadores!$C$2:$C$501,MATCH(B2042,Jugadores!$A$2:$A$501,0)),"⚠ ID no existe"))</f>
        <v/>
      </c>
      <c r="D2042" s="19" t="n"/>
      <c r="E2042" s="19" t="n"/>
      <c r="F2042" s="16">
        <f>IF(OR(B2042="",D2042=""),"",IFERROR(INDEX('Tabla XP'!$B$2:$B$12,MATCH(D2042,'Tabla XP'!$A$2:$A$12,0))*IF(E2042="",1,E2042),0))</f>
        <v/>
      </c>
      <c r="G2042" s="19" t="n"/>
      <c r="H2042" s="19" t="n"/>
    </row>
    <row r="2043">
      <c r="A2043" s="22" t="n"/>
      <c r="B2043" s="19" t="n"/>
      <c r="C2043" s="18">
        <f>IF(B2043="","",IFERROR(INDEX(Jugadores!$C$2:$C$501,MATCH(B2043,Jugadores!$A$2:$A$501,0)),"⚠ ID no existe"))</f>
        <v/>
      </c>
      <c r="D2043" s="19" t="n"/>
      <c r="E2043" s="19" t="n"/>
      <c r="F2043" s="16">
        <f>IF(OR(B2043="",D2043=""),"",IFERROR(INDEX('Tabla XP'!$B$2:$B$12,MATCH(D2043,'Tabla XP'!$A$2:$A$12,0))*IF(E2043="",1,E2043),0))</f>
        <v/>
      </c>
      <c r="G2043" s="19" t="n"/>
      <c r="H2043" s="19" t="n"/>
    </row>
    <row r="2044">
      <c r="A2044" s="22" t="n"/>
      <c r="B2044" s="19" t="n"/>
      <c r="C2044" s="18">
        <f>IF(B2044="","",IFERROR(INDEX(Jugadores!$C$2:$C$501,MATCH(B2044,Jugadores!$A$2:$A$501,0)),"⚠ ID no existe"))</f>
        <v/>
      </c>
      <c r="D2044" s="19" t="n"/>
      <c r="E2044" s="19" t="n"/>
      <c r="F2044" s="16">
        <f>IF(OR(B2044="",D2044=""),"",IFERROR(INDEX('Tabla XP'!$B$2:$B$12,MATCH(D2044,'Tabla XP'!$A$2:$A$12,0))*IF(E2044="",1,E2044),0))</f>
        <v/>
      </c>
      <c r="G2044" s="19" t="n"/>
      <c r="H2044" s="19" t="n"/>
    </row>
    <row r="2045">
      <c r="A2045" s="22" t="n"/>
      <c r="B2045" s="19" t="n"/>
      <c r="C2045" s="18">
        <f>IF(B2045="","",IFERROR(INDEX(Jugadores!$C$2:$C$501,MATCH(B2045,Jugadores!$A$2:$A$501,0)),"⚠ ID no existe"))</f>
        <v/>
      </c>
      <c r="D2045" s="19" t="n"/>
      <c r="E2045" s="19" t="n"/>
      <c r="F2045" s="16">
        <f>IF(OR(B2045="",D2045=""),"",IFERROR(INDEX('Tabla XP'!$B$2:$B$12,MATCH(D2045,'Tabla XP'!$A$2:$A$12,0))*IF(E2045="",1,E2045),0))</f>
        <v/>
      </c>
      <c r="G2045" s="19" t="n"/>
      <c r="H2045" s="19" t="n"/>
    </row>
    <row r="2046">
      <c r="A2046" s="22" t="n"/>
      <c r="B2046" s="19" t="n"/>
      <c r="C2046" s="18">
        <f>IF(B2046="","",IFERROR(INDEX(Jugadores!$C$2:$C$501,MATCH(B2046,Jugadores!$A$2:$A$501,0)),"⚠ ID no existe"))</f>
        <v/>
      </c>
      <c r="D2046" s="19" t="n"/>
      <c r="E2046" s="19" t="n"/>
      <c r="F2046" s="16">
        <f>IF(OR(B2046="",D2046=""),"",IFERROR(INDEX('Tabla XP'!$B$2:$B$12,MATCH(D2046,'Tabla XP'!$A$2:$A$12,0))*IF(E2046="",1,E2046),0))</f>
        <v/>
      </c>
      <c r="G2046" s="19" t="n"/>
      <c r="H2046" s="19" t="n"/>
    </row>
    <row r="2047">
      <c r="A2047" s="22" t="n"/>
      <c r="B2047" s="19" t="n"/>
      <c r="C2047" s="18">
        <f>IF(B2047="","",IFERROR(INDEX(Jugadores!$C$2:$C$501,MATCH(B2047,Jugadores!$A$2:$A$501,0)),"⚠ ID no existe"))</f>
        <v/>
      </c>
      <c r="D2047" s="19" t="n"/>
      <c r="E2047" s="19" t="n"/>
      <c r="F2047" s="16">
        <f>IF(OR(B2047="",D2047=""),"",IFERROR(INDEX('Tabla XP'!$B$2:$B$12,MATCH(D2047,'Tabla XP'!$A$2:$A$12,0))*IF(E2047="",1,E2047),0))</f>
        <v/>
      </c>
      <c r="G2047" s="19" t="n"/>
      <c r="H2047" s="19" t="n"/>
    </row>
    <row r="2048">
      <c r="A2048" s="22" t="n"/>
      <c r="B2048" s="19" t="n"/>
      <c r="C2048" s="18">
        <f>IF(B2048="","",IFERROR(INDEX(Jugadores!$C$2:$C$501,MATCH(B2048,Jugadores!$A$2:$A$501,0)),"⚠ ID no existe"))</f>
        <v/>
      </c>
      <c r="D2048" s="19" t="n"/>
      <c r="E2048" s="19" t="n"/>
      <c r="F2048" s="16">
        <f>IF(OR(B2048="",D2048=""),"",IFERROR(INDEX('Tabla XP'!$B$2:$B$12,MATCH(D2048,'Tabla XP'!$A$2:$A$12,0))*IF(E2048="",1,E2048),0))</f>
        <v/>
      </c>
      <c r="G2048" s="19" t="n"/>
      <c r="H2048" s="19" t="n"/>
    </row>
    <row r="2049">
      <c r="A2049" s="22" t="n"/>
      <c r="B2049" s="19" t="n"/>
      <c r="C2049" s="18">
        <f>IF(B2049="","",IFERROR(INDEX(Jugadores!$C$2:$C$501,MATCH(B2049,Jugadores!$A$2:$A$501,0)),"⚠ ID no existe"))</f>
        <v/>
      </c>
      <c r="D2049" s="19" t="n"/>
      <c r="E2049" s="19" t="n"/>
      <c r="F2049" s="16">
        <f>IF(OR(B2049="",D2049=""),"",IFERROR(INDEX('Tabla XP'!$B$2:$B$12,MATCH(D2049,'Tabla XP'!$A$2:$A$12,0))*IF(E2049="",1,E2049),0))</f>
        <v/>
      </c>
      <c r="G2049" s="19" t="n"/>
      <c r="H2049" s="19" t="n"/>
    </row>
    <row r="2050">
      <c r="A2050" s="22" t="n"/>
      <c r="B2050" s="19" t="n"/>
      <c r="C2050" s="18">
        <f>IF(B2050="","",IFERROR(INDEX(Jugadores!$C$2:$C$501,MATCH(B2050,Jugadores!$A$2:$A$501,0)),"⚠ ID no existe"))</f>
        <v/>
      </c>
      <c r="D2050" s="19" t="n"/>
      <c r="E2050" s="19" t="n"/>
      <c r="F2050" s="16">
        <f>IF(OR(B2050="",D2050=""),"",IFERROR(INDEX('Tabla XP'!$B$2:$B$12,MATCH(D2050,'Tabla XP'!$A$2:$A$12,0))*IF(E2050="",1,E2050),0))</f>
        <v/>
      </c>
      <c r="G2050" s="19" t="n"/>
      <c r="H2050" s="19" t="n"/>
    </row>
    <row r="2051">
      <c r="A2051" s="22" t="n"/>
      <c r="B2051" s="19" t="n"/>
      <c r="C2051" s="18">
        <f>IF(B2051="","",IFERROR(INDEX(Jugadores!$C$2:$C$501,MATCH(B2051,Jugadores!$A$2:$A$501,0)),"⚠ ID no existe"))</f>
        <v/>
      </c>
      <c r="D2051" s="19" t="n"/>
      <c r="E2051" s="19" t="n"/>
      <c r="F2051" s="16">
        <f>IF(OR(B2051="",D2051=""),"",IFERROR(INDEX('Tabla XP'!$B$2:$B$12,MATCH(D2051,'Tabla XP'!$A$2:$A$12,0))*IF(E2051="",1,E2051),0))</f>
        <v/>
      </c>
      <c r="G2051" s="19" t="n"/>
      <c r="H2051" s="19" t="n"/>
    </row>
    <row r="2052">
      <c r="A2052" s="22" t="n"/>
      <c r="B2052" s="19" t="n"/>
      <c r="C2052" s="18">
        <f>IF(B2052="","",IFERROR(INDEX(Jugadores!$C$2:$C$501,MATCH(B2052,Jugadores!$A$2:$A$501,0)),"⚠ ID no existe"))</f>
        <v/>
      </c>
      <c r="D2052" s="19" t="n"/>
      <c r="E2052" s="19" t="n"/>
      <c r="F2052" s="16">
        <f>IF(OR(B2052="",D2052=""),"",IFERROR(INDEX('Tabla XP'!$B$2:$B$12,MATCH(D2052,'Tabla XP'!$A$2:$A$12,0))*IF(E2052="",1,E2052),0))</f>
        <v/>
      </c>
      <c r="G2052" s="19" t="n"/>
      <c r="H2052" s="19" t="n"/>
    </row>
    <row r="2053">
      <c r="A2053" s="22" t="n"/>
      <c r="B2053" s="19" t="n"/>
      <c r="C2053" s="18">
        <f>IF(B2053="","",IFERROR(INDEX(Jugadores!$C$2:$C$501,MATCH(B2053,Jugadores!$A$2:$A$501,0)),"⚠ ID no existe"))</f>
        <v/>
      </c>
      <c r="D2053" s="19" t="n"/>
      <c r="E2053" s="19" t="n"/>
      <c r="F2053" s="16">
        <f>IF(OR(B2053="",D2053=""),"",IFERROR(INDEX('Tabla XP'!$B$2:$B$12,MATCH(D2053,'Tabla XP'!$A$2:$A$12,0))*IF(E2053="",1,E2053),0))</f>
        <v/>
      </c>
      <c r="G2053" s="19" t="n"/>
      <c r="H2053" s="19" t="n"/>
    </row>
    <row r="2054">
      <c r="A2054" s="22" t="n"/>
      <c r="B2054" s="19" t="n"/>
      <c r="C2054" s="18">
        <f>IF(B2054="","",IFERROR(INDEX(Jugadores!$C$2:$C$501,MATCH(B2054,Jugadores!$A$2:$A$501,0)),"⚠ ID no existe"))</f>
        <v/>
      </c>
      <c r="D2054" s="19" t="n"/>
      <c r="E2054" s="19" t="n"/>
      <c r="F2054" s="16">
        <f>IF(OR(B2054="",D2054=""),"",IFERROR(INDEX('Tabla XP'!$B$2:$B$12,MATCH(D2054,'Tabla XP'!$A$2:$A$12,0))*IF(E2054="",1,E2054),0))</f>
        <v/>
      </c>
      <c r="G2054" s="19" t="n"/>
      <c r="H2054" s="19" t="n"/>
    </row>
    <row r="2055">
      <c r="A2055" s="22" t="n"/>
      <c r="B2055" s="19" t="n"/>
      <c r="C2055" s="18">
        <f>IF(B2055="","",IFERROR(INDEX(Jugadores!$C$2:$C$501,MATCH(B2055,Jugadores!$A$2:$A$501,0)),"⚠ ID no existe"))</f>
        <v/>
      </c>
      <c r="D2055" s="19" t="n"/>
      <c r="E2055" s="19" t="n"/>
      <c r="F2055" s="16">
        <f>IF(OR(B2055="",D2055=""),"",IFERROR(INDEX('Tabla XP'!$B$2:$B$12,MATCH(D2055,'Tabla XP'!$A$2:$A$12,0))*IF(E2055="",1,E2055),0))</f>
        <v/>
      </c>
      <c r="G2055" s="19" t="n"/>
      <c r="H2055" s="19" t="n"/>
    </row>
    <row r="2056">
      <c r="A2056" s="22" t="n"/>
      <c r="B2056" s="19" t="n"/>
      <c r="C2056" s="18">
        <f>IF(B2056="","",IFERROR(INDEX(Jugadores!$C$2:$C$501,MATCH(B2056,Jugadores!$A$2:$A$501,0)),"⚠ ID no existe"))</f>
        <v/>
      </c>
      <c r="D2056" s="19" t="n"/>
      <c r="E2056" s="19" t="n"/>
      <c r="F2056" s="16">
        <f>IF(OR(B2056="",D2056=""),"",IFERROR(INDEX('Tabla XP'!$B$2:$B$12,MATCH(D2056,'Tabla XP'!$A$2:$A$12,0))*IF(E2056="",1,E2056),0))</f>
        <v/>
      </c>
      <c r="G2056" s="19" t="n"/>
      <c r="H2056" s="19" t="n"/>
    </row>
    <row r="2057">
      <c r="A2057" s="22" t="n"/>
      <c r="B2057" s="19" t="n"/>
      <c r="C2057" s="18">
        <f>IF(B2057="","",IFERROR(INDEX(Jugadores!$C$2:$C$501,MATCH(B2057,Jugadores!$A$2:$A$501,0)),"⚠ ID no existe"))</f>
        <v/>
      </c>
      <c r="D2057" s="19" t="n"/>
      <c r="E2057" s="19" t="n"/>
      <c r="F2057" s="16">
        <f>IF(OR(B2057="",D2057=""),"",IFERROR(INDEX('Tabla XP'!$B$2:$B$12,MATCH(D2057,'Tabla XP'!$A$2:$A$12,0))*IF(E2057="",1,E2057),0))</f>
        <v/>
      </c>
      <c r="G2057" s="19" t="n"/>
      <c r="H2057" s="19" t="n"/>
    </row>
    <row r="2058">
      <c r="A2058" s="22" t="n"/>
      <c r="B2058" s="19" t="n"/>
      <c r="C2058" s="18">
        <f>IF(B2058="","",IFERROR(INDEX(Jugadores!$C$2:$C$501,MATCH(B2058,Jugadores!$A$2:$A$501,0)),"⚠ ID no existe"))</f>
        <v/>
      </c>
      <c r="D2058" s="19" t="n"/>
      <c r="E2058" s="19" t="n"/>
      <c r="F2058" s="16">
        <f>IF(OR(B2058="",D2058=""),"",IFERROR(INDEX('Tabla XP'!$B$2:$B$12,MATCH(D2058,'Tabla XP'!$A$2:$A$12,0))*IF(E2058="",1,E2058),0))</f>
        <v/>
      </c>
      <c r="G2058" s="19" t="n"/>
      <c r="H2058" s="19" t="n"/>
    </row>
    <row r="2059">
      <c r="A2059" s="22" t="n"/>
      <c r="B2059" s="19" t="n"/>
      <c r="C2059" s="18">
        <f>IF(B2059="","",IFERROR(INDEX(Jugadores!$C$2:$C$501,MATCH(B2059,Jugadores!$A$2:$A$501,0)),"⚠ ID no existe"))</f>
        <v/>
      </c>
      <c r="D2059" s="19" t="n"/>
      <c r="E2059" s="19" t="n"/>
      <c r="F2059" s="16">
        <f>IF(OR(B2059="",D2059=""),"",IFERROR(INDEX('Tabla XP'!$B$2:$B$12,MATCH(D2059,'Tabla XP'!$A$2:$A$12,0))*IF(E2059="",1,E2059),0))</f>
        <v/>
      </c>
      <c r="G2059" s="19" t="n"/>
      <c r="H2059" s="19" t="n"/>
    </row>
    <row r="2060">
      <c r="A2060" s="22" t="n"/>
      <c r="B2060" s="19" t="n"/>
      <c r="C2060" s="18">
        <f>IF(B2060="","",IFERROR(INDEX(Jugadores!$C$2:$C$501,MATCH(B2060,Jugadores!$A$2:$A$501,0)),"⚠ ID no existe"))</f>
        <v/>
      </c>
      <c r="D2060" s="19" t="n"/>
      <c r="E2060" s="19" t="n"/>
      <c r="F2060" s="16">
        <f>IF(OR(B2060="",D2060=""),"",IFERROR(INDEX('Tabla XP'!$B$2:$B$12,MATCH(D2060,'Tabla XP'!$A$2:$A$12,0))*IF(E2060="",1,E2060),0))</f>
        <v/>
      </c>
      <c r="G2060" s="19" t="n"/>
      <c r="H2060" s="19" t="n"/>
    </row>
    <row r="2061">
      <c r="A2061" s="22" t="n"/>
      <c r="B2061" s="19" t="n"/>
      <c r="C2061" s="18">
        <f>IF(B2061="","",IFERROR(INDEX(Jugadores!$C$2:$C$501,MATCH(B2061,Jugadores!$A$2:$A$501,0)),"⚠ ID no existe"))</f>
        <v/>
      </c>
      <c r="D2061" s="19" t="n"/>
      <c r="E2061" s="19" t="n"/>
      <c r="F2061" s="16">
        <f>IF(OR(B2061="",D2061=""),"",IFERROR(INDEX('Tabla XP'!$B$2:$B$12,MATCH(D2061,'Tabla XP'!$A$2:$A$12,0))*IF(E2061="",1,E2061),0))</f>
        <v/>
      </c>
      <c r="G2061" s="19" t="n"/>
      <c r="H2061" s="19" t="n"/>
    </row>
    <row r="2062">
      <c r="A2062" s="22" t="n"/>
      <c r="B2062" s="19" t="n"/>
      <c r="C2062" s="18">
        <f>IF(B2062="","",IFERROR(INDEX(Jugadores!$C$2:$C$501,MATCH(B2062,Jugadores!$A$2:$A$501,0)),"⚠ ID no existe"))</f>
        <v/>
      </c>
      <c r="D2062" s="19" t="n"/>
      <c r="E2062" s="19" t="n"/>
      <c r="F2062" s="16">
        <f>IF(OR(B2062="",D2062=""),"",IFERROR(INDEX('Tabla XP'!$B$2:$B$12,MATCH(D2062,'Tabla XP'!$A$2:$A$12,0))*IF(E2062="",1,E2062),0))</f>
        <v/>
      </c>
      <c r="G2062" s="19" t="n"/>
      <c r="H2062" s="19" t="n"/>
    </row>
    <row r="2063">
      <c r="A2063" s="22" t="n"/>
      <c r="B2063" s="19" t="n"/>
      <c r="C2063" s="18">
        <f>IF(B2063="","",IFERROR(INDEX(Jugadores!$C$2:$C$501,MATCH(B2063,Jugadores!$A$2:$A$501,0)),"⚠ ID no existe"))</f>
        <v/>
      </c>
      <c r="D2063" s="19" t="n"/>
      <c r="E2063" s="19" t="n"/>
      <c r="F2063" s="16">
        <f>IF(OR(B2063="",D2063=""),"",IFERROR(INDEX('Tabla XP'!$B$2:$B$12,MATCH(D2063,'Tabla XP'!$A$2:$A$12,0))*IF(E2063="",1,E2063),0))</f>
        <v/>
      </c>
      <c r="G2063" s="19" t="n"/>
      <c r="H2063" s="19" t="n"/>
    </row>
    <row r="2064">
      <c r="A2064" s="22" t="n"/>
      <c r="B2064" s="19" t="n"/>
      <c r="C2064" s="18">
        <f>IF(B2064="","",IFERROR(INDEX(Jugadores!$C$2:$C$501,MATCH(B2064,Jugadores!$A$2:$A$501,0)),"⚠ ID no existe"))</f>
        <v/>
      </c>
      <c r="D2064" s="19" t="n"/>
      <c r="E2064" s="19" t="n"/>
      <c r="F2064" s="16">
        <f>IF(OR(B2064="",D2064=""),"",IFERROR(INDEX('Tabla XP'!$B$2:$B$12,MATCH(D2064,'Tabla XP'!$A$2:$A$12,0))*IF(E2064="",1,E2064),0))</f>
        <v/>
      </c>
      <c r="G2064" s="19" t="n"/>
      <c r="H2064" s="19" t="n"/>
    </row>
    <row r="2065">
      <c r="A2065" s="22" t="n"/>
      <c r="B2065" s="19" t="n"/>
      <c r="C2065" s="18">
        <f>IF(B2065="","",IFERROR(INDEX(Jugadores!$C$2:$C$501,MATCH(B2065,Jugadores!$A$2:$A$501,0)),"⚠ ID no existe"))</f>
        <v/>
      </c>
      <c r="D2065" s="19" t="n"/>
      <c r="E2065" s="19" t="n"/>
      <c r="F2065" s="16">
        <f>IF(OR(B2065="",D2065=""),"",IFERROR(INDEX('Tabla XP'!$B$2:$B$12,MATCH(D2065,'Tabla XP'!$A$2:$A$12,0))*IF(E2065="",1,E2065),0))</f>
        <v/>
      </c>
      <c r="G2065" s="19" t="n"/>
      <c r="H2065" s="19" t="n"/>
    </row>
    <row r="2066">
      <c r="A2066" s="22" t="n"/>
      <c r="B2066" s="19" t="n"/>
      <c r="C2066" s="18">
        <f>IF(B2066="","",IFERROR(INDEX(Jugadores!$C$2:$C$501,MATCH(B2066,Jugadores!$A$2:$A$501,0)),"⚠ ID no existe"))</f>
        <v/>
      </c>
      <c r="D2066" s="19" t="n"/>
      <c r="E2066" s="19" t="n"/>
      <c r="F2066" s="16">
        <f>IF(OR(B2066="",D2066=""),"",IFERROR(INDEX('Tabla XP'!$B$2:$B$12,MATCH(D2066,'Tabla XP'!$A$2:$A$12,0))*IF(E2066="",1,E2066),0))</f>
        <v/>
      </c>
      <c r="G2066" s="19" t="n"/>
      <c r="H2066" s="19" t="n"/>
    </row>
    <row r="2067">
      <c r="A2067" s="22" t="n"/>
      <c r="B2067" s="19" t="n"/>
      <c r="C2067" s="18">
        <f>IF(B2067="","",IFERROR(INDEX(Jugadores!$C$2:$C$501,MATCH(B2067,Jugadores!$A$2:$A$501,0)),"⚠ ID no existe"))</f>
        <v/>
      </c>
      <c r="D2067" s="19" t="n"/>
      <c r="E2067" s="19" t="n"/>
      <c r="F2067" s="16">
        <f>IF(OR(B2067="",D2067=""),"",IFERROR(INDEX('Tabla XP'!$B$2:$B$12,MATCH(D2067,'Tabla XP'!$A$2:$A$12,0))*IF(E2067="",1,E2067),0))</f>
        <v/>
      </c>
      <c r="G2067" s="19" t="n"/>
      <c r="H2067" s="19" t="n"/>
    </row>
    <row r="2068">
      <c r="A2068" s="22" t="n"/>
      <c r="B2068" s="19" t="n"/>
      <c r="C2068" s="18">
        <f>IF(B2068="","",IFERROR(INDEX(Jugadores!$C$2:$C$501,MATCH(B2068,Jugadores!$A$2:$A$501,0)),"⚠ ID no existe"))</f>
        <v/>
      </c>
      <c r="D2068" s="19" t="n"/>
      <c r="E2068" s="19" t="n"/>
      <c r="F2068" s="16">
        <f>IF(OR(B2068="",D2068=""),"",IFERROR(INDEX('Tabla XP'!$B$2:$B$12,MATCH(D2068,'Tabla XP'!$A$2:$A$12,0))*IF(E2068="",1,E2068),0))</f>
        <v/>
      </c>
      <c r="G2068" s="19" t="n"/>
      <c r="H2068" s="19" t="n"/>
    </row>
    <row r="2069">
      <c r="A2069" s="22" t="n"/>
      <c r="B2069" s="19" t="n"/>
      <c r="C2069" s="18">
        <f>IF(B2069="","",IFERROR(INDEX(Jugadores!$C$2:$C$501,MATCH(B2069,Jugadores!$A$2:$A$501,0)),"⚠ ID no existe"))</f>
        <v/>
      </c>
      <c r="D2069" s="19" t="n"/>
      <c r="E2069" s="19" t="n"/>
      <c r="F2069" s="16">
        <f>IF(OR(B2069="",D2069=""),"",IFERROR(INDEX('Tabla XP'!$B$2:$B$12,MATCH(D2069,'Tabla XP'!$A$2:$A$12,0))*IF(E2069="",1,E2069),0))</f>
        <v/>
      </c>
      <c r="G2069" s="19" t="n"/>
      <c r="H2069" s="19" t="n"/>
    </row>
    <row r="2070">
      <c r="A2070" s="22" t="n"/>
      <c r="B2070" s="19" t="n"/>
      <c r="C2070" s="18">
        <f>IF(B2070="","",IFERROR(INDEX(Jugadores!$C$2:$C$501,MATCH(B2070,Jugadores!$A$2:$A$501,0)),"⚠ ID no existe"))</f>
        <v/>
      </c>
      <c r="D2070" s="19" t="n"/>
      <c r="E2070" s="19" t="n"/>
      <c r="F2070" s="16">
        <f>IF(OR(B2070="",D2070=""),"",IFERROR(INDEX('Tabla XP'!$B$2:$B$12,MATCH(D2070,'Tabla XP'!$A$2:$A$12,0))*IF(E2070="",1,E2070),0))</f>
        <v/>
      </c>
      <c r="G2070" s="19" t="n"/>
      <c r="H2070" s="19" t="n"/>
    </row>
    <row r="2071">
      <c r="A2071" s="22" t="n"/>
      <c r="B2071" s="19" t="n"/>
      <c r="C2071" s="18">
        <f>IF(B2071="","",IFERROR(INDEX(Jugadores!$C$2:$C$501,MATCH(B2071,Jugadores!$A$2:$A$501,0)),"⚠ ID no existe"))</f>
        <v/>
      </c>
      <c r="D2071" s="19" t="n"/>
      <c r="E2071" s="19" t="n"/>
      <c r="F2071" s="16">
        <f>IF(OR(B2071="",D2071=""),"",IFERROR(INDEX('Tabla XP'!$B$2:$B$12,MATCH(D2071,'Tabla XP'!$A$2:$A$12,0))*IF(E2071="",1,E2071),0))</f>
        <v/>
      </c>
      <c r="G2071" s="19" t="n"/>
      <c r="H2071" s="19" t="n"/>
    </row>
    <row r="2072">
      <c r="A2072" s="22" t="n"/>
      <c r="B2072" s="19" t="n"/>
      <c r="C2072" s="18">
        <f>IF(B2072="","",IFERROR(INDEX(Jugadores!$C$2:$C$501,MATCH(B2072,Jugadores!$A$2:$A$501,0)),"⚠ ID no existe"))</f>
        <v/>
      </c>
      <c r="D2072" s="19" t="n"/>
      <c r="E2072" s="19" t="n"/>
      <c r="F2072" s="16">
        <f>IF(OR(B2072="",D2072=""),"",IFERROR(INDEX('Tabla XP'!$B$2:$B$12,MATCH(D2072,'Tabla XP'!$A$2:$A$12,0))*IF(E2072="",1,E2072),0))</f>
        <v/>
      </c>
      <c r="G2072" s="19" t="n"/>
      <c r="H2072" s="19" t="n"/>
    </row>
    <row r="2073">
      <c r="A2073" s="22" t="n"/>
      <c r="B2073" s="19" t="n"/>
      <c r="C2073" s="18">
        <f>IF(B2073="","",IFERROR(INDEX(Jugadores!$C$2:$C$501,MATCH(B2073,Jugadores!$A$2:$A$501,0)),"⚠ ID no existe"))</f>
        <v/>
      </c>
      <c r="D2073" s="19" t="n"/>
      <c r="E2073" s="19" t="n"/>
      <c r="F2073" s="16">
        <f>IF(OR(B2073="",D2073=""),"",IFERROR(INDEX('Tabla XP'!$B$2:$B$12,MATCH(D2073,'Tabla XP'!$A$2:$A$12,0))*IF(E2073="",1,E2073),0))</f>
        <v/>
      </c>
      <c r="G2073" s="19" t="n"/>
      <c r="H2073" s="19" t="n"/>
    </row>
    <row r="2074">
      <c r="A2074" s="22" t="n"/>
      <c r="B2074" s="19" t="n"/>
      <c r="C2074" s="18">
        <f>IF(B2074="","",IFERROR(INDEX(Jugadores!$C$2:$C$501,MATCH(B2074,Jugadores!$A$2:$A$501,0)),"⚠ ID no existe"))</f>
        <v/>
      </c>
      <c r="D2074" s="19" t="n"/>
      <c r="E2074" s="19" t="n"/>
      <c r="F2074" s="16">
        <f>IF(OR(B2074="",D2074=""),"",IFERROR(INDEX('Tabla XP'!$B$2:$B$12,MATCH(D2074,'Tabla XP'!$A$2:$A$12,0))*IF(E2074="",1,E2074),0))</f>
        <v/>
      </c>
      <c r="G2074" s="19" t="n"/>
      <c r="H2074" s="19" t="n"/>
    </row>
    <row r="2075">
      <c r="A2075" s="22" t="n"/>
      <c r="B2075" s="19" t="n"/>
      <c r="C2075" s="18">
        <f>IF(B2075="","",IFERROR(INDEX(Jugadores!$C$2:$C$501,MATCH(B2075,Jugadores!$A$2:$A$501,0)),"⚠ ID no existe"))</f>
        <v/>
      </c>
      <c r="D2075" s="19" t="n"/>
      <c r="E2075" s="19" t="n"/>
      <c r="F2075" s="16">
        <f>IF(OR(B2075="",D2075=""),"",IFERROR(INDEX('Tabla XP'!$B$2:$B$12,MATCH(D2075,'Tabla XP'!$A$2:$A$12,0))*IF(E2075="",1,E2075),0))</f>
        <v/>
      </c>
      <c r="G2075" s="19" t="n"/>
      <c r="H2075" s="19" t="n"/>
    </row>
    <row r="2076">
      <c r="A2076" s="22" t="n"/>
      <c r="B2076" s="19" t="n"/>
      <c r="C2076" s="18">
        <f>IF(B2076="","",IFERROR(INDEX(Jugadores!$C$2:$C$501,MATCH(B2076,Jugadores!$A$2:$A$501,0)),"⚠ ID no existe"))</f>
        <v/>
      </c>
      <c r="D2076" s="19" t="n"/>
      <c r="E2076" s="19" t="n"/>
      <c r="F2076" s="16">
        <f>IF(OR(B2076="",D2076=""),"",IFERROR(INDEX('Tabla XP'!$B$2:$B$12,MATCH(D2076,'Tabla XP'!$A$2:$A$12,0))*IF(E2076="",1,E2076),0))</f>
        <v/>
      </c>
      <c r="G2076" s="19" t="n"/>
      <c r="H2076" s="19" t="n"/>
    </row>
    <row r="2077">
      <c r="A2077" s="22" t="n"/>
      <c r="B2077" s="19" t="n"/>
      <c r="C2077" s="18">
        <f>IF(B2077="","",IFERROR(INDEX(Jugadores!$C$2:$C$501,MATCH(B2077,Jugadores!$A$2:$A$501,0)),"⚠ ID no existe"))</f>
        <v/>
      </c>
      <c r="D2077" s="19" t="n"/>
      <c r="E2077" s="19" t="n"/>
      <c r="F2077" s="16">
        <f>IF(OR(B2077="",D2077=""),"",IFERROR(INDEX('Tabla XP'!$B$2:$B$12,MATCH(D2077,'Tabla XP'!$A$2:$A$12,0))*IF(E2077="",1,E2077),0))</f>
        <v/>
      </c>
      <c r="G2077" s="19" t="n"/>
      <c r="H2077" s="19" t="n"/>
    </row>
    <row r="2078">
      <c r="A2078" s="22" t="n"/>
      <c r="B2078" s="19" t="n"/>
      <c r="C2078" s="18">
        <f>IF(B2078="","",IFERROR(INDEX(Jugadores!$C$2:$C$501,MATCH(B2078,Jugadores!$A$2:$A$501,0)),"⚠ ID no existe"))</f>
        <v/>
      </c>
      <c r="D2078" s="19" t="n"/>
      <c r="E2078" s="19" t="n"/>
      <c r="F2078" s="16">
        <f>IF(OR(B2078="",D2078=""),"",IFERROR(INDEX('Tabla XP'!$B$2:$B$12,MATCH(D2078,'Tabla XP'!$A$2:$A$12,0))*IF(E2078="",1,E2078),0))</f>
        <v/>
      </c>
      <c r="G2078" s="19" t="n"/>
      <c r="H2078" s="19" t="n"/>
    </row>
    <row r="2079">
      <c r="A2079" s="22" t="n"/>
      <c r="B2079" s="19" t="n"/>
      <c r="C2079" s="18">
        <f>IF(B2079="","",IFERROR(INDEX(Jugadores!$C$2:$C$501,MATCH(B2079,Jugadores!$A$2:$A$501,0)),"⚠ ID no existe"))</f>
        <v/>
      </c>
      <c r="D2079" s="19" t="n"/>
      <c r="E2079" s="19" t="n"/>
      <c r="F2079" s="16">
        <f>IF(OR(B2079="",D2079=""),"",IFERROR(INDEX('Tabla XP'!$B$2:$B$12,MATCH(D2079,'Tabla XP'!$A$2:$A$12,0))*IF(E2079="",1,E2079),0))</f>
        <v/>
      </c>
      <c r="G2079" s="19" t="n"/>
      <c r="H2079" s="19" t="n"/>
    </row>
    <row r="2080">
      <c r="A2080" s="22" t="n"/>
      <c r="B2080" s="19" t="n"/>
      <c r="C2080" s="18">
        <f>IF(B2080="","",IFERROR(INDEX(Jugadores!$C$2:$C$501,MATCH(B2080,Jugadores!$A$2:$A$501,0)),"⚠ ID no existe"))</f>
        <v/>
      </c>
      <c r="D2080" s="19" t="n"/>
      <c r="E2080" s="19" t="n"/>
      <c r="F2080" s="16">
        <f>IF(OR(B2080="",D2080=""),"",IFERROR(INDEX('Tabla XP'!$B$2:$B$12,MATCH(D2080,'Tabla XP'!$A$2:$A$12,0))*IF(E2080="",1,E2080),0))</f>
        <v/>
      </c>
      <c r="G2080" s="19" t="n"/>
      <c r="H2080" s="19" t="n"/>
    </row>
    <row r="2081">
      <c r="A2081" s="22" t="n"/>
      <c r="B2081" s="19" t="n"/>
      <c r="C2081" s="18">
        <f>IF(B2081="","",IFERROR(INDEX(Jugadores!$C$2:$C$501,MATCH(B2081,Jugadores!$A$2:$A$501,0)),"⚠ ID no existe"))</f>
        <v/>
      </c>
      <c r="D2081" s="19" t="n"/>
      <c r="E2081" s="19" t="n"/>
      <c r="F2081" s="16">
        <f>IF(OR(B2081="",D2081=""),"",IFERROR(INDEX('Tabla XP'!$B$2:$B$12,MATCH(D2081,'Tabla XP'!$A$2:$A$12,0))*IF(E2081="",1,E2081),0))</f>
        <v/>
      </c>
      <c r="G2081" s="19" t="n"/>
      <c r="H2081" s="19" t="n"/>
    </row>
    <row r="2082">
      <c r="A2082" s="22" t="n"/>
      <c r="B2082" s="19" t="n"/>
      <c r="C2082" s="18">
        <f>IF(B2082="","",IFERROR(INDEX(Jugadores!$C$2:$C$501,MATCH(B2082,Jugadores!$A$2:$A$501,0)),"⚠ ID no existe"))</f>
        <v/>
      </c>
      <c r="D2082" s="19" t="n"/>
      <c r="E2082" s="19" t="n"/>
      <c r="F2082" s="16">
        <f>IF(OR(B2082="",D2082=""),"",IFERROR(INDEX('Tabla XP'!$B$2:$B$12,MATCH(D2082,'Tabla XP'!$A$2:$A$12,0))*IF(E2082="",1,E2082),0))</f>
        <v/>
      </c>
      <c r="G2082" s="19" t="n"/>
      <c r="H2082" s="19" t="n"/>
    </row>
    <row r="2083">
      <c r="A2083" s="22" t="n"/>
      <c r="B2083" s="19" t="n"/>
      <c r="C2083" s="18">
        <f>IF(B2083="","",IFERROR(INDEX(Jugadores!$C$2:$C$501,MATCH(B2083,Jugadores!$A$2:$A$501,0)),"⚠ ID no existe"))</f>
        <v/>
      </c>
      <c r="D2083" s="19" t="n"/>
      <c r="E2083" s="19" t="n"/>
      <c r="F2083" s="16">
        <f>IF(OR(B2083="",D2083=""),"",IFERROR(INDEX('Tabla XP'!$B$2:$B$12,MATCH(D2083,'Tabla XP'!$A$2:$A$12,0))*IF(E2083="",1,E2083),0))</f>
        <v/>
      </c>
      <c r="G2083" s="19" t="n"/>
      <c r="H2083" s="19" t="n"/>
    </row>
    <row r="2084">
      <c r="A2084" s="22" t="n"/>
      <c r="B2084" s="19" t="n"/>
      <c r="C2084" s="18">
        <f>IF(B2084="","",IFERROR(INDEX(Jugadores!$C$2:$C$501,MATCH(B2084,Jugadores!$A$2:$A$501,0)),"⚠ ID no existe"))</f>
        <v/>
      </c>
      <c r="D2084" s="19" t="n"/>
      <c r="E2084" s="19" t="n"/>
      <c r="F2084" s="16">
        <f>IF(OR(B2084="",D2084=""),"",IFERROR(INDEX('Tabla XP'!$B$2:$B$12,MATCH(D2084,'Tabla XP'!$A$2:$A$12,0))*IF(E2084="",1,E2084),0))</f>
        <v/>
      </c>
      <c r="G2084" s="19" t="n"/>
      <c r="H2084" s="19" t="n"/>
    </row>
    <row r="2085">
      <c r="A2085" s="22" t="n"/>
      <c r="B2085" s="19" t="n"/>
      <c r="C2085" s="18">
        <f>IF(B2085="","",IFERROR(INDEX(Jugadores!$C$2:$C$501,MATCH(B2085,Jugadores!$A$2:$A$501,0)),"⚠ ID no existe"))</f>
        <v/>
      </c>
      <c r="D2085" s="19" t="n"/>
      <c r="E2085" s="19" t="n"/>
      <c r="F2085" s="16">
        <f>IF(OR(B2085="",D2085=""),"",IFERROR(INDEX('Tabla XP'!$B$2:$B$12,MATCH(D2085,'Tabla XP'!$A$2:$A$12,0))*IF(E2085="",1,E2085),0))</f>
        <v/>
      </c>
      <c r="G2085" s="19" t="n"/>
      <c r="H2085" s="19" t="n"/>
    </row>
    <row r="2086">
      <c r="A2086" s="22" t="n"/>
      <c r="B2086" s="19" t="n"/>
      <c r="C2086" s="18">
        <f>IF(B2086="","",IFERROR(INDEX(Jugadores!$C$2:$C$501,MATCH(B2086,Jugadores!$A$2:$A$501,0)),"⚠ ID no existe"))</f>
        <v/>
      </c>
      <c r="D2086" s="19" t="n"/>
      <c r="E2086" s="19" t="n"/>
      <c r="F2086" s="16">
        <f>IF(OR(B2086="",D2086=""),"",IFERROR(INDEX('Tabla XP'!$B$2:$B$12,MATCH(D2086,'Tabla XP'!$A$2:$A$12,0))*IF(E2086="",1,E2086),0))</f>
        <v/>
      </c>
      <c r="G2086" s="19" t="n"/>
      <c r="H2086" s="19" t="n"/>
    </row>
    <row r="2087">
      <c r="A2087" s="22" t="n"/>
      <c r="B2087" s="19" t="n"/>
      <c r="C2087" s="18">
        <f>IF(B2087="","",IFERROR(INDEX(Jugadores!$C$2:$C$501,MATCH(B2087,Jugadores!$A$2:$A$501,0)),"⚠ ID no existe"))</f>
        <v/>
      </c>
      <c r="D2087" s="19" t="n"/>
      <c r="E2087" s="19" t="n"/>
      <c r="F2087" s="16">
        <f>IF(OR(B2087="",D2087=""),"",IFERROR(INDEX('Tabla XP'!$B$2:$B$12,MATCH(D2087,'Tabla XP'!$A$2:$A$12,0))*IF(E2087="",1,E2087),0))</f>
        <v/>
      </c>
      <c r="G2087" s="19" t="n"/>
      <c r="H2087" s="19" t="n"/>
    </row>
    <row r="2088">
      <c r="A2088" s="22" t="n"/>
      <c r="B2088" s="19" t="n"/>
      <c r="C2088" s="18">
        <f>IF(B2088="","",IFERROR(INDEX(Jugadores!$C$2:$C$501,MATCH(B2088,Jugadores!$A$2:$A$501,0)),"⚠ ID no existe"))</f>
        <v/>
      </c>
      <c r="D2088" s="19" t="n"/>
      <c r="E2088" s="19" t="n"/>
      <c r="F2088" s="16">
        <f>IF(OR(B2088="",D2088=""),"",IFERROR(INDEX('Tabla XP'!$B$2:$B$12,MATCH(D2088,'Tabla XP'!$A$2:$A$12,0))*IF(E2088="",1,E2088),0))</f>
        <v/>
      </c>
      <c r="G2088" s="19" t="n"/>
      <c r="H2088" s="19" t="n"/>
    </row>
    <row r="2089">
      <c r="A2089" s="22" t="n"/>
      <c r="B2089" s="19" t="n"/>
      <c r="C2089" s="18">
        <f>IF(B2089="","",IFERROR(INDEX(Jugadores!$C$2:$C$501,MATCH(B2089,Jugadores!$A$2:$A$501,0)),"⚠ ID no existe"))</f>
        <v/>
      </c>
      <c r="D2089" s="19" t="n"/>
      <c r="E2089" s="19" t="n"/>
      <c r="F2089" s="16">
        <f>IF(OR(B2089="",D2089=""),"",IFERROR(INDEX('Tabla XP'!$B$2:$B$12,MATCH(D2089,'Tabla XP'!$A$2:$A$12,0))*IF(E2089="",1,E2089),0))</f>
        <v/>
      </c>
      <c r="G2089" s="19" t="n"/>
      <c r="H2089" s="19" t="n"/>
    </row>
    <row r="2090">
      <c r="A2090" s="22" t="n"/>
      <c r="B2090" s="19" t="n"/>
      <c r="C2090" s="18">
        <f>IF(B2090="","",IFERROR(INDEX(Jugadores!$C$2:$C$501,MATCH(B2090,Jugadores!$A$2:$A$501,0)),"⚠ ID no existe"))</f>
        <v/>
      </c>
      <c r="D2090" s="19" t="n"/>
      <c r="E2090" s="19" t="n"/>
      <c r="F2090" s="16">
        <f>IF(OR(B2090="",D2090=""),"",IFERROR(INDEX('Tabla XP'!$B$2:$B$12,MATCH(D2090,'Tabla XP'!$A$2:$A$12,0))*IF(E2090="",1,E2090),0))</f>
        <v/>
      </c>
      <c r="G2090" s="19" t="n"/>
      <c r="H2090" s="19" t="n"/>
    </row>
    <row r="2091">
      <c r="A2091" s="22" t="n"/>
      <c r="B2091" s="19" t="n"/>
      <c r="C2091" s="18">
        <f>IF(B2091="","",IFERROR(INDEX(Jugadores!$C$2:$C$501,MATCH(B2091,Jugadores!$A$2:$A$501,0)),"⚠ ID no existe"))</f>
        <v/>
      </c>
      <c r="D2091" s="19" t="n"/>
      <c r="E2091" s="19" t="n"/>
      <c r="F2091" s="16">
        <f>IF(OR(B2091="",D2091=""),"",IFERROR(INDEX('Tabla XP'!$B$2:$B$12,MATCH(D2091,'Tabla XP'!$A$2:$A$12,0))*IF(E2091="",1,E2091),0))</f>
        <v/>
      </c>
      <c r="G2091" s="19" t="n"/>
      <c r="H2091" s="19" t="n"/>
    </row>
    <row r="2092">
      <c r="A2092" s="22" t="n"/>
      <c r="B2092" s="19" t="n"/>
      <c r="C2092" s="18">
        <f>IF(B2092="","",IFERROR(INDEX(Jugadores!$C$2:$C$501,MATCH(B2092,Jugadores!$A$2:$A$501,0)),"⚠ ID no existe"))</f>
        <v/>
      </c>
      <c r="D2092" s="19" t="n"/>
      <c r="E2092" s="19" t="n"/>
      <c r="F2092" s="16">
        <f>IF(OR(B2092="",D2092=""),"",IFERROR(INDEX('Tabla XP'!$B$2:$B$12,MATCH(D2092,'Tabla XP'!$A$2:$A$12,0))*IF(E2092="",1,E2092),0))</f>
        <v/>
      </c>
      <c r="G2092" s="19" t="n"/>
      <c r="H2092" s="19" t="n"/>
    </row>
    <row r="2093">
      <c r="A2093" s="22" t="n"/>
      <c r="B2093" s="19" t="n"/>
      <c r="C2093" s="18">
        <f>IF(B2093="","",IFERROR(INDEX(Jugadores!$C$2:$C$501,MATCH(B2093,Jugadores!$A$2:$A$501,0)),"⚠ ID no existe"))</f>
        <v/>
      </c>
      <c r="D2093" s="19" t="n"/>
      <c r="E2093" s="19" t="n"/>
      <c r="F2093" s="16">
        <f>IF(OR(B2093="",D2093=""),"",IFERROR(INDEX('Tabla XP'!$B$2:$B$12,MATCH(D2093,'Tabla XP'!$A$2:$A$12,0))*IF(E2093="",1,E2093),0))</f>
        <v/>
      </c>
      <c r="G2093" s="19" t="n"/>
      <c r="H2093" s="19" t="n"/>
    </row>
    <row r="2094">
      <c r="A2094" s="22" t="n"/>
      <c r="B2094" s="19" t="n"/>
      <c r="C2094" s="18">
        <f>IF(B2094="","",IFERROR(INDEX(Jugadores!$C$2:$C$501,MATCH(B2094,Jugadores!$A$2:$A$501,0)),"⚠ ID no existe"))</f>
        <v/>
      </c>
      <c r="D2094" s="19" t="n"/>
      <c r="E2094" s="19" t="n"/>
      <c r="F2094" s="16">
        <f>IF(OR(B2094="",D2094=""),"",IFERROR(INDEX('Tabla XP'!$B$2:$B$12,MATCH(D2094,'Tabla XP'!$A$2:$A$12,0))*IF(E2094="",1,E2094),0))</f>
        <v/>
      </c>
      <c r="G2094" s="19" t="n"/>
      <c r="H2094" s="19" t="n"/>
    </row>
    <row r="2095">
      <c r="A2095" s="22" t="n"/>
      <c r="B2095" s="19" t="n"/>
      <c r="C2095" s="18">
        <f>IF(B2095="","",IFERROR(INDEX(Jugadores!$C$2:$C$501,MATCH(B2095,Jugadores!$A$2:$A$501,0)),"⚠ ID no existe"))</f>
        <v/>
      </c>
      <c r="D2095" s="19" t="n"/>
      <c r="E2095" s="19" t="n"/>
      <c r="F2095" s="16">
        <f>IF(OR(B2095="",D2095=""),"",IFERROR(INDEX('Tabla XP'!$B$2:$B$12,MATCH(D2095,'Tabla XP'!$A$2:$A$12,0))*IF(E2095="",1,E2095),0))</f>
        <v/>
      </c>
      <c r="G2095" s="19" t="n"/>
      <c r="H2095" s="19" t="n"/>
    </row>
    <row r="2096">
      <c r="A2096" s="22" t="n"/>
      <c r="B2096" s="19" t="n"/>
      <c r="C2096" s="18">
        <f>IF(B2096="","",IFERROR(INDEX(Jugadores!$C$2:$C$501,MATCH(B2096,Jugadores!$A$2:$A$501,0)),"⚠ ID no existe"))</f>
        <v/>
      </c>
      <c r="D2096" s="19" t="n"/>
      <c r="E2096" s="19" t="n"/>
      <c r="F2096" s="16">
        <f>IF(OR(B2096="",D2096=""),"",IFERROR(INDEX('Tabla XP'!$B$2:$B$12,MATCH(D2096,'Tabla XP'!$A$2:$A$12,0))*IF(E2096="",1,E2096),0))</f>
        <v/>
      </c>
      <c r="G2096" s="19" t="n"/>
      <c r="H2096" s="19" t="n"/>
    </row>
    <row r="2097">
      <c r="A2097" s="22" t="n"/>
      <c r="B2097" s="19" t="n"/>
      <c r="C2097" s="18">
        <f>IF(B2097="","",IFERROR(INDEX(Jugadores!$C$2:$C$501,MATCH(B2097,Jugadores!$A$2:$A$501,0)),"⚠ ID no existe"))</f>
        <v/>
      </c>
      <c r="D2097" s="19" t="n"/>
      <c r="E2097" s="19" t="n"/>
      <c r="F2097" s="16">
        <f>IF(OR(B2097="",D2097=""),"",IFERROR(INDEX('Tabla XP'!$B$2:$B$12,MATCH(D2097,'Tabla XP'!$A$2:$A$12,0))*IF(E2097="",1,E2097),0))</f>
        <v/>
      </c>
      <c r="G2097" s="19" t="n"/>
      <c r="H2097" s="19" t="n"/>
    </row>
    <row r="2098">
      <c r="A2098" s="22" t="n"/>
      <c r="B2098" s="19" t="n"/>
      <c r="C2098" s="18">
        <f>IF(B2098="","",IFERROR(INDEX(Jugadores!$C$2:$C$501,MATCH(B2098,Jugadores!$A$2:$A$501,0)),"⚠ ID no existe"))</f>
        <v/>
      </c>
      <c r="D2098" s="19" t="n"/>
      <c r="E2098" s="19" t="n"/>
      <c r="F2098" s="16">
        <f>IF(OR(B2098="",D2098=""),"",IFERROR(INDEX('Tabla XP'!$B$2:$B$12,MATCH(D2098,'Tabla XP'!$A$2:$A$12,0))*IF(E2098="",1,E2098),0))</f>
        <v/>
      </c>
      <c r="G2098" s="19" t="n"/>
      <c r="H2098" s="19" t="n"/>
    </row>
    <row r="2099">
      <c r="A2099" s="22" t="n"/>
      <c r="B2099" s="19" t="n"/>
      <c r="C2099" s="18">
        <f>IF(B2099="","",IFERROR(INDEX(Jugadores!$C$2:$C$501,MATCH(B2099,Jugadores!$A$2:$A$501,0)),"⚠ ID no existe"))</f>
        <v/>
      </c>
      <c r="D2099" s="19" t="n"/>
      <c r="E2099" s="19" t="n"/>
      <c r="F2099" s="16">
        <f>IF(OR(B2099="",D2099=""),"",IFERROR(INDEX('Tabla XP'!$B$2:$B$12,MATCH(D2099,'Tabla XP'!$A$2:$A$12,0))*IF(E2099="",1,E2099),0))</f>
        <v/>
      </c>
      <c r="G2099" s="19" t="n"/>
      <c r="H2099" s="19" t="n"/>
    </row>
    <row r="2100">
      <c r="A2100" s="22" t="n"/>
      <c r="B2100" s="19" t="n"/>
      <c r="C2100" s="18">
        <f>IF(B2100="","",IFERROR(INDEX(Jugadores!$C$2:$C$501,MATCH(B2100,Jugadores!$A$2:$A$501,0)),"⚠ ID no existe"))</f>
        <v/>
      </c>
      <c r="D2100" s="19" t="n"/>
      <c r="E2100" s="19" t="n"/>
      <c r="F2100" s="16">
        <f>IF(OR(B2100="",D2100=""),"",IFERROR(INDEX('Tabla XP'!$B$2:$B$12,MATCH(D2100,'Tabla XP'!$A$2:$A$12,0))*IF(E2100="",1,E2100),0))</f>
        <v/>
      </c>
      <c r="G2100" s="19" t="n"/>
      <c r="H2100" s="19" t="n"/>
    </row>
    <row r="2101">
      <c r="A2101" s="22" t="n"/>
      <c r="B2101" s="19" t="n"/>
      <c r="C2101" s="18">
        <f>IF(B2101="","",IFERROR(INDEX(Jugadores!$C$2:$C$501,MATCH(B2101,Jugadores!$A$2:$A$501,0)),"⚠ ID no existe"))</f>
        <v/>
      </c>
      <c r="D2101" s="19" t="n"/>
      <c r="E2101" s="19" t="n"/>
      <c r="F2101" s="16">
        <f>IF(OR(B2101="",D2101=""),"",IFERROR(INDEX('Tabla XP'!$B$2:$B$12,MATCH(D2101,'Tabla XP'!$A$2:$A$12,0))*IF(E2101="",1,E2101),0))</f>
        <v/>
      </c>
      <c r="G2101" s="19" t="n"/>
      <c r="H2101" s="19" t="n"/>
    </row>
    <row r="2102">
      <c r="A2102" s="22" t="n"/>
      <c r="B2102" s="19" t="n"/>
      <c r="C2102" s="18">
        <f>IF(B2102="","",IFERROR(INDEX(Jugadores!$C$2:$C$501,MATCH(B2102,Jugadores!$A$2:$A$501,0)),"⚠ ID no existe"))</f>
        <v/>
      </c>
      <c r="D2102" s="19" t="n"/>
      <c r="E2102" s="19" t="n"/>
      <c r="F2102" s="16">
        <f>IF(OR(B2102="",D2102=""),"",IFERROR(INDEX('Tabla XP'!$B$2:$B$12,MATCH(D2102,'Tabla XP'!$A$2:$A$12,0))*IF(E2102="",1,E2102),0))</f>
        <v/>
      </c>
      <c r="G2102" s="19" t="n"/>
      <c r="H2102" s="19" t="n"/>
    </row>
    <row r="2103">
      <c r="A2103" s="22" t="n"/>
      <c r="B2103" s="19" t="n"/>
      <c r="C2103" s="18">
        <f>IF(B2103="","",IFERROR(INDEX(Jugadores!$C$2:$C$501,MATCH(B2103,Jugadores!$A$2:$A$501,0)),"⚠ ID no existe"))</f>
        <v/>
      </c>
      <c r="D2103" s="19" t="n"/>
      <c r="E2103" s="19" t="n"/>
      <c r="F2103" s="16">
        <f>IF(OR(B2103="",D2103=""),"",IFERROR(INDEX('Tabla XP'!$B$2:$B$12,MATCH(D2103,'Tabla XP'!$A$2:$A$12,0))*IF(E2103="",1,E2103),0))</f>
        <v/>
      </c>
      <c r="G2103" s="19" t="n"/>
      <c r="H2103" s="19" t="n"/>
    </row>
    <row r="2104">
      <c r="A2104" s="22" t="n"/>
      <c r="B2104" s="19" t="n"/>
      <c r="C2104" s="18">
        <f>IF(B2104="","",IFERROR(INDEX(Jugadores!$C$2:$C$501,MATCH(B2104,Jugadores!$A$2:$A$501,0)),"⚠ ID no existe"))</f>
        <v/>
      </c>
      <c r="D2104" s="19" t="n"/>
      <c r="E2104" s="19" t="n"/>
      <c r="F2104" s="16">
        <f>IF(OR(B2104="",D2104=""),"",IFERROR(INDEX('Tabla XP'!$B$2:$B$12,MATCH(D2104,'Tabla XP'!$A$2:$A$12,0))*IF(E2104="",1,E2104),0))</f>
        <v/>
      </c>
      <c r="G2104" s="19" t="n"/>
      <c r="H2104" s="19" t="n"/>
    </row>
    <row r="2105">
      <c r="A2105" s="22" t="n"/>
      <c r="B2105" s="19" t="n"/>
      <c r="C2105" s="18">
        <f>IF(B2105="","",IFERROR(INDEX(Jugadores!$C$2:$C$501,MATCH(B2105,Jugadores!$A$2:$A$501,0)),"⚠ ID no existe"))</f>
        <v/>
      </c>
      <c r="D2105" s="19" t="n"/>
      <c r="E2105" s="19" t="n"/>
      <c r="F2105" s="16">
        <f>IF(OR(B2105="",D2105=""),"",IFERROR(INDEX('Tabla XP'!$B$2:$B$12,MATCH(D2105,'Tabla XP'!$A$2:$A$12,0))*IF(E2105="",1,E2105),0))</f>
        <v/>
      </c>
      <c r="G2105" s="19" t="n"/>
      <c r="H2105" s="19" t="n"/>
    </row>
    <row r="2106">
      <c r="A2106" s="22" t="n"/>
      <c r="B2106" s="19" t="n"/>
      <c r="C2106" s="18">
        <f>IF(B2106="","",IFERROR(INDEX(Jugadores!$C$2:$C$501,MATCH(B2106,Jugadores!$A$2:$A$501,0)),"⚠ ID no existe"))</f>
        <v/>
      </c>
      <c r="D2106" s="19" t="n"/>
      <c r="E2106" s="19" t="n"/>
      <c r="F2106" s="16">
        <f>IF(OR(B2106="",D2106=""),"",IFERROR(INDEX('Tabla XP'!$B$2:$B$12,MATCH(D2106,'Tabla XP'!$A$2:$A$12,0))*IF(E2106="",1,E2106),0))</f>
        <v/>
      </c>
      <c r="G2106" s="19" t="n"/>
      <c r="H2106" s="19" t="n"/>
    </row>
    <row r="2107">
      <c r="A2107" s="22" t="n"/>
      <c r="B2107" s="19" t="n"/>
      <c r="C2107" s="18">
        <f>IF(B2107="","",IFERROR(INDEX(Jugadores!$C$2:$C$501,MATCH(B2107,Jugadores!$A$2:$A$501,0)),"⚠ ID no existe"))</f>
        <v/>
      </c>
      <c r="D2107" s="19" t="n"/>
      <c r="E2107" s="19" t="n"/>
      <c r="F2107" s="16">
        <f>IF(OR(B2107="",D2107=""),"",IFERROR(INDEX('Tabla XP'!$B$2:$B$12,MATCH(D2107,'Tabla XP'!$A$2:$A$12,0))*IF(E2107="",1,E2107),0))</f>
        <v/>
      </c>
      <c r="G2107" s="19" t="n"/>
      <c r="H2107" s="19" t="n"/>
    </row>
    <row r="2108">
      <c r="A2108" s="22" t="n"/>
      <c r="B2108" s="19" t="n"/>
      <c r="C2108" s="18">
        <f>IF(B2108="","",IFERROR(INDEX(Jugadores!$C$2:$C$501,MATCH(B2108,Jugadores!$A$2:$A$501,0)),"⚠ ID no existe"))</f>
        <v/>
      </c>
      <c r="D2108" s="19" t="n"/>
      <c r="E2108" s="19" t="n"/>
      <c r="F2108" s="16">
        <f>IF(OR(B2108="",D2108=""),"",IFERROR(INDEX('Tabla XP'!$B$2:$B$12,MATCH(D2108,'Tabla XP'!$A$2:$A$12,0))*IF(E2108="",1,E2108),0))</f>
        <v/>
      </c>
      <c r="G2108" s="19" t="n"/>
      <c r="H2108" s="19" t="n"/>
    </row>
    <row r="2109">
      <c r="A2109" s="22" t="n"/>
      <c r="B2109" s="19" t="n"/>
      <c r="C2109" s="18">
        <f>IF(B2109="","",IFERROR(INDEX(Jugadores!$C$2:$C$501,MATCH(B2109,Jugadores!$A$2:$A$501,0)),"⚠ ID no existe"))</f>
        <v/>
      </c>
      <c r="D2109" s="19" t="n"/>
      <c r="E2109" s="19" t="n"/>
      <c r="F2109" s="16">
        <f>IF(OR(B2109="",D2109=""),"",IFERROR(INDEX('Tabla XP'!$B$2:$B$12,MATCH(D2109,'Tabla XP'!$A$2:$A$12,0))*IF(E2109="",1,E2109),0))</f>
        <v/>
      </c>
      <c r="G2109" s="19" t="n"/>
      <c r="H2109" s="19" t="n"/>
    </row>
    <row r="2110">
      <c r="A2110" s="22" t="n"/>
      <c r="B2110" s="19" t="n"/>
      <c r="C2110" s="18">
        <f>IF(B2110="","",IFERROR(INDEX(Jugadores!$C$2:$C$501,MATCH(B2110,Jugadores!$A$2:$A$501,0)),"⚠ ID no existe"))</f>
        <v/>
      </c>
      <c r="D2110" s="19" t="n"/>
      <c r="E2110" s="19" t="n"/>
      <c r="F2110" s="16">
        <f>IF(OR(B2110="",D2110=""),"",IFERROR(INDEX('Tabla XP'!$B$2:$B$12,MATCH(D2110,'Tabla XP'!$A$2:$A$12,0))*IF(E2110="",1,E2110),0))</f>
        <v/>
      </c>
      <c r="G2110" s="19" t="n"/>
      <c r="H2110" s="19" t="n"/>
    </row>
    <row r="2111">
      <c r="A2111" s="22" t="n"/>
      <c r="B2111" s="19" t="n"/>
      <c r="C2111" s="18">
        <f>IF(B2111="","",IFERROR(INDEX(Jugadores!$C$2:$C$501,MATCH(B2111,Jugadores!$A$2:$A$501,0)),"⚠ ID no existe"))</f>
        <v/>
      </c>
      <c r="D2111" s="19" t="n"/>
      <c r="E2111" s="19" t="n"/>
      <c r="F2111" s="16">
        <f>IF(OR(B2111="",D2111=""),"",IFERROR(INDEX('Tabla XP'!$B$2:$B$12,MATCH(D2111,'Tabla XP'!$A$2:$A$12,0))*IF(E2111="",1,E2111),0))</f>
        <v/>
      </c>
      <c r="G2111" s="19" t="n"/>
      <c r="H2111" s="19" t="n"/>
    </row>
    <row r="2112">
      <c r="A2112" s="22" t="n"/>
      <c r="B2112" s="19" t="n"/>
      <c r="C2112" s="18">
        <f>IF(B2112="","",IFERROR(INDEX(Jugadores!$C$2:$C$501,MATCH(B2112,Jugadores!$A$2:$A$501,0)),"⚠ ID no existe"))</f>
        <v/>
      </c>
      <c r="D2112" s="19" t="n"/>
      <c r="E2112" s="19" t="n"/>
      <c r="F2112" s="16">
        <f>IF(OR(B2112="",D2112=""),"",IFERROR(INDEX('Tabla XP'!$B$2:$B$12,MATCH(D2112,'Tabla XP'!$A$2:$A$12,0))*IF(E2112="",1,E2112),0))</f>
        <v/>
      </c>
      <c r="G2112" s="19" t="n"/>
      <c r="H2112" s="19" t="n"/>
    </row>
    <row r="2113">
      <c r="A2113" s="22" t="n"/>
      <c r="B2113" s="19" t="n"/>
      <c r="C2113" s="18">
        <f>IF(B2113="","",IFERROR(INDEX(Jugadores!$C$2:$C$501,MATCH(B2113,Jugadores!$A$2:$A$501,0)),"⚠ ID no existe"))</f>
        <v/>
      </c>
      <c r="D2113" s="19" t="n"/>
      <c r="E2113" s="19" t="n"/>
      <c r="F2113" s="16">
        <f>IF(OR(B2113="",D2113=""),"",IFERROR(INDEX('Tabla XP'!$B$2:$B$12,MATCH(D2113,'Tabla XP'!$A$2:$A$12,0))*IF(E2113="",1,E2113),0))</f>
        <v/>
      </c>
      <c r="G2113" s="19" t="n"/>
      <c r="H2113" s="19" t="n"/>
    </row>
    <row r="2114">
      <c r="A2114" s="22" t="n"/>
      <c r="B2114" s="19" t="n"/>
      <c r="C2114" s="18">
        <f>IF(B2114="","",IFERROR(INDEX(Jugadores!$C$2:$C$501,MATCH(B2114,Jugadores!$A$2:$A$501,0)),"⚠ ID no existe"))</f>
        <v/>
      </c>
      <c r="D2114" s="19" t="n"/>
      <c r="E2114" s="19" t="n"/>
      <c r="F2114" s="16">
        <f>IF(OR(B2114="",D2114=""),"",IFERROR(INDEX('Tabla XP'!$B$2:$B$12,MATCH(D2114,'Tabla XP'!$A$2:$A$12,0))*IF(E2114="",1,E2114),0))</f>
        <v/>
      </c>
      <c r="G2114" s="19" t="n"/>
      <c r="H2114" s="19" t="n"/>
    </row>
    <row r="2115">
      <c r="A2115" s="22" t="n"/>
      <c r="B2115" s="19" t="n"/>
      <c r="C2115" s="18">
        <f>IF(B2115="","",IFERROR(INDEX(Jugadores!$C$2:$C$501,MATCH(B2115,Jugadores!$A$2:$A$501,0)),"⚠ ID no existe"))</f>
        <v/>
      </c>
      <c r="D2115" s="19" t="n"/>
      <c r="E2115" s="19" t="n"/>
      <c r="F2115" s="16">
        <f>IF(OR(B2115="",D2115=""),"",IFERROR(INDEX('Tabla XP'!$B$2:$B$12,MATCH(D2115,'Tabla XP'!$A$2:$A$12,0))*IF(E2115="",1,E2115),0))</f>
        <v/>
      </c>
      <c r="G2115" s="19" t="n"/>
      <c r="H2115" s="19" t="n"/>
    </row>
    <row r="2116">
      <c r="A2116" s="22" t="n"/>
      <c r="B2116" s="19" t="n"/>
      <c r="C2116" s="18">
        <f>IF(B2116="","",IFERROR(INDEX(Jugadores!$C$2:$C$501,MATCH(B2116,Jugadores!$A$2:$A$501,0)),"⚠ ID no existe"))</f>
        <v/>
      </c>
      <c r="D2116" s="19" t="n"/>
      <c r="E2116" s="19" t="n"/>
      <c r="F2116" s="16">
        <f>IF(OR(B2116="",D2116=""),"",IFERROR(INDEX('Tabla XP'!$B$2:$B$12,MATCH(D2116,'Tabla XP'!$A$2:$A$12,0))*IF(E2116="",1,E2116),0))</f>
        <v/>
      </c>
      <c r="G2116" s="19" t="n"/>
      <c r="H2116" s="19" t="n"/>
    </row>
    <row r="2117">
      <c r="A2117" s="22" t="n"/>
      <c r="B2117" s="19" t="n"/>
      <c r="C2117" s="18">
        <f>IF(B2117="","",IFERROR(INDEX(Jugadores!$C$2:$C$501,MATCH(B2117,Jugadores!$A$2:$A$501,0)),"⚠ ID no existe"))</f>
        <v/>
      </c>
      <c r="D2117" s="19" t="n"/>
      <c r="E2117" s="19" t="n"/>
      <c r="F2117" s="16">
        <f>IF(OR(B2117="",D2117=""),"",IFERROR(INDEX('Tabla XP'!$B$2:$B$12,MATCH(D2117,'Tabla XP'!$A$2:$A$12,0))*IF(E2117="",1,E2117),0))</f>
        <v/>
      </c>
      <c r="G2117" s="19" t="n"/>
      <c r="H2117" s="19" t="n"/>
    </row>
    <row r="2118">
      <c r="A2118" s="22" t="n"/>
      <c r="B2118" s="19" t="n"/>
      <c r="C2118" s="18">
        <f>IF(B2118="","",IFERROR(INDEX(Jugadores!$C$2:$C$501,MATCH(B2118,Jugadores!$A$2:$A$501,0)),"⚠ ID no existe"))</f>
        <v/>
      </c>
      <c r="D2118" s="19" t="n"/>
      <c r="E2118" s="19" t="n"/>
      <c r="F2118" s="16">
        <f>IF(OR(B2118="",D2118=""),"",IFERROR(INDEX('Tabla XP'!$B$2:$B$12,MATCH(D2118,'Tabla XP'!$A$2:$A$12,0))*IF(E2118="",1,E2118),0))</f>
        <v/>
      </c>
      <c r="G2118" s="19" t="n"/>
      <c r="H2118" s="19" t="n"/>
    </row>
    <row r="2119">
      <c r="A2119" s="22" t="n"/>
      <c r="B2119" s="19" t="n"/>
      <c r="C2119" s="18">
        <f>IF(B2119="","",IFERROR(INDEX(Jugadores!$C$2:$C$501,MATCH(B2119,Jugadores!$A$2:$A$501,0)),"⚠ ID no existe"))</f>
        <v/>
      </c>
      <c r="D2119" s="19" t="n"/>
      <c r="E2119" s="19" t="n"/>
      <c r="F2119" s="16">
        <f>IF(OR(B2119="",D2119=""),"",IFERROR(INDEX('Tabla XP'!$B$2:$B$12,MATCH(D2119,'Tabla XP'!$A$2:$A$12,0))*IF(E2119="",1,E2119),0))</f>
        <v/>
      </c>
      <c r="G2119" s="19" t="n"/>
      <c r="H2119" s="19" t="n"/>
    </row>
    <row r="2120">
      <c r="A2120" s="22" t="n"/>
      <c r="B2120" s="19" t="n"/>
      <c r="C2120" s="18">
        <f>IF(B2120="","",IFERROR(INDEX(Jugadores!$C$2:$C$501,MATCH(B2120,Jugadores!$A$2:$A$501,0)),"⚠ ID no existe"))</f>
        <v/>
      </c>
      <c r="D2120" s="19" t="n"/>
      <c r="E2120" s="19" t="n"/>
      <c r="F2120" s="16">
        <f>IF(OR(B2120="",D2120=""),"",IFERROR(INDEX('Tabla XP'!$B$2:$B$12,MATCH(D2120,'Tabla XP'!$A$2:$A$12,0))*IF(E2120="",1,E2120),0))</f>
        <v/>
      </c>
      <c r="G2120" s="19" t="n"/>
      <c r="H2120" s="19" t="n"/>
    </row>
    <row r="2121">
      <c r="A2121" s="22" t="n"/>
      <c r="B2121" s="19" t="n"/>
      <c r="C2121" s="18">
        <f>IF(B2121="","",IFERROR(INDEX(Jugadores!$C$2:$C$501,MATCH(B2121,Jugadores!$A$2:$A$501,0)),"⚠ ID no existe"))</f>
        <v/>
      </c>
      <c r="D2121" s="19" t="n"/>
      <c r="E2121" s="19" t="n"/>
      <c r="F2121" s="16">
        <f>IF(OR(B2121="",D2121=""),"",IFERROR(INDEX('Tabla XP'!$B$2:$B$12,MATCH(D2121,'Tabla XP'!$A$2:$A$12,0))*IF(E2121="",1,E2121),0))</f>
        <v/>
      </c>
      <c r="G2121" s="19" t="n"/>
      <c r="H2121" s="19" t="n"/>
    </row>
    <row r="2122">
      <c r="A2122" s="22" t="n"/>
      <c r="B2122" s="19" t="n"/>
      <c r="C2122" s="18">
        <f>IF(B2122="","",IFERROR(INDEX(Jugadores!$C$2:$C$501,MATCH(B2122,Jugadores!$A$2:$A$501,0)),"⚠ ID no existe"))</f>
        <v/>
      </c>
      <c r="D2122" s="19" t="n"/>
      <c r="E2122" s="19" t="n"/>
      <c r="F2122" s="16">
        <f>IF(OR(B2122="",D2122=""),"",IFERROR(INDEX('Tabla XP'!$B$2:$B$12,MATCH(D2122,'Tabla XP'!$A$2:$A$12,0))*IF(E2122="",1,E2122),0))</f>
        <v/>
      </c>
      <c r="G2122" s="19" t="n"/>
      <c r="H2122" s="19" t="n"/>
    </row>
    <row r="2123">
      <c r="A2123" s="22" t="n"/>
      <c r="B2123" s="19" t="n"/>
      <c r="C2123" s="18">
        <f>IF(B2123="","",IFERROR(INDEX(Jugadores!$C$2:$C$501,MATCH(B2123,Jugadores!$A$2:$A$501,0)),"⚠ ID no existe"))</f>
        <v/>
      </c>
      <c r="D2123" s="19" t="n"/>
      <c r="E2123" s="19" t="n"/>
      <c r="F2123" s="16">
        <f>IF(OR(B2123="",D2123=""),"",IFERROR(INDEX('Tabla XP'!$B$2:$B$12,MATCH(D2123,'Tabla XP'!$A$2:$A$12,0))*IF(E2123="",1,E2123),0))</f>
        <v/>
      </c>
      <c r="G2123" s="19" t="n"/>
      <c r="H2123" s="19" t="n"/>
    </row>
    <row r="2124">
      <c r="A2124" s="22" t="n"/>
      <c r="B2124" s="19" t="n"/>
      <c r="C2124" s="18">
        <f>IF(B2124="","",IFERROR(INDEX(Jugadores!$C$2:$C$501,MATCH(B2124,Jugadores!$A$2:$A$501,0)),"⚠ ID no existe"))</f>
        <v/>
      </c>
      <c r="D2124" s="19" t="n"/>
      <c r="E2124" s="19" t="n"/>
      <c r="F2124" s="16">
        <f>IF(OR(B2124="",D2124=""),"",IFERROR(INDEX('Tabla XP'!$B$2:$B$12,MATCH(D2124,'Tabla XP'!$A$2:$A$12,0))*IF(E2124="",1,E2124),0))</f>
        <v/>
      </c>
      <c r="G2124" s="19" t="n"/>
      <c r="H2124" s="19" t="n"/>
    </row>
    <row r="2125">
      <c r="A2125" s="22" t="n"/>
      <c r="B2125" s="19" t="n"/>
      <c r="C2125" s="18">
        <f>IF(B2125="","",IFERROR(INDEX(Jugadores!$C$2:$C$501,MATCH(B2125,Jugadores!$A$2:$A$501,0)),"⚠ ID no existe"))</f>
        <v/>
      </c>
      <c r="D2125" s="19" t="n"/>
      <c r="E2125" s="19" t="n"/>
      <c r="F2125" s="16">
        <f>IF(OR(B2125="",D2125=""),"",IFERROR(INDEX('Tabla XP'!$B$2:$B$12,MATCH(D2125,'Tabla XP'!$A$2:$A$12,0))*IF(E2125="",1,E2125),0))</f>
        <v/>
      </c>
      <c r="G2125" s="19" t="n"/>
      <c r="H2125" s="19" t="n"/>
    </row>
    <row r="2126">
      <c r="A2126" s="22" t="n"/>
      <c r="B2126" s="19" t="n"/>
      <c r="C2126" s="18">
        <f>IF(B2126="","",IFERROR(INDEX(Jugadores!$C$2:$C$501,MATCH(B2126,Jugadores!$A$2:$A$501,0)),"⚠ ID no existe"))</f>
        <v/>
      </c>
      <c r="D2126" s="19" t="n"/>
      <c r="E2126" s="19" t="n"/>
      <c r="F2126" s="16">
        <f>IF(OR(B2126="",D2126=""),"",IFERROR(INDEX('Tabla XP'!$B$2:$B$12,MATCH(D2126,'Tabla XP'!$A$2:$A$12,0))*IF(E2126="",1,E2126),0))</f>
        <v/>
      </c>
      <c r="G2126" s="19" t="n"/>
      <c r="H2126" s="19" t="n"/>
    </row>
    <row r="2127">
      <c r="A2127" s="22" t="n"/>
      <c r="B2127" s="19" t="n"/>
      <c r="C2127" s="18">
        <f>IF(B2127="","",IFERROR(INDEX(Jugadores!$C$2:$C$501,MATCH(B2127,Jugadores!$A$2:$A$501,0)),"⚠ ID no existe"))</f>
        <v/>
      </c>
      <c r="D2127" s="19" t="n"/>
      <c r="E2127" s="19" t="n"/>
      <c r="F2127" s="16">
        <f>IF(OR(B2127="",D2127=""),"",IFERROR(INDEX('Tabla XP'!$B$2:$B$12,MATCH(D2127,'Tabla XP'!$A$2:$A$12,0))*IF(E2127="",1,E2127),0))</f>
        <v/>
      </c>
      <c r="G2127" s="19" t="n"/>
      <c r="H2127" s="19" t="n"/>
    </row>
    <row r="2128">
      <c r="A2128" s="22" t="n"/>
      <c r="B2128" s="19" t="n"/>
      <c r="C2128" s="18">
        <f>IF(B2128="","",IFERROR(INDEX(Jugadores!$C$2:$C$501,MATCH(B2128,Jugadores!$A$2:$A$501,0)),"⚠ ID no existe"))</f>
        <v/>
      </c>
      <c r="D2128" s="19" t="n"/>
      <c r="E2128" s="19" t="n"/>
      <c r="F2128" s="16">
        <f>IF(OR(B2128="",D2128=""),"",IFERROR(INDEX('Tabla XP'!$B$2:$B$12,MATCH(D2128,'Tabla XP'!$A$2:$A$12,0))*IF(E2128="",1,E2128),0))</f>
        <v/>
      </c>
      <c r="G2128" s="19" t="n"/>
      <c r="H2128" s="19" t="n"/>
    </row>
    <row r="2129">
      <c r="A2129" s="22" t="n"/>
      <c r="B2129" s="19" t="n"/>
      <c r="C2129" s="18">
        <f>IF(B2129="","",IFERROR(INDEX(Jugadores!$C$2:$C$501,MATCH(B2129,Jugadores!$A$2:$A$501,0)),"⚠ ID no existe"))</f>
        <v/>
      </c>
      <c r="D2129" s="19" t="n"/>
      <c r="E2129" s="19" t="n"/>
      <c r="F2129" s="16">
        <f>IF(OR(B2129="",D2129=""),"",IFERROR(INDEX('Tabla XP'!$B$2:$B$12,MATCH(D2129,'Tabla XP'!$A$2:$A$12,0))*IF(E2129="",1,E2129),0))</f>
        <v/>
      </c>
      <c r="G2129" s="19" t="n"/>
      <c r="H2129" s="19" t="n"/>
    </row>
    <row r="2130">
      <c r="A2130" s="22" t="n"/>
      <c r="B2130" s="19" t="n"/>
      <c r="C2130" s="18">
        <f>IF(B2130="","",IFERROR(INDEX(Jugadores!$C$2:$C$501,MATCH(B2130,Jugadores!$A$2:$A$501,0)),"⚠ ID no existe"))</f>
        <v/>
      </c>
      <c r="D2130" s="19" t="n"/>
      <c r="E2130" s="19" t="n"/>
      <c r="F2130" s="16">
        <f>IF(OR(B2130="",D2130=""),"",IFERROR(INDEX('Tabla XP'!$B$2:$B$12,MATCH(D2130,'Tabla XP'!$A$2:$A$12,0))*IF(E2130="",1,E2130),0))</f>
        <v/>
      </c>
      <c r="G2130" s="19" t="n"/>
      <c r="H2130" s="19" t="n"/>
    </row>
    <row r="2131">
      <c r="A2131" s="22" t="n"/>
      <c r="B2131" s="19" t="n"/>
      <c r="C2131" s="18">
        <f>IF(B2131="","",IFERROR(INDEX(Jugadores!$C$2:$C$501,MATCH(B2131,Jugadores!$A$2:$A$501,0)),"⚠ ID no existe"))</f>
        <v/>
      </c>
      <c r="D2131" s="19" t="n"/>
      <c r="E2131" s="19" t="n"/>
      <c r="F2131" s="16">
        <f>IF(OR(B2131="",D2131=""),"",IFERROR(INDEX('Tabla XP'!$B$2:$B$12,MATCH(D2131,'Tabla XP'!$A$2:$A$12,0))*IF(E2131="",1,E2131),0))</f>
        <v/>
      </c>
      <c r="G2131" s="19" t="n"/>
      <c r="H2131" s="19" t="n"/>
    </row>
    <row r="2132">
      <c r="A2132" s="22" t="n"/>
      <c r="B2132" s="19" t="n"/>
      <c r="C2132" s="18">
        <f>IF(B2132="","",IFERROR(INDEX(Jugadores!$C$2:$C$501,MATCH(B2132,Jugadores!$A$2:$A$501,0)),"⚠ ID no existe"))</f>
        <v/>
      </c>
      <c r="D2132" s="19" t="n"/>
      <c r="E2132" s="19" t="n"/>
      <c r="F2132" s="16">
        <f>IF(OR(B2132="",D2132=""),"",IFERROR(INDEX('Tabla XP'!$B$2:$B$12,MATCH(D2132,'Tabla XP'!$A$2:$A$12,0))*IF(E2132="",1,E2132),0))</f>
        <v/>
      </c>
      <c r="G2132" s="19" t="n"/>
      <c r="H2132" s="19" t="n"/>
    </row>
    <row r="2133">
      <c r="A2133" s="22" t="n"/>
      <c r="B2133" s="19" t="n"/>
      <c r="C2133" s="18">
        <f>IF(B2133="","",IFERROR(INDEX(Jugadores!$C$2:$C$501,MATCH(B2133,Jugadores!$A$2:$A$501,0)),"⚠ ID no existe"))</f>
        <v/>
      </c>
      <c r="D2133" s="19" t="n"/>
      <c r="E2133" s="19" t="n"/>
      <c r="F2133" s="16">
        <f>IF(OR(B2133="",D2133=""),"",IFERROR(INDEX('Tabla XP'!$B$2:$B$12,MATCH(D2133,'Tabla XP'!$A$2:$A$12,0))*IF(E2133="",1,E2133),0))</f>
        <v/>
      </c>
      <c r="G2133" s="19" t="n"/>
      <c r="H2133" s="19" t="n"/>
    </row>
    <row r="2134">
      <c r="A2134" s="22" t="n"/>
      <c r="B2134" s="19" t="n"/>
      <c r="C2134" s="18">
        <f>IF(B2134="","",IFERROR(INDEX(Jugadores!$C$2:$C$501,MATCH(B2134,Jugadores!$A$2:$A$501,0)),"⚠ ID no existe"))</f>
        <v/>
      </c>
      <c r="D2134" s="19" t="n"/>
      <c r="E2134" s="19" t="n"/>
      <c r="F2134" s="16">
        <f>IF(OR(B2134="",D2134=""),"",IFERROR(INDEX('Tabla XP'!$B$2:$B$12,MATCH(D2134,'Tabla XP'!$A$2:$A$12,0))*IF(E2134="",1,E2134),0))</f>
        <v/>
      </c>
      <c r="G2134" s="19" t="n"/>
      <c r="H2134" s="19" t="n"/>
    </row>
    <row r="2135">
      <c r="A2135" s="22" t="n"/>
      <c r="B2135" s="19" t="n"/>
      <c r="C2135" s="18">
        <f>IF(B2135="","",IFERROR(INDEX(Jugadores!$C$2:$C$501,MATCH(B2135,Jugadores!$A$2:$A$501,0)),"⚠ ID no existe"))</f>
        <v/>
      </c>
      <c r="D2135" s="19" t="n"/>
      <c r="E2135" s="19" t="n"/>
      <c r="F2135" s="16">
        <f>IF(OR(B2135="",D2135=""),"",IFERROR(INDEX('Tabla XP'!$B$2:$B$12,MATCH(D2135,'Tabla XP'!$A$2:$A$12,0))*IF(E2135="",1,E2135),0))</f>
        <v/>
      </c>
      <c r="G2135" s="19" t="n"/>
      <c r="H2135" s="19" t="n"/>
    </row>
    <row r="2136">
      <c r="A2136" s="22" t="n"/>
      <c r="B2136" s="19" t="n"/>
      <c r="C2136" s="18">
        <f>IF(B2136="","",IFERROR(INDEX(Jugadores!$C$2:$C$501,MATCH(B2136,Jugadores!$A$2:$A$501,0)),"⚠ ID no existe"))</f>
        <v/>
      </c>
      <c r="D2136" s="19" t="n"/>
      <c r="E2136" s="19" t="n"/>
      <c r="F2136" s="16">
        <f>IF(OR(B2136="",D2136=""),"",IFERROR(INDEX('Tabla XP'!$B$2:$B$12,MATCH(D2136,'Tabla XP'!$A$2:$A$12,0))*IF(E2136="",1,E2136),0))</f>
        <v/>
      </c>
      <c r="G2136" s="19" t="n"/>
      <c r="H2136" s="19" t="n"/>
    </row>
    <row r="2137">
      <c r="A2137" s="22" t="n"/>
      <c r="B2137" s="19" t="n"/>
      <c r="C2137" s="18">
        <f>IF(B2137="","",IFERROR(INDEX(Jugadores!$C$2:$C$501,MATCH(B2137,Jugadores!$A$2:$A$501,0)),"⚠ ID no existe"))</f>
        <v/>
      </c>
      <c r="D2137" s="19" t="n"/>
      <c r="E2137" s="19" t="n"/>
      <c r="F2137" s="16">
        <f>IF(OR(B2137="",D2137=""),"",IFERROR(INDEX('Tabla XP'!$B$2:$B$12,MATCH(D2137,'Tabla XP'!$A$2:$A$12,0))*IF(E2137="",1,E2137),0))</f>
        <v/>
      </c>
      <c r="G2137" s="19" t="n"/>
      <c r="H2137" s="19" t="n"/>
    </row>
    <row r="2138">
      <c r="A2138" s="22" t="n"/>
      <c r="B2138" s="19" t="n"/>
      <c r="C2138" s="18">
        <f>IF(B2138="","",IFERROR(INDEX(Jugadores!$C$2:$C$501,MATCH(B2138,Jugadores!$A$2:$A$501,0)),"⚠ ID no existe"))</f>
        <v/>
      </c>
      <c r="D2138" s="19" t="n"/>
      <c r="E2138" s="19" t="n"/>
      <c r="F2138" s="16">
        <f>IF(OR(B2138="",D2138=""),"",IFERROR(INDEX('Tabla XP'!$B$2:$B$12,MATCH(D2138,'Tabla XP'!$A$2:$A$12,0))*IF(E2138="",1,E2138),0))</f>
        <v/>
      </c>
      <c r="G2138" s="19" t="n"/>
      <c r="H2138" s="19" t="n"/>
    </row>
    <row r="2139">
      <c r="A2139" s="22" t="n"/>
      <c r="B2139" s="19" t="n"/>
      <c r="C2139" s="18">
        <f>IF(B2139="","",IFERROR(INDEX(Jugadores!$C$2:$C$501,MATCH(B2139,Jugadores!$A$2:$A$501,0)),"⚠ ID no existe"))</f>
        <v/>
      </c>
      <c r="D2139" s="19" t="n"/>
      <c r="E2139" s="19" t="n"/>
      <c r="F2139" s="16">
        <f>IF(OR(B2139="",D2139=""),"",IFERROR(INDEX('Tabla XP'!$B$2:$B$12,MATCH(D2139,'Tabla XP'!$A$2:$A$12,0))*IF(E2139="",1,E2139),0))</f>
        <v/>
      </c>
      <c r="G2139" s="19" t="n"/>
      <c r="H2139" s="19" t="n"/>
    </row>
    <row r="2140">
      <c r="A2140" s="22" t="n"/>
      <c r="B2140" s="19" t="n"/>
      <c r="C2140" s="18">
        <f>IF(B2140="","",IFERROR(INDEX(Jugadores!$C$2:$C$501,MATCH(B2140,Jugadores!$A$2:$A$501,0)),"⚠ ID no existe"))</f>
        <v/>
      </c>
      <c r="D2140" s="19" t="n"/>
      <c r="E2140" s="19" t="n"/>
      <c r="F2140" s="16">
        <f>IF(OR(B2140="",D2140=""),"",IFERROR(INDEX('Tabla XP'!$B$2:$B$12,MATCH(D2140,'Tabla XP'!$A$2:$A$12,0))*IF(E2140="",1,E2140),0))</f>
        <v/>
      </c>
      <c r="G2140" s="19" t="n"/>
      <c r="H2140" s="19" t="n"/>
    </row>
    <row r="2141">
      <c r="A2141" s="22" t="n"/>
      <c r="B2141" s="19" t="n"/>
      <c r="C2141" s="18">
        <f>IF(B2141="","",IFERROR(INDEX(Jugadores!$C$2:$C$501,MATCH(B2141,Jugadores!$A$2:$A$501,0)),"⚠ ID no existe"))</f>
        <v/>
      </c>
      <c r="D2141" s="19" t="n"/>
      <c r="E2141" s="19" t="n"/>
      <c r="F2141" s="16">
        <f>IF(OR(B2141="",D2141=""),"",IFERROR(INDEX('Tabla XP'!$B$2:$B$12,MATCH(D2141,'Tabla XP'!$A$2:$A$12,0))*IF(E2141="",1,E2141),0))</f>
        <v/>
      </c>
      <c r="G2141" s="19" t="n"/>
      <c r="H2141" s="19" t="n"/>
    </row>
    <row r="2142">
      <c r="A2142" s="22" t="n"/>
      <c r="B2142" s="19" t="n"/>
      <c r="C2142" s="18">
        <f>IF(B2142="","",IFERROR(INDEX(Jugadores!$C$2:$C$501,MATCH(B2142,Jugadores!$A$2:$A$501,0)),"⚠ ID no existe"))</f>
        <v/>
      </c>
      <c r="D2142" s="19" t="n"/>
      <c r="E2142" s="19" t="n"/>
      <c r="F2142" s="16">
        <f>IF(OR(B2142="",D2142=""),"",IFERROR(INDEX('Tabla XP'!$B$2:$B$12,MATCH(D2142,'Tabla XP'!$A$2:$A$12,0))*IF(E2142="",1,E2142),0))</f>
        <v/>
      </c>
      <c r="G2142" s="19" t="n"/>
      <c r="H2142" s="19" t="n"/>
    </row>
    <row r="2143">
      <c r="A2143" s="22" t="n"/>
      <c r="B2143" s="19" t="n"/>
      <c r="C2143" s="18">
        <f>IF(B2143="","",IFERROR(INDEX(Jugadores!$C$2:$C$501,MATCH(B2143,Jugadores!$A$2:$A$501,0)),"⚠ ID no existe"))</f>
        <v/>
      </c>
      <c r="D2143" s="19" t="n"/>
      <c r="E2143" s="19" t="n"/>
      <c r="F2143" s="16">
        <f>IF(OR(B2143="",D2143=""),"",IFERROR(INDEX('Tabla XP'!$B$2:$B$12,MATCH(D2143,'Tabla XP'!$A$2:$A$12,0))*IF(E2143="",1,E2143),0))</f>
        <v/>
      </c>
      <c r="G2143" s="19" t="n"/>
      <c r="H2143" s="19" t="n"/>
    </row>
    <row r="2144">
      <c r="A2144" s="22" t="n"/>
      <c r="B2144" s="19" t="n"/>
      <c r="C2144" s="18">
        <f>IF(B2144="","",IFERROR(INDEX(Jugadores!$C$2:$C$501,MATCH(B2144,Jugadores!$A$2:$A$501,0)),"⚠ ID no existe"))</f>
        <v/>
      </c>
      <c r="D2144" s="19" t="n"/>
      <c r="E2144" s="19" t="n"/>
      <c r="F2144" s="16">
        <f>IF(OR(B2144="",D2144=""),"",IFERROR(INDEX('Tabla XP'!$B$2:$B$12,MATCH(D2144,'Tabla XP'!$A$2:$A$12,0))*IF(E2144="",1,E2144),0))</f>
        <v/>
      </c>
      <c r="G2144" s="19" t="n"/>
      <c r="H2144" s="19" t="n"/>
    </row>
    <row r="2145">
      <c r="A2145" s="22" t="n"/>
      <c r="B2145" s="19" t="n"/>
      <c r="C2145" s="18">
        <f>IF(B2145="","",IFERROR(INDEX(Jugadores!$C$2:$C$501,MATCH(B2145,Jugadores!$A$2:$A$501,0)),"⚠ ID no existe"))</f>
        <v/>
      </c>
      <c r="D2145" s="19" t="n"/>
      <c r="E2145" s="19" t="n"/>
      <c r="F2145" s="16">
        <f>IF(OR(B2145="",D2145=""),"",IFERROR(INDEX('Tabla XP'!$B$2:$B$12,MATCH(D2145,'Tabla XP'!$A$2:$A$12,0))*IF(E2145="",1,E2145),0))</f>
        <v/>
      </c>
      <c r="G2145" s="19" t="n"/>
      <c r="H2145" s="19" t="n"/>
    </row>
    <row r="2146">
      <c r="A2146" s="22" t="n"/>
      <c r="B2146" s="19" t="n"/>
      <c r="C2146" s="18">
        <f>IF(B2146="","",IFERROR(INDEX(Jugadores!$C$2:$C$501,MATCH(B2146,Jugadores!$A$2:$A$501,0)),"⚠ ID no existe"))</f>
        <v/>
      </c>
      <c r="D2146" s="19" t="n"/>
      <c r="E2146" s="19" t="n"/>
      <c r="F2146" s="16">
        <f>IF(OR(B2146="",D2146=""),"",IFERROR(INDEX('Tabla XP'!$B$2:$B$12,MATCH(D2146,'Tabla XP'!$A$2:$A$12,0))*IF(E2146="",1,E2146),0))</f>
        <v/>
      </c>
      <c r="G2146" s="19" t="n"/>
      <c r="H2146" s="19" t="n"/>
    </row>
    <row r="2147">
      <c r="A2147" s="22" t="n"/>
      <c r="B2147" s="19" t="n"/>
      <c r="C2147" s="18">
        <f>IF(B2147="","",IFERROR(INDEX(Jugadores!$C$2:$C$501,MATCH(B2147,Jugadores!$A$2:$A$501,0)),"⚠ ID no existe"))</f>
        <v/>
      </c>
      <c r="D2147" s="19" t="n"/>
      <c r="E2147" s="19" t="n"/>
      <c r="F2147" s="16">
        <f>IF(OR(B2147="",D2147=""),"",IFERROR(INDEX('Tabla XP'!$B$2:$B$12,MATCH(D2147,'Tabla XP'!$A$2:$A$12,0))*IF(E2147="",1,E2147),0))</f>
        <v/>
      </c>
      <c r="G2147" s="19" t="n"/>
      <c r="H2147" s="19" t="n"/>
    </row>
    <row r="2148">
      <c r="A2148" s="22" t="n"/>
      <c r="B2148" s="19" t="n"/>
      <c r="C2148" s="18">
        <f>IF(B2148="","",IFERROR(INDEX(Jugadores!$C$2:$C$501,MATCH(B2148,Jugadores!$A$2:$A$501,0)),"⚠ ID no existe"))</f>
        <v/>
      </c>
      <c r="D2148" s="19" t="n"/>
      <c r="E2148" s="19" t="n"/>
      <c r="F2148" s="16">
        <f>IF(OR(B2148="",D2148=""),"",IFERROR(INDEX('Tabla XP'!$B$2:$B$12,MATCH(D2148,'Tabla XP'!$A$2:$A$12,0))*IF(E2148="",1,E2148),0))</f>
        <v/>
      </c>
      <c r="G2148" s="19" t="n"/>
      <c r="H2148" s="19" t="n"/>
    </row>
    <row r="2149">
      <c r="A2149" s="22" t="n"/>
      <c r="B2149" s="19" t="n"/>
      <c r="C2149" s="18">
        <f>IF(B2149="","",IFERROR(INDEX(Jugadores!$C$2:$C$501,MATCH(B2149,Jugadores!$A$2:$A$501,0)),"⚠ ID no existe"))</f>
        <v/>
      </c>
      <c r="D2149" s="19" t="n"/>
      <c r="E2149" s="19" t="n"/>
      <c r="F2149" s="16">
        <f>IF(OR(B2149="",D2149=""),"",IFERROR(INDEX('Tabla XP'!$B$2:$B$12,MATCH(D2149,'Tabla XP'!$A$2:$A$12,0))*IF(E2149="",1,E2149),0))</f>
        <v/>
      </c>
      <c r="G2149" s="19" t="n"/>
      <c r="H2149" s="19" t="n"/>
    </row>
    <row r="2150">
      <c r="A2150" s="22" t="n"/>
      <c r="B2150" s="19" t="n"/>
      <c r="C2150" s="18">
        <f>IF(B2150="","",IFERROR(INDEX(Jugadores!$C$2:$C$501,MATCH(B2150,Jugadores!$A$2:$A$501,0)),"⚠ ID no existe"))</f>
        <v/>
      </c>
      <c r="D2150" s="19" t="n"/>
      <c r="E2150" s="19" t="n"/>
      <c r="F2150" s="16">
        <f>IF(OR(B2150="",D2150=""),"",IFERROR(INDEX('Tabla XP'!$B$2:$B$12,MATCH(D2150,'Tabla XP'!$A$2:$A$12,0))*IF(E2150="",1,E2150),0))</f>
        <v/>
      </c>
      <c r="G2150" s="19" t="n"/>
      <c r="H2150" s="19" t="n"/>
    </row>
    <row r="2151">
      <c r="A2151" s="22" t="n"/>
      <c r="B2151" s="19" t="n"/>
      <c r="C2151" s="18">
        <f>IF(B2151="","",IFERROR(INDEX(Jugadores!$C$2:$C$501,MATCH(B2151,Jugadores!$A$2:$A$501,0)),"⚠ ID no existe"))</f>
        <v/>
      </c>
      <c r="D2151" s="19" t="n"/>
      <c r="E2151" s="19" t="n"/>
      <c r="F2151" s="16">
        <f>IF(OR(B2151="",D2151=""),"",IFERROR(INDEX('Tabla XP'!$B$2:$B$12,MATCH(D2151,'Tabla XP'!$A$2:$A$12,0))*IF(E2151="",1,E2151),0))</f>
        <v/>
      </c>
      <c r="G2151" s="19" t="n"/>
      <c r="H2151" s="19" t="n"/>
    </row>
    <row r="2152">
      <c r="A2152" s="22" t="n"/>
      <c r="B2152" s="19" t="n"/>
      <c r="C2152" s="18">
        <f>IF(B2152="","",IFERROR(INDEX(Jugadores!$C$2:$C$501,MATCH(B2152,Jugadores!$A$2:$A$501,0)),"⚠ ID no existe"))</f>
        <v/>
      </c>
      <c r="D2152" s="19" t="n"/>
      <c r="E2152" s="19" t="n"/>
      <c r="F2152" s="16">
        <f>IF(OR(B2152="",D2152=""),"",IFERROR(INDEX('Tabla XP'!$B$2:$B$12,MATCH(D2152,'Tabla XP'!$A$2:$A$12,0))*IF(E2152="",1,E2152),0))</f>
        <v/>
      </c>
      <c r="G2152" s="19" t="n"/>
      <c r="H2152" s="19" t="n"/>
    </row>
    <row r="2153">
      <c r="A2153" s="22" t="n"/>
      <c r="B2153" s="19" t="n"/>
      <c r="C2153" s="18">
        <f>IF(B2153="","",IFERROR(INDEX(Jugadores!$C$2:$C$501,MATCH(B2153,Jugadores!$A$2:$A$501,0)),"⚠ ID no existe"))</f>
        <v/>
      </c>
      <c r="D2153" s="19" t="n"/>
      <c r="E2153" s="19" t="n"/>
      <c r="F2153" s="16">
        <f>IF(OR(B2153="",D2153=""),"",IFERROR(INDEX('Tabla XP'!$B$2:$B$12,MATCH(D2153,'Tabla XP'!$A$2:$A$12,0))*IF(E2153="",1,E2153),0))</f>
        <v/>
      </c>
      <c r="G2153" s="19" t="n"/>
      <c r="H2153" s="19" t="n"/>
    </row>
    <row r="2154">
      <c r="A2154" s="22" t="n"/>
      <c r="B2154" s="19" t="n"/>
      <c r="C2154" s="18">
        <f>IF(B2154="","",IFERROR(INDEX(Jugadores!$C$2:$C$501,MATCH(B2154,Jugadores!$A$2:$A$501,0)),"⚠ ID no existe"))</f>
        <v/>
      </c>
      <c r="D2154" s="19" t="n"/>
      <c r="E2154" s="19" t="n"/>
      <c r="F2154" s="16">
        <f>IF(OR(B2154="",D2154=""),"",IFERROR(INDEX('Tabla XP'!$B$2:$B$12,MATCH(D2154,'Tabla XP'!$A$2:$A$12,0))*IF(E2154="",1,E2154),0))</f>
        <v/>
      </c>
      <c r="G2154" s="19" t="n"/>
      <c r="H2154" s="19" t="n"/>
    </row>
    <row r="2155">
      <c r="A2155" s="22" t="n"/>
      <c r="B2155" s="19" t="n"/>
      <c r="C2155" s="18">
        <f>IF(B2155="","",IFERROR(INDEX(Jugadores!$C$2:$C$501,MATCH(B2155,Jugadores!$A$2:$A$501,0)),"⚠ ID no existe"))</f>
        <v/>
      </c>
      <c r="D2155" s="19" t="n"/>
      <c r="E2155" s="19" t="n"/>
      <c r="F2155" s="16">
        <f>IF(OR(B2155="",D2155=""),"",IFERROR(INDEX('Tabla XP'!$B$2:$B$12,MATCH(D2155,'Tabla XP'!$A$2:$A$12,0))*IF(E2155="",1,E2155),0))</f>
        <v/>
      </c>
      <c r="G2155" s="19" t="n"/>
      <c r="H2155" s="19" t="n"/>
    </row>
    <row r="2156">
      <c r="A2156" s="22" t="n"/>
      <c r="B2156" s="19" t="n"/>
      <c r="C2156" s="18">
        <f>IF(B2156="","",IFERROR(INDEX(Jugadores!$C$2:$C$501,MATCH(B2156,Jugadores!$A$2:$A$501,0)),"⚠ ID no existe"))</f>
        <v/>
      </c>
      <c r="D2156" s="19" t="n"/>
      <c r="E2156" s="19" t="n"/>
      <c r="F2156" s="16">
        <f>IF(OR(B2156="",D2156=""),"",IFERROR(INDEX('Tabla XP'!$B$2:$B$12,MATCH(D2156,'Tabla XP'!$A$2:$A$12,0))*IF(E2156="",1,E2156),0))</f>
        <v/>
      </c>
      <c r="G2156" s="19" t="n"/>
      <c r="H2156" s="19" t="n"/>
    </row>
    <row r="2157">
      <c r="A2157" s="22" t="n"/>
      <c r="B2157" s="19" t="n"/>
      <c r="C2157" s="18">
        <f>IF(B2157="","",IFERROR(INDEX(Jugadores!$C$2:$C$501,MATCH(B2157,Jugadores!$A$2:$A$501,0)),"⚠ ID no existe"))</f>
        <v/>
      </c>
      <c r="D2157" s="19" t="n"/>
      <c r="E2157" s="19" t="n"/>
      <c r="F2157" s="16">
        <f>IF(OR(B2157="",D2157=""),"",IFERROR(INDEX('Tabla XP'!$B$2:$B$12,MATCH(D2157,'Tabla XP'!$A$2:$A$12,0))*IF(E2157="",1,E2157),0))</f>
        <v/>
      </c>
      <c r="G2157" s="19" t="n"/>
      <c r="H2157" s="19" t="n"/>
    </row>
    <row r="2158">
      <c r="A2158" s="22" t="n"/>
      <c r="B2158" s="19" t="n"/>
      <c r="C2158" s="18">
        <f>IF(B2158="","",IFERROR(INDEX(Jugadores!$C$2:$C$501,MATCH(B2158,Jugadores!$A$2:$A$501,0)),"⚠ ID no existe"))</f>
        <v/>
      </c>
      <c r="D2158" s="19" t="n"/>
      <c r="E2158" s="19" t="n"/>
      <c r="F2158" s="16">
        <f>IF(OR(B2158="",D2158=""),"",IFERROR(INDEX('Tabla XP'!$B$2:$B$12,MATCH(D2158,'Tabla XP'!$A$2:$A$12,0))*IF(E2158="",1,E2158),0))</f>
        <v/>
      </c>
      <c r="G2158" s="19" t="n"/>
      <c r="H2158" s="19" t="n"/>
    </row>
    <row r="2159">
      <c r="A2159" s="22" t="n"/>
      <c r="B2159" s="19" t="n"/>
      <c r="C2159" s="18">
        <f>IF(B2159="","",IFERROR(INDEX(Jugadores!$C$2:$C$501,MATCH(B2159,Jugadores!$A$2:$A$501,0)),"⚠ ID no existe"))</f>
        <v/>
      </c>
      <c r="D2159" s="19" t="n"/>
      <c r="E2159" s="19" t="n"/>
      <c r="F2159" s="16">
        <f>IF(OR(B2159="",D2159=""),"",IFERROR(INDEX('Tabla XP'!$B$2:$B$12,MATCH(D2159,'Tabla XP'!$A$2:$A$12,0))*IF(E2159="",1,E2159),0))</f>
        <v/>
      </c>
      <c r="G2159" s="19" t="n"/>
      <c r="H2159" s="19" t="n"/>
    </row>
    <row r="2160">
      <c r="A2160" s="22" t="n"/>
      <c r="B2160" s="19" t="n"/>
      <c r="C2160" s="18">
        <f>IF(B2160="","",IFERROR(INDEX(Jugadores!$C$2:$C$501,MATCH(B2160,Jugadores!$A$2:$A$501,0)),"⚠ ID no existe"))</f>
        <v/>
      </c>
      <c r="D2160" s="19" t="n"/>
      <c r="E2160" s="19" t="n"/>
      <c r="F2160" s="16">
        <f>IF(OR(B2160="",D2160=""),"",IFERROR(INDEX('Tabla XP'!$B$2:$B$12,MATCH(D2160,'Tabla XP'!$A$2:$A$12,0))*IF(E2160="",1,E2160),0))</f>
        <v/>
      </c>
      <c r="G2160" s="19" t="n"/>
      <c r="H2160" s="19" t="n"/>
    </row>
    <row r="2161">
      <c r="A2161" s="22" t="n"/>
      <c r="B2161" s="19" t="n"/>
      <c r="C2161" s="18">
        <f>IF(B2161="","",IFERROR(INDEX(Jugadores!$C$2:$C$501,MATCH(B2161,Jugadores!$A$2:$A$501,0)),"⚠ ID no existe"))</f>
        <v/>
      </c>
      <c r="D2161" s="19" t="n"/>
      <c r="E2161" s="19" t="n"/>
      <c r="F2161" s="16">
        <f>IF(OR(B2161="",D2161=""),"",IFERROR(INDEX('Tabla XP'!$B$2:$B$12,MATCH(D2161,'Tabla XP'!$A$2:$A$12,0))*IF(E2161="",1,E2161),0))</f>
        <v/>
      </c>
      <c r="G2161" s="19" t="n"/>
      <c r="H2161" s="19" t="n"/>
    </row>
    <row r="2162">
      <c r="A2162" s="22" t="n"/>
      <c r="B2162" s="19" t="n"/>
      <c r="C2162" s="18">
        <f>IF(B2162="","",IFERROR(INDEX(Jugadores!$C$2:$C$501,MATCH(B2162,Jugadores!$A$2:$A$501,0)),"⚠ ID no existe"))</f>
        <v/>
      </c>
      <c r="D2162" s="19" t="n"/>
      <c r="E2162" s="19" t="n"/>
      <c r="F2162" s="16">
        <f>IF(OR(B2162="",D2162=""),"",IFERROR(INDEX('Tabla XP'!$B$2:$B$12,MATCH(D2162,'Tabla XP'!$A$2:$A$12,0))*IF(E2162="",1,E2162),0))</f>
        <v/>
      </c>
      <c r="G2162" s="19" t="n"/>
      <c r="H2162" s="19" t="n"/>
    </row>
    <row r="2163">
      <c r="A2163" s="22" t="n"/>
      <c r="B2163" s="19" t="n"/>
      <c r="C2163" s="18">
        <f>IF(B2163="","",IFERROR(INDEX(Jugadores!$C$2:$C$501,MATCH(B2163,Jugadores!$A$2:$A$501,0)),"⚠ ID no existe"))</f>
        <v/>
      </c>
      <c r="D2163" s="19" t="n"/>
      <c r="E2163" s="19" t="n"/>
      <c r="F2163" s="16">
        <f>IF(OR(B2163="",D2163=""),"",IFERROR(INDEX('Tabla XP'!$B$2:$B$12,MATCH(D2163,'Tabla XP'!$A$2:$A$12,0))*IF(E2163="",1,E2163),0))</f>
        <v/>
      </c>
      <c r="G2163" s="19" t="n"/>
      <c r="H2163" s="19" t="n"/>
    </row>
    <row r="2164">
      <c r="A2164" s="22" t="n"/>
      <c r="B2164" s="19" t="n"/>
      <c r="C2164" s="18">
        <f>IF(B2164="","",IFERROR(INDEX(Jugadores!$C$2:$C$501,MATCH(B2164,Jugadores!$A$2:$A$501,0)),"⚠ ID no existe"))</f>
        <v/>
      </c>
      <c r="D2164" s="19" t="n"/>
      <c r="E2164" s="19" t="n"/>
      <c r="F2164" s="16">
        <f>IF(OR(B2164="",D2164=""),"",IFERROR(INDEX('Tabla XP'!$B$2:$B$12,MATCH(D2164,'Tabla XP'!$A$2:$A$12,0))*IF(E2164="",1,E2164),0))</f>
        <v/>
      </c>
      <c r="G2164" s="19" t="n"/>
      <c r="H2164" s="19" t="n"/>
    </row>
    <row r="2165">
      <c r="A2165" s="22" t="n"/>
      <c r="B2165" s="19" t="n"/>
      <c r="C2165" s="18">
        <f>IF(B2165="","",IFERROR(INDEX(Jugadores!$C$2:$C$501,MATCH(B2165,Jugadores!$A$2:$A$501,0)),"⚠ ID no existe"))</f>
        <v/>
      </c>
      <c r="D2165" s="19" t="n"/>
      <c r="E2165" s="19" t="n"/>
      <c r="F2165" s="16">
        <f>IF(OR(B2165="",D2165=""),"",IFERROR(INDEX('Tabla XP'!$B$2:$B$12,MATCH(D2165,'Tabla XP'!$A$2:$A$12,0))*IF(E2165="",1,E2165),0))</f>
        <v/>
      </c>
      <c r="G2165" s="19" t="n"/>
      <c r="H2165" s="19" t="n"/>
    </row>
    <row r="2166">
      <c r="A2166" s="22" t="n"/>
      <c r="B2166" s="19" t="n"/>
      <c r="C2166" s="18">
        <f>IF(B2166="","",IFERROR(INDEX(Jugadores!$C$2:$C$501,MATCH(B2166,Jugadores!$A$2:$A$501,0)),"⚠ ID no existe"))</f>
        <v/>
      </c>
      <c r="D2166" s="19" t="n"/>
      <c r="E2166" s="19" t="n"/>
      <c r="F2166" s="16">
        <f>IF(OR(B2166="",D2166=""),"",IFERROR(INDEX('Tabla XP'!$B$2:$B$12,MATCH(D2166,'Tabla XP'!$A$2:$A$12,0))*IF(E2166="",1,E2166),0))</f>
        <v/>
      </c>
      <c r="G2166" s="19" t="n"/>
      <c r="H2166" s="19" t="n"/>
    </row>
    <row r="2167">
      <c r="A2167" s="22" t="n"/>
      <c r="B2167" s="19" t="n"/>
      <c r="C2167" s="18">
        <f>IF(B2167="","",IFERROR(INDEX(Jugadores!$C$2:$C$501,MATCH(B2167,Jugadores!$A$2:$A$501,0)),"⚠ ID no existe"))</f>
        <v/>
      </c>
      <c r="D2167" s="19" t="n"/>
      <c r="E2167" s="19" t="n"/>
      <c r="F2167" s="16">
        <f>IF(OR(B2167="",D2167=""),"",IFERROR(INDEX('Tabla XP'!$B$2:$B$12,MATCH(D2167,'Tabla XP'!$A$2:$A$12,0))*IF(E2167="",1,E2167),0))</f>
        <v/>
      </c>
      <c r="G2167" s="19" t="n"/>
      <c r="H2167" s="19" t="n"/>
    </row>
    <row r="2168">
      <c r="A2168" s="22" t="n"/>
      <c r="B2168" s="19" t="n"/>
      <c r="C2168" s="18">
        <f>IF(B2168="","",IFERROR(INDEX(Jugadores!$C$2:$C$501,MATCH(B2168,Jugadores!$A$2:$A$501,0)),"⚠ ID no existe"))</f>
        <v/>
      </c>
      <c r="D2168" s="19" t="n"/>
      <c r="E2168" s="19" t="n"/>
      <c r="F2168" s="16">
        <f>IF(OR(B2168="",D2168=""),"",IFERROR(INDEX('Tabla XP'!$B$2:$B$12,MATCH(D2168,'Tabla XP'!$A$2:$A$12,0))*IF(E2168="",1,E2168),0))</f>
        <v/>
      </c>
      <c r="G2168" s="19" t="n"/>
      <c r="H2168" s="19" t="n"/>
    </row>
    <row r="2169">
      <c r="A2169" s="22" t="n"/>
      <c r="B2169" s="19" t="n"/>
      <c r="C2169" s="18">
        <f>IF(B2169="","",IFERROR(INDEX(Jugadores!$C$2:$C$501,MATCH(B2169,Jugadores!$A$2:$A$501,0)),"⚠ ID no existe"))</f>
        <v/>
      </c>
      <c r="D2169" s="19" t="n"/>
      <c r="E2169" s="19" t="n"/>
      <c r="F2169" s="16">
        <f>IF(OR(B2169="",D2169=""),"",IFERROR(INDEX('Tabla XP'!$B$2:$B$12,MATCH(D2169,'Tabla XP'!$A$2:$A$12,0))*IF(E2169="",1,E2169),0))</f>
        <v/>
      </c>
      <c r="G2169" s="19" t="n"/>
      <c r="H2169" s="19" t="n"/>
    </row>
    <row r="2170">
      <c r="A2170" s="22" t="n"/>
      <c r="B2170" s="19" t="n"/>
      <c r="C2170" s="18">
        <f>IF(B2170="","",IFERROR(INDEX(Jugadores!$C$2:$C$501,MATCH(B2170,Jugadores!$A$2:$A$501,0)),"⚠ ID no existe"))</f>
        <v/>
      </c>
      <c r="D2170" s="19" t="n"/>
      <c r="E2170" s="19" t="n"/>
      <c r="F2170" s="16">
        <f>IF(OR(B2170="",D2170=""),"",IFERROR(INDEX('Tabla XP'!$B$2:$B$12,MATCH(D2170,'Tabla XP'!$A$2:$A$12,0))*IF(E2170="",1,E2170),0))</f>
        <v/>
      </c>
      <c r="G2170" s="19" t="n"/>
      <c r="H2170" s="19" t="n"/>
    </row>
    <row r="2171">
      <c r="A2171" s="22" t="n"/>
      <c r="B2171" s="19" t="n"/>
      <c r="C2171" s="18">
        <f>IF(B2171="","",IFERROR(INDEX(Jugadores!$C$2:$C$501,MATCH(B2171,Jugadores!$A$2:$A$501,0)),"⚠ ID no existe"))</f>
        <v/>
      </c>
      <c r="D2171" s="19" t="n"/>
      <c r="E2171" s="19" t="n"/>
      <c r="F2171" s="16">
        <f>IF(OR(B2171="",D2171=""),"",IFERROR(INDEX('Tabla XP'!$B$2:$B$12,MATCH(D2171,'Tabla XP'!$A$2:$A$12,0))*IF(E2171="",1,E2171),0))</f>
        <v/>
      </c>
      <c r="G2171" s="19" t="n"/>
      <c r="H2171" s="19" t="n"/>
    </row>
    <row r="2172">
      <c r="A2172" s="22" t="n"/>
      <c r="B2172" s="19" t="n"/>
      <c r="C2172" s="18">
        <f>IF(B2172="","",IFERROR(INDEX(Jugadores!$C$2:$C$501,MATCH(B2172,Jugadores!$A$2:$A$501,0)),"⚠ ID no existe"))</f>
        <v/>
      </c>
      <c r="D2172" s="19" t="n"/>
      <c r="E2172" s="19" t="n"/>
      <c r="F2172" s="16">
        <f>IF(OR(B2172="",D2172=""),"",IFERROR(INDEX('Tabla XP'!$B$2:$B$12,MATCH(D2172,'Tabla XP'!$A$2:$A$12,0))*IF(E2172="",1,E2172),0))</f>
        <v/>
      </c>
      <c r="G2172" s="19" t="n"/>
      <c r="H2172" s="19" t="n"/>
    </row>
    <row r="2173">
      <c r="A2173" s="22" t="n"/>
      <c r="B2173" s="19" t="n"/>
      <c r="C2173" s="18">
        <f>IF(B2173="","",IFERROR(INDEX(Jugadores!$C$2:$C$501,MATCH(B2173,Jugadores!$A$2:$A$501,0)),"⚠ ID no existe"))</f>
        <v/>
      </c>
      <c r="D2173" s="19" t="n"/>
      <c r="E2173" s="19" t="n"/>
      <c r="F2173" s="16">
        <f>IF(OR(B2173="",D2173=""),"",IFERROR(INDEX('Tabla XP'!$B$2:$B$12,MATCH(D2173,'Tabla XP'!$A$2:$A$12,0))*IF(E2173="",1,E2173),0))</f>
        <v/>
      </c>
      <c r="G2173" s="19" t="n"/>
      <c r="H2173" s="19" t="n"/>
    </row>
    <row r="2174">
      <c r="A2174" s="22" t="n"/>
      <c r="B2174" s="19" t="n"/>
      <c r="C2174" s="18">
        <f>IF(B2174="","",IFERROR(INDEX(Jugadores!$C$2:$C$501,MATCH(B2174,Jugadores!$A$2:$A$501,0)),"⚠ ID no existe"))</f>
        <v/>
      </c>
      <c r="D2174" s="19" t="n"/>
      <c r="E2174" s="19" t="n"/>
      <c r="F2174" s="16">
        <f>IF(OR(B2174="",D2174=""),"",IFERROR(INDEX('Tabla XP'!$B$2:$B$12,MATCH(D2174,'Tabla XP'!$A$2:$A$12,0))*IF(E2174="",1,E2174),0))</f>
        <v/>
      </c>
      <c r="G2174" s="19" t="n"/>
      <c r="H2174" s="19" t="n"/>
    </row>
    <row r="2175">
      <c r="A2175" s="22" t="n"/>
      <c r="B2175" s="19" t="n"/>
      <c r="C2175" s="18">
        <f>IF(B2175="","",IFERROR(INDEX(Jugadores!$C$2:$C$501,MATCH(B2175,Jugadores!$A$2:$A$501,0)),"⚠ ID no existe"))</f>
        <v/>
      </c>
      <c r="D2175" s="19" t="n"/>
      <c r="E2175" s="19" t="n"/>
      <c r="F2175" s="16">
        <f>IF(OR(B2175="",D2175=""),"",IFERROR(INDEX('Tabla XP'!$B$2:$B$12,MATCH(D2175,'Tabla XP'!$A$2:$A$12,0))*IF(E2175="",1,E2175),0))</f>
        <v/>
      </c>
      <c r="G2175" s="19" t="n"/>
      <c r="H2175" s="19" t="n"/>
    </row>
    <row r="2176">
      <c r="A2176" s="22" t="n"/>
      <c r="B2176" s="19" t="n"/>
      <c r="C2176" s="18">
        <f>IF(B2176="","",IFERROR(INDEX(Jugadores!$C$2:$C$501,MATCH(B2176,Jugadores!$A$2:$A$501,0)),"⚠ ID no existe"))</f>
        <v/>
      </c>
      <c r="D2176" s="19" t="n"/>
      <c r="E2176" s="19" t="n"/>
      <c r="F2176" s="16">
        <f>IF(OR(B2176="",D2176=""),"",IFERROR(INDEX('Tabla XP'!$B$2:$B$12,MATCH(D2176,'Tabla XP'!$A$2:$A$12,0))*IF(E2176="",1,E2176),0))</f>
        <v/>
      </c>
      <c r="G2176" s="19" t="n"/>
      <c r="H2176" s="19" t="n"/>
    </row>
    <row r="2177">
      <c r="A2177" s="22" t="n"/>
      <c r="B2177" s="19" t="n"/>
      <c r="C2177" s="18">
        <f>IF(B2177="","",IFERROR(INDEX(Jugadores!$C$2:$C$501,MATCH(B2177,Jugadores!$A$2:$A$501,0)),"⚠ ID no existe"))</f>
        <v/>
      </c>
      <c r="D2177" s="19" t="n"/>
      <c r="E2177" s="19" t="n"/>
      <c r="F2177" s="16">
        <f>IF(OR(B2177="",D2177=""),"",IFERROR(INDEX('Tabla XP'!$B$2:$B$12,MATCH(D2177,'Tabla XP'!$A$2:$A$12,0))*IF(E2177="",1,E2177),0))</f>
        <v/>
      </c>
      <c r="G2177" s="19" t="n"/>
      <c r="H2177" s="19" t="n"/>
    </row>
    <row r="2178">
      <c r="A2178" s="22" t="n"/>
      <c r="B2178" s="19" t="n"/>
      <c r="C2178" s="18">
        <f>IF(B2178="","",IFERROR(INDEX(Jugadores!$C$2:$C$501,MATCH(B2178,Jugadores!$A$2:$A$501,0)),"⚠ ID no existe"))</f>
        <v/>
      </c>
      <c r="D2178" s="19" t="n"/>
      <c r="E2178" s="19" t="n"/>
      <c r="F2178" s="16">
        <f>IF(OR(B2178="",D2178=""),"",IFERROR(INDEX('Tabla XP'!$B$2:$B$12,MATCH(D2178,'Tabla XP'!$A$2:$A$12,0))*IF(E2178="",1,E2178),0))</f>
        <v/>
      </c>
      <c r="G2178" s="19" t="n"/>
      <c r="H2178" s="19" t="n"/>
    </row>
    <row r="2179">
      <c r="A2179" s="22" t="n"/>
      <c r="B2179" s="19" t="n"/>
      <c r="C2179" s="18">
        <f>IF(B2179="","",IFERROR(INDEX(Jugadores!$C$2:$C$501,MATCH(B2179,Jugadores!$A$2:$A$501,0)),"⚠ ID no existe"))</f>
        <v/>
      </c>
      <c r="D2179" s="19" t="n"/>
      <c r="E2179" s="19" t="n"/>
      <c r="F2179" s="16">
        <f>IF(OR(B2179="",D2179=""),"",IFERROR(INDEX('Tabla XP'!$B$2:$B$12,MATCH(D2179,'Tabla XP'!$A$2:$A$12,0))*IF(E2179="",1,E2179),0))</f>
        <v/>
      </c>
      <c r="G2179" s="19" t="n"/>
      <c r="H2179" s="19" t="n"/>
    </row>
    <row r="2180">
      <c r="A2180" s="22" t="n"/>
      <c r="B2180" s="19" t="n"/>
      <c r="C2180" s="18">
        <f>IF(B2180="","",IFERROR(INDEX(Jugadores!$C$2:$C$501,MATCH(B2180,Jugadores!$A$2:$A$501,0)),"⚠ ID no existe"))</f>
        <v/>
      </c>
      <c r="D2180" s="19" t="n"/>
      <c r="E2180" s="19" t="n"/>
      <c r="F2180" s="16">
        <f>IF(OR(B2180="",D2180=""),"",IFERROR(INDEX('Tabla XP'!$B$2:$B$12,MATCH(D2180,'Tabla XP'!$A$2:$A$12,0))*IF(E2180="",1,E2180),0))</f>
        <v/>
      </c>
      <c r="G2180" s="19" t="n"/>
      <c r="H2180" s="19" t="n"/>
    </row>
    <row r="2181">
      <c r="A2181" s="22" t="n"/>
      <c r="B2181" s="19" t="n"/>
      <c r="C2181" s="18">
        <f>IF(B2181="","",IFERROR(INDEX(Jugadores!$C$2:$C$501,MATCH(B2181,Jugadores!$A$2:$A$501,0)),"⚠ ID no existe"))</f>
        <v/>
      </c>
      <c r="D2181" s="19" t="n"/>
      <c r="E2181" s="19" t="n"/>
      <c r="F2181" s="16">
        <f>IF(OR(B2181="",D2181=""),"",IFERROR(INDEX('Tabla XP'!$B$2:$B$12,MATCH(D2181,'Tabla XP'!$A$2:$A$12,0))*IF(E2181="",1,E2181),0))</f>
        <v/>
      </c>
      <c r="G2181" s="19" t="n"/>
      <c r="H2181" s="19" t="n"/>
    </row>
    <row r="2182">
      <c r="A2182" s="22" t="n"/>
      <c r="B2182" s="19" t="n"/>
      <c r="C2182" s="18">
        <f>IF(B2182="","",IFERROR(INDEX(Jugadores!$C$2:$C$501,MATCH(B2182,Jugadores!$A$2:$A$501,0)),"⚠ ID no existe"))</f>
        <v/>
      </c>
      <c r="D2182" s="19" t="n"/>
      <c r="E2182" s="19" t="n"/>
      <c r="F2182" s="16">
        <f>IF(OR(B2182="",D2182=""),"",IFERROR(INDEX('Tabla XP'!$B$2:$B$12,MATCH(D2182,'Tabla XP'!$A$2:$A$12,0))*IF(E2182="",1,E2182),0))</f>
        <v/>
      </c>
      <c r="G2182" s="19" t="n"/>
      <c r="H2182" s="19" t="n"/>
    </row>
    <row r="2183">
      <c r="A2183" s="22" t="n"/>
      <c r="B2183" s="19" t="n"/>
      <c r="C2183" s="18">
        <f>IF(B2183="","",IFERROR(INDEX(Jugadores!$C$2:$C$501,MATCH(B2183,Jugadores!$A$2:$A$501,0)),"⚠ ID no existe"))</f>
        <v/>
      </c>
      <c r="D2183" s="19" t="n"/>
      <c r="E2183" s="19" t="n"/>
      <c r="F2183" s="16">
        <f>IF(OR(B2183="",D2183=""),"",IFERROR(INDEX('Tabla XP'!$B$2:$B$12,MATCH(D2183,'Tabla XP'!$A$2:$A$12,0))*IF(E2183="",1,E2183),0))</f>
        <v/>
      </c>
      <c r="G2183" s="19" t="n"/>
      <c r="H2183" s="19" t="n"/>
    </row>
    <row r="2184">
      <c r="A2184" s="22" t="n"/>
      <c r="B2184" s="19" t="n"/>
      <c r="C2184" s="18">
        <f>IF(B2184="","",IFERROR(INDEX(Jugadores!$C$2:$C$501,MATCH(B2184,Jugadores!$A$2:$A$501,0)),"⚠ ID no existe"))</f>
        <v/>
      </c>
      <c r="D2184" s="19" t="n"/>
      <c r="E2184" s="19" t="n"/>
      <c r="F2184" s="16">
        <f>IF(OR(B2184="",D2184=""),"",IFERROR(INDEX('Tabla XP'!$B$2:$B$12,MATCH(D2184,'Tabla XP'!$A$2:$A$12,0))*IF(E2184="",1,E2184),0))</f>
        <v/>
      </c>
      <c r="G2184" s="19" t="n"/>
      <c r="H2184" s="19" t="n"/>
    </row>
    <row r="2185">
      <c r="A2185" s="22" t="n"/>
      <c r="B2185" s="19" t="n"/>
      <c r="C2185" s="18">
        <f>IF(B2185="","",IFERROR(INDEX(Jugadores!$C$2:$C$501,MATCH(B2185,Jugadores!$A$2:$A$501,0)),"⚠ ID no existe"))</f>
        <v/>
      </c>
      <c r="D2185" s="19" t="n"/>
      <c r="E2185" s="19" t="n"/>
      <c r="F2185" s="16">
        <f>IF(OR(B2185="",D2185=""),"",IFERROR(INDEX('Tabla XP'!$B$2:$B$12,MATCH(D2185,'Tabla XP'!$A$2:$A$12,0))*IF(E2185="",1,E2185),0))</f>
        <v/>
      </c>
      <c r="G2185" s="19" t="n"/>
      <c r="H2185" s="19" t="n"/>
    </row>
    <row r="2186">
      <c r="A2186" s="22" t="n"/>
      <c r="B2186" s="19" t="n"/>
      <c r="C2186" s="18">
        <f>IF(B2186="","",IFERROR(INDEX(Jugadores!$C$2:$C$501,MATCH(B2186,Jugadores!$A$2:$A$501,0)),"⚠ ID no existe"))</f>
        <v/>
      </c>
      <c r="D2186" s="19" t="n"/>
      <c r="E2186" s="19" t="n"/>
      <c r="F2186" s="16">
        <f>IF(OR(B2186="",D2186=""),"",IFERROR(INDEX('Tabla XP'!$B$2:$B$12,MATCH(D2186,'Tabla XP'!$A$2:$A$12,0))*IF(E2186="",1,E2186),0))</f>
        <v/>
      </c>
      <c r="G2186" s="19" t="n"/>
      <c r="H2186" s="19" t="n"/>
    </row>
    <row r="2187">
      <c r="A2187" s="22" t="n"/>
      <c r="B2187" s="19" t="n"/>
      <c r="C2187" s="18">
        <f>IF(B2187="","",IFERROR(INDEX(Jugadores!$C$2:$C$501,MATCH(B2187,Jugadores!$A$2:$A$501,0)),"⚠ ID no existe"))</f>
        <v/>
      </c>
      <c r="D2187" s="19" t="n"/>
      <c r="E2187" s="19" t="n"/>
      <c r="F2187" s="16">
        <f>IF(OR(B2187="",D2187=""),"",IFERROR(INDEX('Tabla XP'!$B$2:$B$12,MATCH(D2187,'Tabla XP'!$A$2:$A$12,0))*IF(E2187="",1,E2187),0))</f>
        <v/>
      </c>
      <c r="G2187" s="19" t="n"/>
      <c r="H2187" s="19" t="n"/>
    </row>
    <row r="2188">
      <c r="A2188" s="22" t="n"/>
      <c r="B2188" s="19" t="n"/>
      <c r="C2188" s="18">
        <f>IF(B2188="","",IFERROR(INDEX(Jugadores!$C$2:$C$501,MATCH(B2188,Jugadores!$A$2:$A$501,0)),"⚠ ID no existe"))</f>
        <v/>
      </c>
      <c r="D2188" s="19" t="n"/>
      <c r="E2188" s="19" t="n"/>
      <c r="F2188" s="16">
        <f>IF(OR(B2188="",D2188=""),"",IFERROR(INDEX('Tabla XP'!$B$2:$B$12,MATCH(D2188,'Tabla XP'!$A$2:$A$12,0))*IF(E2188="",1,E2188),0))</f>
        <v/>
      </c>
      <c r="G2188" s="19" t="n"/>
      <c r="H2188" s="19" t="n"/>
    </row>
    <row r="2189">
      <c r="A2189" s="22" t="n"/>
      <c r="B2189" s="19" t="n"/>
      <c r="C2189" s="18">
        <f>IF(B2189="","",IFERROR(INDEX(Jugadores!$C$2:$C$501,MATCH(B2189,Jugadores!$A$2:$A$501,0)),"⚠ ID no existe"))</f>
        <v/>
      </c>
      <c r="D2189" s="19" t="n"/>
      <c r="E2189" s="19" t="n"/>
      <c r="F2189" s="16">
        <f>IF(OR(B2189="",D2189=""),"",IFERROR(INDEX('Tabla XP'!$B$2:$B$12,MATCH(D2189,'Tabla XP'!$A$2:$A$12,0))*IF(E2189="",1,E2189),0))</f>
        <v/>
      </c>
      <c r="G2189" s="19" t="n"/>
      <c r="H2189" s="19" t="n"/>
    </row>
    <row r="2190">
      <c r="A2190" s="22" t="n"/>
      <c r="B2190" s="19" t="n"/>
      <c r="C2190" s="18">
        <f>IF(B2190="","",IFERROR(INDEX(Jugadores!$C$2:$C$501,MATCH(B2190,Jugadores!$A$2:$A$501,0)),"⚠ ID no existe"))</f>
        <v/>
      </c>
      <c r="D2190" s="19" t="n"/>
      <c r="E2190" s="19" t="n"/>
      <c r="F2190" s="16">
        <f>IF(OR(B2190="",D2190=""),"",IFERROR(INDEX('Tabla XP'!$B$2:$B$12,MATCH(D2190,'Tabla XP'!$A$2:$A$12,0))*IF(E2190="",1,E2190),0))</f>
        <v/>
      </c>
      <c r="G2190" s="19" t="n"/>
      <c r="H2190" s="19" t="n"/>
    </row>
    <row r="2191">
      <c r="A2191" s="22" t="n"/>
      <c r="B2191" s="19" t="n"/>
      <c r="C2191" s="18">
        <f>IF(B2191="","",IFERROR(INDEX(Jugadores!$C$2:$C$501,MATCH(B2191,Jugadores!$A$2:$A$501,0)),"⚠ ID no existe"))</f>
        <v/>
      </c>
      <c r="D2191" s="19" t="n"/>
      <c r="E2191" s="19" t="n"/>
      <c r="F2191" s="16">
        <f>IF(OR(B2191="",D2191=""),"",IFERROR(INDEX('Tabla XP'!$B$2:$B$12,MATCH(D2191,'Tabla XP'!$A$2:$A$12,0))*IF(E2191="",1,E2191),0))</f>
        <v/>
      </c>
      <c r="G2191" s="19" t="n"/>
      <c r="H2191" s="19" t="n"/>
    </row>
    <row r="2192">
      <c r="A2192" s="22" t="n"/>
      <c r="B2192" s="19" t="n"/>
      <c r="C2192" s="18">
        <f>IF(B2192="","",IFERROR(INDEX(Jugadores!$C$2:$C$501,MATCH(B2192,Jugadores!$A$2:$A$501,0)),"⚠ ID no existe"))</f>
        <v/>
      </c>
      <c r="D2192" s="19" t="n"/>
      <c r="E2192" s="19" t="n"/>
      <c r="F2192" s="16">
        <f>IF(OR(B2192="",D2192=""),"",IFERROR(INDEX('Tabla XP'!$B$2:$B$12,MATCH(D2192,'Tabla XP'!$A$2:$A$12,0))*IF(E2192="",1,E2192),0))</f>
        <v/>
      </c>
      <c r="G2192" s="19" t="n"/>
      <c r="H2192" s="19" t="n"/>
    </row>
    <row r="2193">
      <c r="A2193" s="22" t="n"/>
      <c r="B2193" s="19" t="n"/>
      <c r="C2193" s="18">
        <f>IF(B2193="","",IFERROR(INDEX(Jugadores!$C$2:$C$501,MATCH(B2193,Jugadores!$A$2:$A$501,0)),"⚠ ID no existe"))</f>
        <v/>
      </c>
      <c r="D2193" s="19" t="n"/>
      <c r="E2193" s="19" t="n"/>
      <c r="F2193" s="16">
        <f>IF(OR(B2193="",D2193=""),"",IFERROR(INDEX('Tabla XP'!$B$2:$B$12,MATCH(D2193,'Tabla XP'!$A$2:$A$12,0))*IF(E2193="",1,E2193),0))</f>
        <v/>
      </c>
      <c r="G2193" s="19" t="n"/>
      <c r="H2193" s="19" t="n"/>
    </row>
    <row r="2194">
      <c r="A2194" s="22" t="n"/>
      <c r="B2194" s="19" t="n"/>
      <c r="C2194" s="18">
        <f>IF(B2194="","",IFERROR(INDEX(Jugadores!$C$2:$C$501,MATCH(B2194,Jugadores!$A$2:$A$501,0)),"⚠ ID no existe"))</f>
        <v/>
      </c>
      <c r="D2194" s="19" t="n"/>
      <c r="E2194" s="19" t="n"/>
      <c r="F2194" s="16">
        <f>IF(OR(B2194="",D2194=""),"",IFERROR(INDEX('Tabla XP'!$B$2:$B$12,MATCH(D2194,'Tabla XP'!$A$2:$A$12,0))*IF(E2194="",1,E2194),0))</f>
        <v/>
      </c>
      <c r="G2194" s="19" t="n"/>
      <c r="H2194" s="19" t="n"/>
    </row>
    <row r="2195">
      <c r="A2195" s="22" t="n"/>
      <c r="B2195" s="19" t="n"/>
      <c r="C2195" s="18">
        <f>IF(B2195="","",IFERROR(INDEX(Jugadores!$C$2:$C$501,MATCH(B2195,Jugadores!$A$2:$A$501,0)),"⚠ ID no existe"))</f>
        <v/>
      </c>
      <c r="D2195" s="19" t="n"/>
      <c r="E2195" s="19" t="n"/>
      <c r="F2195" s="16">
        <f>IF(OR(B2195="",D2195=""),"",IFERROR(INDEX('Tabla XP'!$B$2:$B$12,MATCH(D2195,'Tabla XP'!$A$2:$A$12,0))*IF(E2195="",1,E2195),0))</f>
        <v/>
      </c>
      <c r="G2195" s="19" t="n"/>
      <c r="H2195" s="19" t="n"/>
    </row>
    <row r="2196">
      <c r="A2196" s="22" t="n"/>
      <c r="B2196" s="19" t="n"/>
      <c r="C2196" s="18">
        <f>IF(B2196="","",IFERROR(INDEX(Jugadores!$C$2:$C$501,MATCH(B2196,Jugadores!$A$2:$A$501,0)),"⚠ ID no existe"))</f>
        <v/>
      </c>
      <c r="D2196" s="19" t="n"/>
      <c r="E2196" s="19" t="n"/>
      <c r="F2196" s="16">
        <f>IF(OR(B2196="",D2196=""),"",IFERROR(INDEX('Tabla XP'!$B$2:$B$12,MATCH(D2196,'Tabla XP'!$A$2:$A$12,0))*IF(E2196="",1,E2196),0))</f>
        <v/>
      </c>
      <c r="G2196" s="19" t="n"/>
      <c r="H2196" s="19" t="n"/>
    </row>
    <row r="2197">
      <c r="A2197" s="22" t="n"/>
      <c r="B2197" s="19" t="n"/>
      <c r="C2197" s="18">
        <f>IF(B2197="","",IFERROR(INDEX(Jugadores!$C$2:$C$501,MATCH(B2197,Jugadores!$A$2:$A$501,0)),"⚠ ID no existe"))</f>
        <v/>
      </c>
      <c r="D2197" s="19" t="n"/>
      <c r="E2197" s="19" t="n"/>
      <c r="F2197" s="16">
        <f>IF(OR(B2197="",D2197=""),"",IFERROR(INDEX('Tabla XP'!$B$2:$B$12,MATCH(D2197,'Tabla XP'!$A$2:$A$12,0))*IF(E2197="",1,E2197),0))</f>
        <v/>
      </c>
      <c r="G2197" s="19" t="n"/>
      <c r="H2197" s="19" t="n"/>
    </row>
    <row r="2198">
      <c r="A2198" s="22" t="n"/>
      <c r="B2198" s="19" t="n"/>
      <c r="C2198" s="18">
        <f>IF(B2198="","",IFERROR(INDEX(Jugadores!$C$2:$C$501,MATCH(B2198,Jugadores!$A$2:$A$501,0)),"⚠ ID no existe"))</f>
        <v/>
      </c>
      <c r="D2198" s="19" t="n"/>
      <c r="E2198" s="19" t="n"/>
      <c r="F2198" s="16">
        <f>IF(OR(B2198="",D2198=""),"",IFERROR(INDEX('Tabla XP'!$B$2:$B$12,MATCH(D2198,'Tabla XP'!$A$2:$A$12,0))*IF(E2198="",1,E2198),0))</f>
        <v/>
      </c>
      <c r="G2198" s="19" t="n"/>
      <c r="H2198" s="19" t="n"/>
    </row>
    <row r="2199">
      <c r="A2199" s="22" t="n"/>
      <c r="B2199" s="19" t="n"/>
      <c r="C2199" s="18">
        <f>IF(B2199="","",IFERROR(INDEX(Jugadores!$C$2:$C$501,MATCH(B2199,Jugadores!$A$2:$A$501,0)),"⚠ ID no existe"))</f>
        <v/>
      </c>
      <c r="D2199" s="19" t="n"/>
      <c r="E2199" s="19" t="n"/>
      <c r="F2199" s="16">
        <f>IF(OR(B2199="",D2199=""),"",IFERROR(INDEX('Tabla XP'!$B$2:$B$12,MATCH(D2199,'Tabla XP'!$A$2:$A$12,0))*IF(E2199="",1,E2199),0))</f>
        <v/>
      </c>
      <c r="G2199" s="19" t="n"/>
      <c r="H2199" s="19" t="n"/>
    </row>
    <row r="2200">
      <c r="A2200" s="22" t="n"/>
      <c r="B2200" s="19" t="n"/>
      <c r="C2200" s="18">
        <f>IF(B2200="","",IFERROR(INDEX(Jugadores!$C$2:$C$501,MATCH(B2200,Jugadores!$A$2:$A$501,0)),"⚠ ID no existe"))</f>
        <v/>
      </c>
      <c r="D2200" s="19" t="n"/>
      <c r="E2200" s="19" t="n"/>
      <c r="F2200" s="16">
        <f>IF(OR(B2200="",D2200=""),"",IFERROR(INDEX('Tabla XP'!$B$2:$B$12,MATCH(D2200,'Tabla XP'!$A$2:$A$12,0))*IF(E2200="",1,E2200),0))</f>
        <v/>
      </c>
      <c r="G2200" s="19" t="n"/>
      <c r="H2200" s="19" t="n"/>
    </row>
    <row r="2201">
      <c r="A2201" s="22" t="n"/>
      <c r="B2201" s="19" t="n"/>
      <c r="C2201" s="18">
        <f>IF(B2201="","",IFERROR(INDEX(Jugadores!$C$2:$C$501,MATCH(B2201,Jugadores!$A$2:$A$501,0)),"⚠ ID no existe"))</f>
        <v/>
      </c>
      <c r="D2201" s="19" t="n"/>
      <c r="E2201" s="19" t="n"/>
      <c r="F2201" s="16">
        <f>IF(OR(B2201="",D2201=""),"",IFERROR(INDEX('Tabla XP'!$B$2:$B$12,MATCH(D2201,'Tabla XP'!$A$2:$A$12,0))*IF(E2201="",1,E2201),0))</f>
        <v/>
      </c>
      <c r="G2201" s="19" t="n"/>
      <c r="H2201" s="19" t="n"/>
    </row>
    <row r="2202">
      <c r="A2202" s="22" t="n"/>
      <c r="B2202" s="19" t="n"/>
      <c r="C2202" s="18">
        <f>IF(B2202="","",IFERROR(INDEX(Jugadores!$C$2:$C$501,MATCH(B2202,Jugadores!$A$2:$A$501,0)),"⚠ ID no existe"))</f>
        <v/>
      </c>
      <c r="D2202" s="19" t="n"/>
      <c r="E2202" s="19" t="n"/>
      <c r="F2202" s="16">
        <f>IF(OR(B2202="",D2202=""),"",IFERROR(INDEX('Tabla XP'!$B$2:$B$12,MATCH(D2202,'Tabla XP'!$A$2:$A$12,0))*IF(E2202="",1,E2202),0))</f>
        <v/>
      </c>
      <c r="G2202" s="19" t="n"/>
      <c r="H2202" s="19" t="n"/>
    </row>
    <row r="2203">
      <c r="A2203" s="22" t="n"/>
      <c r="B2203" s="19" t="n"/>
      <c r="C2203" s="18">
        <f>IF(B2203="","",IFERROR(INDEX(Jugadores!$C$2:$C$501,MATCH(B2203,Jugadores!$A$2:$A$501,0)),"⚠ ID no existe"))</f>
        <v/>
      </c>
      <c r="D2203" s="19" t="n"/>
      <c r="E2203" s="19" t="n"/>
      <c r="F2203" s="16">
        <f>IF(OR(B2203="",D2203=""),"",IFERROR(INDEX('Tabla XP'!$B$2:$B$12,MATCH(D2203,'Tabla XP'!$A$2:$A$12,0))*IF(E2203="",1,E2203),0))</f>
        <v/>
      </c>
      <c r="G2203" s="19" t="n"/>
      <c r="H2203" s="19" t="n"/>
    </row>
    <row r="2204">
      <c r="A2204" s="22" t="n"/>
      <c r="B2204" s="19" t="n"/>
      <c r="C2204" s="18">
        <f>IF(B2204="","",IFERROR(INDEX(Jugadores!$C$2:$C$501,MATCH(B2204,Jugadores!$A$2:$A$501,0)),"⚠ ID no existe"))</f>
        <v/>
      </c>
      <c r="D2204" s="19" t="n"/>
      <c r="E2204" s="19" t="n"/>
      <c r="F2204" s="16">
        <f>IF(OR(B2204="",D2204=""),"",IFERROR(INDEX('Tabla XP'!$B$2:$B$12,MATCH(D2204,'Tabla XP'!$A$2:$A$12,0))*IF(E2204="",1,E2204),0))</f>
        <v/>
      </c>
      <c r="G2204" s="19" t="n"/>
      <c r="H2204" s="19" t="n"/>
    </row>
    <row r="2205">
      <c r="A2205" s="22" t="n"/>
      <c r="B2205" s="19" t="n"/>
      <c r="C2205" s="18">
        <f>IF(B2205="","",IFERROR(INDEX(Jugadores!$C$2:$C$501,MATCH(B2205,Jugadores!$A$2:$A$501,0)),"⚠ ID no existe"))</f>
        <v/>
      </c>
      <c r="D2205" s="19" t="n"/>
      <c r="E2205" s="19" t="n"/>
      <c r="F2205" s="16">
        <f>IF(OR(B2205="",D2205=""),"",IFERROR(INDEX('Tabla XP'!$B$2:$B$12,MATCH(D2205,'Tabla XP'!$A$2:$A$12,0))*IF(E2205="",1,E2205),0))</f>
        <v/>
      </c>
      <c r="G2205" s="19" t="n"/>
      <c r="H2205" s="19" t="n"/>
    </row>
    <row r="2206">
      <c r="A2206" s="22" t="n"/>
      <c r="B2206" s="19" t="n"/>
      <c r="C2206" s="18">
        <f>IF(B2206="","",IFERROR(INDEX(Jugadores!$C$2:$C$501,MATCH(B2206,Jugadores!$A$2:$A$501,0)),"⚠ ID no existe"))</f>
        <v/>
      </c>
      <c r="D2206" s="19" t="n"/>
      <c r="E2206" s="19" t="n"/>
      <c r="F2206" s="16">
        <f>IF(OR(B2206="",D2206=""),"",IFERROR(INDEX('Tabla XP'!$B$2:$B$12,MATCH(D2206,'Tabla XP'!$A$2:$A$12,0))*IF(E2206="",1,E2206),0))</f>
        <v/>
      </c>
      <c r="G2206" s="19" t="n"/>
      <c r="H2206" s="19" t="n"/>
    </row>
    <row r="2207">
      <c r="A2207" s="22" t="n"/>
      <c r="B2207" s="19" t="n"/>
      <c r="C2207" s="18">
        <f>IF(B2207="","",IFERROR(INDEX(Jugadores!$C$2:$C$501,MATCH(B2207,Jugadores!$A$2:$A$501,0)),"⚠ ID no existe"))</f>
        <v/>
      </c>
      <c r="D2207" s="19" t="n"/>
      <c r="E2207" s="19" t="n"/>
      <c r="F2207" s="16">
        <f>IF(OR(B2207="",D2207=""),"",IFERROR(INDEX('Tabla XP'!$B$2:$B$12,MATCH(D2207,'Tabla XP'!$A$2:$A$12,0))*IF(E2207="",1,E2207),0))</f>
        <v/>
      </c>
      <c r="G2207" s="19" t="n"/>
      <c r="H2207" s="19" t="n"/>
    </row>
    <row r="2208">
      <c r="A2208" s="22" t="n"/>
      <c r="B2208" s="19" t="n"/>
      <c r="C2208" s="18">
        <f>IF(B2208="","",IFERROR(INDEX(Jugadores!$C$2:$C$501,MATCH(B2208,Jugadores!$A$2:$A$501,0)),"⚠ ID no existe"))</f>
        <v/>
      </c>
      <c r="D2208" s="19" t="n"/>
      <c r="E2208" s="19" t="n"/>
      <c r="F2208" s="16">
        <f>IF(OR(B2208="",D2208=""),"",IFERROR(INDEX('Tabla XP'!$B$2:$B$12,MATCH(D2208,'Tabla XP'!$A$2:$A$12,0))*IF(E2208="",1,E2208),0))</f>
        <v/>
      </c>
      <c r="G2208" s="19" t="n"/>
      <c r="H2208" s="19" t="n"/>
    </row>
    <row r="2209">
      <c r="A2209" s="22" t="n"/>
      <c r="B2209" s="19" t="n"/>
      <c r="C2209" s="18">
        <f>IF(B2209="","",IFERROR(INDEX(Jugadores!$C$2:$C$501,MATCH(B2209,Jugadores!$A$2:$A$501,0)),"⚠ ID no existe"))</f>
        <v/>
      </c>
      <c r="D2209" s="19" t="n"/>
      <c r="E2209" s="19" t="n"/>
      <c r="F2209" s="16">
        <f>IF(OR(B2209="",D2209=""),"",IFERROR(INDEX('Tabla XP'!$B$2:$B$12,MATCH(D2209,'Tabla XP'!$A$2:$A$12,0))*IF(E2209="",1,E2209),0))</f>
        <v/>
      </c>
      <c r="G2209" s="19" t="n"/>
      <c r="H2209" s="19" t="n"/>
    </row>
    <row r="2210">
      <c r="A2210" s="22" t="n"/>
      <c r="B2210" s="19" t="n"/>
      <c r="C2210" s="18">
        <f>IF(B2210="","",IFERROR(INDEX(Jugadores!$C$2:$C$501,MATCH(B2210,Jugadores!$A$2:$A$501,0)),"⚠ ID no existe"))</f>
        <v/>
      </c>
      <c r="D2210" s="19" t="n"/>
      <c r="E2210" s="19" t="n"/>
      <c r="F2210" s="16">
        <f>IF(OR(B2210="",D2210=""),"",IFERROR(INDEX('Tabla XP'!$B$2:$B$12,MATCH(D2210,'Tabla XP'!$A$2:$A$12,0))*IF(E2210="",1,E2210),0))</f>
        <v/>
      </c>
      <c r="G2210" s="19" t="n"/>
      <c r="H2210" s="19" t="n"/>
    </row>
    <row r="2211">
      <c r="A2211" s="22" t="n"/>
      <c r="B2211" s="19" t="n"/>
      <c r="C2211" s="18">
        <f>IF(B2211="","",IFERROR(INDEX(Jugadores!$C$2:$C$501,MATCH(B2211,Jugadores!$A$2:$A$501,0)),"⚠ ID no existe"))</f>
        <v/>
      </c>
      <c r="D2211" s="19" t="n"/>
      <c r="E2211" s="19" t="n"/>
      <c r="F2211" s="16">
        <f>IF(OR(B2211="",D2211=""),"",IFERROR(INDEX('Tabla XP'!$B$2:$B$12,MATCH(D2211,'Tabla XP'!$A$2:$A$12,0))*IF(E2211="",1,E2211),0))</f>
        <v/>
      </c>
      <c r="G2211" s="19" t="n"/>
      <c r="H2211" s="19" t="n"/>
    </row>
    <row r="2212">
      <c r="A2212" s="22" t="n"/>
      <c r="B2212" s="19" t="n"/>
      <c r="C2212" s="18">
        <f>IF(B2212="","",IFERROR(INDEX(Jugadores!$C$2:$C$501,MATCH(B2212,Jugadores!$A$2:$A$501,0)),"⚠ ID no existe"))</f>
        <v/>
      </c>
      <c r="D2212" s="19" t="n"/>
      <c r="E2212" s="19" t="n"/>
      <c r="F2212" s="16">
        <f>IF(OR(B2212="",D2212=""),"",IFERROR(INDEX('Tabla XP'!$B$2:$B$12,MATCH(D2212,'Tabla XP'!$A$2:$A$12,0))*IF(E2212="",1,E2212),0))</f>
        <v/>
      </c>
      <c r="G2212" s="19" t="n"/>
      <c r="H2212" s="19" t="n"/>
    </row>
    <row r="2213">
      <c r="A2213" s="22" t="n"/>
      <c r="B2213" s="19" t="n"/>
      <c r="C2213" s="18">
        <f>IF(B2213="","",IFERROR(INDEX(Jugadores!$C$2:$C$501,MATCH(B2213,Jugadores!$A$2:$A$501,0)),"⚠ ID no existe"))</f>
        <v/>
      </c>
      <c r="D2213" s="19" t="n"/>
      <c r="E2213" s="19" t="n"/>
      <c r="F2213" s="16">
        <f>IF(OR(B2213="",D2213=""),"",IFERROR(INDEX('Tabla XP'!$B$2:$B$12,MATCH(D2213,'Tabla XP'!$A$2:$A$12,0))*IF(E2213="",1,E2213),0))</f>
        <v/>
      </c>
      <c r="G2213" s="19" t="n"/>
      <c r="H2213" s="19" t="n"/>
    </row>
    <row r="2214">
      <c r="A2214" s="22" t="n"/>
      <c r="B2214" s="19" t="n"/>
      <c r="C2214" s="18">
        <f>IF(B2214="","",IFERROR(INDEX(Jugadores!$C$2:$C$501,MATCH(B2214,Jugadores!$A$2:$A$501,0)),"⚠ ID no existe"))</f>
        <v/>
      </c>
      <c r="D2214" s="19" t="n"/>
      <c r="E2214" s="19" t="n"/>
      <c r="F2214" s="16">
        <f>IF(OR(B2214="",D2214=""),"",IFERROR(INDEX('Tabla XP'!$B$2:$B$12,MATCH(D2214,'Tabla XP'!$A$2:$A$12,0))*IF(E2214="",1,E2214),0))</f>
        <v/>
      </c>
      <c r="G2214" s="19" t="n"/>
      <c r="H2214" s="19" t="n"/>
    </row>
    <row r="2215">
      <c r="A2215" s="22" t="n"/>
      <c r="B2215" s="19" t="n"/>
      <c r="C2215" s="18">
        <f>IF(B2215="","",IFERROR(INDEX(Jugadores!$C$2:$C$501,MATCH(B2215,Jugadores!$A$2:$A$501,0)),"⚠ ID no existe"))</f>
        <v/>
      </c>
      <c r="D2215" s="19" t="n"/>
      <c r="E2215" s="19" t="n"/>
      <c r="F2215" s="16">
        <f>IF(OR(B2215="",D2215=""),"",IFERROR(INDEX('Tabla XP'!$B$2:$B$12,MATCH(D2215,'Tabla XP'!$A$2:$A$12,0))*IF(E2215="",1,E2215),0))</f>
        <v/>
      </c>
      <c r="G2215" s="19" t="n"/>
      <c r="H2215" s="19" t="n"/>
    </row>
    <row r="2216">
      <c r="A2216" s="22" t="n"/>
      <c r="B2216" s="19" t="n"/>
      <c r="C2216" s="18">
        <f>IF(B2216="","",IFERROR(INDEX(Jugadores!$C$2:$C$501,MATCH(B2216,Jugadores!$A$2:$A$501,0)),"⚠ ID no existe"))</f>
        <v/>
      </c>
      <c r="D2216" s="19" t="n"/>
      <c r="E2216" s="19" t="n"/>
      <c r="F2216" s="16">
        <f>IF(OR(B2216="",D2216=""),"",IFERROR(INDEX('Tabla XP'!$B$2:$B$12,MATCH(D2216,'Tabla XP'!$A$2:$A$12,0))*IF(E2216="",1,E2216),0))</f>
        <v/>
      </c>
      <c r="G2216" s="19" t="n"/>
      <c r="H2216" s="19" t="n"/>
    </row>
    <row r="2217">
      <c r="A2217" s="22" t="n"/>
      <c r="B2217" s="19" t="n"/>
      <c r="C2217" s="18">
        <f>IF(B2217="","",IFERROR(INDEX(Jugadores!$C$2:$C$501,MATCH(B2217,Jugadores!$A$2:$A$501,0)),"⚠ ID no existe"))</f>
        <v/>
      </c>
      <c r="D2217" s="19" t="n"/>
      <c r="E2217" s="19" t="n"/>
      <c r="F2217" s="16">
        <f>IF(OR(B2217="",D2217=""),"",IFERROR(INDEX('Tabla XP'!$B$2:$B$12,MATCH(D2217,'Tabla XP'!$A$2:$A$12,0))*IF(E2217="",1,E2217),0))</f>
        <v/>
      </c>
      <c r="G2217" s="19" t="n"/>
      <c r="H2217" s="19" t="n"/>
    </row>
    <row r="2218">
      <c r="A2218" s="22" t="n"/>
      <c r="B2218" s="19" t="n"/>
      <c r="C2218" s="18">
        <f>IF(B2218="","",IFERROR(INDEX(Jugadores!$C$2:$C$501,MATCH(B2218,Jugadores!$A$2:$A$501,0)),"⚠ ID no existe"))</f>
        <v/>
      </c>
      <c r="D2218" s="19" t="n"/>
      <c r="E2218" s="19" t="n"/>
      <c r="F2218" s="16">
        <f>IF(OR(B2218="",D2218=""),"",IFERROR(INDEX('Tabla XP'!$B$2:$B$12,MATCH(D2218,'Tabla XP'!$A$2:$A$12,0))*IF(E2218="",1,E2218),0))</f>
        <v/>
      </c>
      <c r="G2218" s="19" t="n"/>
      <c r="H2218" s="19" t="n"/>
    </row>
    <row r="2219">
      <c r="A2219" s="22" t="n"/>
      <c r="B2219" s="19" t="n"/>
      <c r="C2219" s="18">
        <f>IF(B2219="","",IFERROR(INDEX(Jugadores!$C$2:$C$501,MATCH(B2219,Jugadores!$A$2:$A$501,0)),"⚠ ID no existe"))</f>
        <v/>
      </c>
      <c r="D2219" s="19" t="n"/>
      <c r="E2219" s="19" t="n"/>
      <c r="F2219" s="16">
        <f>IF(OR(B2219="",D2219=""),"",IFERROR(INDEX('Tabla XP'!$B$2:$B$12,MATCH(D2219,'Tabla XP'!$A$2:$A$12,0))*IF(E2219="",1,E2219),0))</f>
        <v/>
      </c>
      <c r="G2219" s="19" t="n"/>
      <c r="H2219" s="19" t="n"/>
    </row>
    <row r="2220">
      <c r="A2220" s="22" t="n"/>
      <c r="B2220" s="19" t="n"/>
      <c r="C2220" s="18">
        <f>IF(B2220="","",IFERROR(INDEX(Jugadores!$C$2:$C$501,MATCH(B2220,Jugadores!$A$2:$A$501,0)),"⚠ ID no existe"))</f>
        <v/>
      </c>
      <c r="D2220" s="19" t="n"/>
      <c r="E2220" s="19" t="n"/>
      <c r="F2220" s="16">
        <f>IF(OR(B2220="",D2220=""),"",IFERROR(INDEX('Tabla XP'!$B$2:$B$12,MATCH(D2220,'Tabla XP'!$A$2:$A$12,0))*IF(E2220="",1,E2220),0))</f>
        <v/>
      </c>
      <c r="G2220" s="19" t="n"/>
      <c r="H2220" s="19" t="n"/>
    </row>
    <row r="2221">
      <c r="A2221" s="22" t="n"/>
      <c r="B2221" s="19" t="n"/>
      <c r="C2221" s="18">
        <f>IF(B2221="","",IFERROR(INDEX(Jugadores!$C$2:$C$501,MATCH(B2221,Jugadores!$A$2:$A$501,0)),"⚠ ID no existe"))</f>
        <v/>
      </c>
      <c r="D2221" s="19" t="n"/>
      <c r="E2221" s="19" t="n"/>
      <c r="F2221" s="16">
        <f>IF(OR(B2221="",D2221=""),"",IFERROR(INDEX('Tabla XP'!$B$2:$B$12,MATCH(D2221,'Tabla XP'!$A$2:$A$12,0))*IF(E2221="",1,E2221),0))</f>
        <v/>
      </c>
      <c r="G2221" s="19" t="n"/>
      <c r="H2221" s="19" t="n"/>
    </row>
    <row r="2222">
      <c r="A2222" s="22" t="n"/>
      <c r="B2222" s="19" t="n"/>
      <c r="C2222" s="18">
        <f>IF(B2222="","",IFERROR(INDEX(Jugadores!$C$2:$C$501,MATCH(B2222,Jugadores!$A$2:$A$501,0)),"⚠ ID no existe"))</f>
        <v/>
      </c>
      <c r="D2222" s="19" t="n"/>
      <c r="E2222" s="19" t="n"/>
      <c r="F2222" s="16">
        <f>IF(OR(B2222="",D2222=""),"",IFERROR(INDEX('Tabla XP'!$B$2:$B$12,MATCH(D2222,'Tabla XP'!$A$2:$A$12,0))*IF(E2222="",1,E2222),0))</f>
        <v/>
      </c>
      <c r="G2222" s="19" t="n"/>
      <c r="H2222" s="19" t="n"/>
    </row>
    <row r="2223">
      <c r="A2223" s="22" t="n"/>
      <c r="B2223" s="19" t="n"/>
      <c r="C2223" s="18">
        <f>IF(B2223="","",IFERROR(INDEX(Jugadores!$C$2:$C$501,MATCH(B2223,Jugadores!$A$2:$A$501,0)),"⚠ ID no existe"))</f>
        <v/>
      </c>
      <c r="D2223" s="19" t="n"/>
      <c r="E2223" s="19" t="n"/>
      <c r="F2223" s="16">
        <f>IF(OR(B2223="",D2223=""),"",IFERROR(INDEX('Tabla XP'!$B$2:$B$12,MATCH(D2223,'Tabla XP'!$A$2:$A$12,0))*IF(E2223="",1,E2223),0))</f>
        <v/>
      </c>
      <c r="G2223" s="19" t="n"/>
      <c r="H2223" s="19" t="n"/>
    </row>
    <row r="2224">
      <c r="A2224" s="22" t="n"/>
      <c r="B2224" s="19" t="n"/>
      <c r="C2224" s="18">
        <f>IF(B2224="","",IFERROR(INDEX(Jugadores!$C$2:$C$501,MATCH(B2224,Jugadores!$A$2:$A$501,0)),"⚠ ID no existe"))</f>
        <v/>
      </c>
      <c r="D2224" s="19" t="n"/>
      <c r="E2224" s="19" t="n"/>
      <c r="F2224" s="16">
        <f>IF(OR(B2224="",D2224=""),"",IFERROR(INDEX('Tabla XP'!$B$2:$B$12,MATCH(D2224,'Tabla XP'!$A$2:$A$12,0))*IF(E2224="",1,E2224),0))</f>
        <v/>
      </c>
      <c r="G2224" s="19" t="n"/>
      <c r="H2224" s="19" t="n"/>
    </row>
    <row r="2225">
      <c r="A2225" s="22" t="n"/>
      <c r="B2225" s="19" t="n"/>
      <c r="C2225" s="18">
        <f>IF(B2225="","",IFERROR(INDEX(Jugadores!$C$2:$C$501,MATCH(B2225,Jugadores!$A$2:$A$501,0)),"⚠ ID no existe"))</f>
        <v/>
      </c>
      <c r="D2225" s="19" t="n"/>
      <c r="E2225" s="19" t="n"/>
      <c r="F2225" s="16">
        <f>IF(OR(B2225="",D2225=""),"",IFERROR(INDEX('Tabla XP'!$B$2:$B$12,MATCH(D2225,'Tabla XP'!$A$2:$A$12,0))*IF(E2225="",1,E2225),0))</f>
        <v/>
      </c>
      <c r="G2225" s="19" t="n"/>
      <c r="H2225" s="19" t="n"/>
    </row>
    <row r="2226">
      <c r="A2226" s="22" t="n"/>
      <c r="B2226" s="19" t="n"/>
      <c r="C2226" s="18">
        <f>IF(B2226="","",IFERROR(INDEX(Jugadores!$C$2:$C$501,MATCH(B2226,Jugadores!$A$2:$A$501,0)),"⚠ ID no existe"))</f>
        <v/>
      </c>
      <c r="D2226" s="19" t="n"/>
      <c r="E2226" s="19" t="n"/>
      <c r="F2226" s="16">
        <f>IF(OR(B2226="",D2226=""),"",IFERROR(INDEX('Tabla XP'!$B$2:$B$12,MATCH(D2226,'Tabla XP'!$A$2:$A$12,0))*IF(E2226="",1,E2226),0))</f>
        <v/>
      </c>
      <c r="G2226" s="19" t="n"/>
      <c r="H2226" s="19" t="n"/>
    </row>
    <row r="2227">
      <c r="A2227" s="22" t="n"/>
      <c r="B2227" s="19" t="n"/>
      <c r="C2227" s="18">
        <f>IF(B2227="","",IFERROR(INDEX(Jugadores!$C$2:$C$501,MATCH(B2227,Jugadores!$A$2:$A$501,0)),"⚠ ID no existe"))</f>
        <v/>
      </c>
      <c r="D2227" s="19" t="n"/>
      <c r="E2227" s="19" t="n"/>
      <c r="F2227" s="16">
        <f>IF(OR(B2227="",D2227=""),"",IFERROR(INDEX('Tabla XP'!$B$2:$B$12,MATCH(D2227,'Tabla XP'!$A$2:$A$12,0))*IF(E2227="",1,E2227),0))</f>
        <v/>
      </c>
      <c r="G2227" s="19" t="n"/>
      <c r="H2227" s="19" t="n"/>
    </row>
    <row r="2228">
      <c r="A2228" s="22" t="n"/>
      <c r="B2228" s="19" t="n"/>
      <c r="C2228" s="18">
        <f>IF(B2228="","",IFERROR(INDEX(Jugadores!$C$2:$C$501,MATCH(B2228,Jugadores!$A$2:$A$501,0)),"⚠ ID no existe"))</f>
        <v/>
      </c>
      <c r="D2228" s="19" t="n"/>
      <c r="E2228" s="19" t="n"/>
      <c r="F2228" s="16">
        <f>IF(OR(B2228="",D2228=""),"",IFERROR(INDEX('Tabla XP'!$B$2:$B$12,MATCH(D2228,'Tabla XP'!$A$2:$A$12,0))*IF(E2228="",1,E2228),0))</f>
        <v/>
      </c>
      <c r="G2228" s="19" t="n"/>
      <c r="H2228" s="19" t="n"/>
    </row>
    <row r="2229">
      <c r="A2229" s="22" t="n"/>
      <c r="B2229" s="19" t="n"/>
      <c r="C2229" s="18">
        <f>IF(B2229="","",IFERROR(INDEX(Jugadores!$C$2:$C$501,MATCH(B2229,Jugadores!$A$2:$A$501,0)),"⚠ ID no existe"))</f>
        <v/>
      </c>
      <c r="D2229" s="19" t="n"/>
      <c r="E2229" s="19" t="n"/>
      <c r="F2229" s="16">
        <f>IF(OR(B2229="",D2229=""),"",IFERROR(INDEX('Tabla XP'!$B$2:$B$12,MATCH(D2229,'Tabla XP'!$A$2:$A$12,0))*IF(E2229="",1,E2229),0))</f>
        <v/>
      </c>
      <c r="G2229" s="19" t="n"/>
      <c r="H2229" s="19" t="n"/>
    </row>
    <row r="2230">
      <c r="A2230" s="22" t="n"/>
      <c r="B2230" s="19" t="n"/>
      <c r="C2230" s="18">
        <f>IF(B2230="","",IFERROR(INDEX(Jugadores!$C$2:$C$501,MATCH(B2230,Jugadores!$A$2:$A$501,0)),"⚠ ID no existe"))</f>
        <v/>
      </c>
      <c r="D2230" s="19" t="n"/>
      <c r="E2230" s="19" t="n"/>
      <c r="F2230" s="16">
        <f>IF(OR(B2230="",D2230=""),"",IFERROR(INDEX('Tabla XP'!$B$2:$B$12,MATCH(D2230,'Tabla XP'!$A$2:$A$12,0))*IF(E2230="",1,E2230),0))</f>
        <v/>
      </c>
      <c r="G2230" s="19" t="n"/>
      <c r="H2230" s="19" t="n"/>
    </row>
    <row r="2231">
      <c r="A2231" s="22" t="n"/>
      <c r="B2231" s="19" t="n"/>
      <c r="C2231" s="18">
        <f>IF(B2231="","",IFERROR(INDEX(Jugadores!$C$2:$C$501,MATCH(B2231,Jugadores!$A$2:$A$501,0)),"⚠ ID no existe"))</f>
        <v/>
      </c>
      <c r="D2231" s="19" t="n"/>
      <c r="E2231" s="19" t="n"/>
      <c r="F2231" s="16">
        <f>IF(OR(B2231="",D2231=""),"",IFERROR(INDEX('Tabla XP'!$B$2:$B$12,MATCH(D2231,'Tabla XP'!$A$2:$A$12,0))*IF(E2231="",1,E2231),0))</f>
        <v/>
      </c>
      <c r="G2231" s="19" t="n"/>
      <c r="H2231" s="19" t="n"/>
    </row>
    <row r="2232">
      <c r="A2232" s="22" t="n"/>
      <c r="B2232" s="19" t="n"/>
      <c r="C2232" s="18">
        <f>IF(B2232="","",IFERROR(INDEX(Jugadores!$C$2:$C$501,MATCH(B2232,Jugadores!$A$2:$A$501,0)),"⚠ ID no existe"))</f>
        <v/>
      </c>
      <c r="D2232" s="19" t="n"/>
      <c r="E2232" s="19" t="n"/>
      <c r="F2232" s="16">
        <f>IF(OR(B2232="",D2232=""),"",IFERROR(INDEX('Tabla XP'!$B$2:$B$12,MATCH(D2232,'Tabla XP'!$A$2:$A$12,0))*IF(E2232="",1,E2232),0))</f>
        <v/>
      </c>
      <c r="G2232" s="19" t="n"/>
      <c r="H2232" s="19" t="n"/>
    </row>
    <row r="2233">
      <c r="A2233" s="22" t="n"/>
      <c r="B2233" s="19" t="n"/>
      <c r="C2233" s="18">
        <f>IF(B2233="","",IFERROR(INDEX(Jugadores!$C$2:$C$501,MATCH(B2233,Jugadores!$A$2:$A$501,0)),"⚠ ID no existe"))</f>
        <v/>
      </c>
      <c r="D2233" s="19" t="n"/>
      <c r="E2233" s="19" t="n"/>
      <c r="F2233" s="16">
        <f>IF(OR(B2233="",D2233=""),"",IFERROR(INDEX('Tabla XP'!$B$2:$B$12,MATCH(D2233,'Tabla XP'!$A$2:$A$12,0))*IF(E2233="",1,E2233),0))</f>
        <v/>
      </c>
      <c r="G2233" s="19" t="n"/>
      <c r="H2233" s="19" t="n"/>
    </row>
    <row r="2234">
      <c r="A2234" s="22" t="n"/>
      <c r="B2234" s="19" t="n"/>
      <c r="C2234" s="18">
        <f>IF(B2234="","",IFERROR(INDEX(Jugadores!$C$2:$C$501,MATCH(B2234,Jugadores!$A$2:$A$501,0)),"⚠ ID no existe"))</f>
        <v/>
      </c>
      <c r="D2234" s="19" t="n"/>
      <c r="E2234" s="19" t="n"/>
      <c r="F2234" s="16">
        <f>IF(OR(B2234="",D2234=""),"",IFERROR(INDEX('Tabla XP'!$B$2:$B$12,MATCH(D2234,'Tabla XP'!$A$2:$A$12,0))*IF(E2234="",1,E2234),0))</f>
        <v/>
      </c>
      <c r="G2234" s="19" t="n"/>
      <c r="H2234" s="19" t="n"/>
    </row>
    <row r="2235">
      <c r="A2235" s="22" t="n"/>
      <c r="B2235" s="19" t="n"/>
      <c r="C2235" s="18">
        <f>IF(B2235="","",IFERROR(INDEX(Jugadores!$C$2:$C$501,MATCH(B2235,Jugadores!$A$2:$A$501,0)),"⚠ ID no existe"))</f>
        <v/>
      </c>
      <c r="D2235" s="19" t="n"/>
      <c r="E2235" s="19" t="n"/>
      <c r="F2235" s="16">
        <f>IF(OR(B2235="",D2235=""),"",IFERROR(INDEX('Tabla XP'!$B$2:$B$12,MATCH(D2235,'Tabla XP'!$A$2:$A$12,0))*IF(E2235="",1,E2235),0))</f>
        <v/>
      </c>
      <c r="G2235" s="19" t="n"/>
      <c r="H2235" s="19" t="n"/>
    </row>
    <row r="2236">
      <c r="A2236" s="22" t="n"/>
      <c r="B2236" s="19" t="n"/>
      <c r="C2236" s="18">
        <f>IF(B2236="","",IFERROR(INDEX(Jugadores!$C$2:$C$501,MATCH(B2236,Jugadores!$A$2:$A$501,0)),"⚠ ID no existe"))</f>
        <v/>
      </c>
      <c r="D2236" s="19" t="n"/>
      <c r="E2236" s="19" t="n"/>
      <c r="F2236" s="16">
        <f>IF(OR(B2236="",D2236=""),"",IFERROR(INDEX('Tabla XP'!$B$2:$B$12,MATCH(D2236,'Tabla XP'!$A$2:$A$12,0))*IF(E2236="",1,E2236),0))</f>
        <v/>
      </c>
      <c r="G2236" s="19" t="n"/>
      <c r="H2236" s="19" t="n"/>
    </row>
    <row r="2237">
      <c r="A2237" s="22" t="n"/>
      <c r="B2237" s="19" t="n"/>
      <c r="C2237" s="18">
        <f>IF(B2237="","",IFERROR(INDEX(Jugadores!$C$2:$C$501,MATCH(B2237,Jugadores!$A$2:$A$501,0)),"⚠ ID no existe"))</f>
        <v/>
      </c>
      <c r="D2237" s="19" t="n"/>
      <c r="E2237" s="19" t="n"/>
      <c r="F2237" s="16">
        <f>IF(OR(B2237="",D2237=""),"",IFERROR(INDEX('Tabla XP'!$B$2:$B$12,MATCH(D2237,'Tabla XP'!$A$2:$A$12,0))*IF(E2237="",1,E2237),0))</f>
        <v/>
      </c>
      <c r="G2237" s="19" t="n"/>
      <c r="H2237" s="19" t="n"/>
    </row>
    <row r="2238">
      <c r="A2238" s="22" t="n"/>
      <c r="B2238" s="19" t="n"/>
      <c r="C2238" s="18">
        <f>IF(B2238="","",IFERROR(INDEX(Jugadores!$C$2:$C$501,MATCH(B2238,Jugadores!$A$2:$A$501,0)),"⚠ ID no existe"))</f>
        <v/>
      </c>
      <c r="D2238" s="19" t="n"/>
      <c r="E2238" s="19" t="n"/>
      <c r="F2238" s="16">
        <f>IF(OR(B2238="",D2238=""),"",IFERROR(INDEX('Tabla XP'!$B$2:$B$12,MATCH(D2238,'Tabla XP'!$A$2:$A$12,0))*IF(E2238="",1,E2238),0))</f>
        <v/>
      </c>
      <c r="G2238" s="19" t="n"/>
      <c r="H2238" s="19" t="n"/>
    </row>
    <row r="2239">
      <c r="A2239" s="22" t="n"/>
      <c r="B2239" s="19" t="n"/>
      <c r="C2239" s="18">
        <f>IF(B2239="","",IFERROR(INDEX(Jugadores!$C$2:$C$501,MATCH(B2239,Jugadores!$A$2:$A$501,0)),"⚠ ID no existe"))</f>
        <v/>
      </c>
      <c r="D2239" s="19" t="n"/>
      <c r="E2239" s="19" t="n"/>
      <c r="F2239" s="16">
        <f>IF(OR(B2239="",D2239=""),"",IFERROR(INDEX('Tabla XP'!$B$2:$B$12,MATCH(D2239,'Tabla XP'!$A$2:$A$12,0))*IF(E2239="",1,E2239),0))</f>
        <v/>
      </c>
      <c r="G2239" s="19" t="n"/>
      <c r="H2239" s="19" t="n"/>
    </row>
    <row r="2240">
      <c r="A2240" s="22" t="n"/>
      <c r="B2240" s="19" t="n"/>
      <c r="C2240" s="18">
        <f>IF(B2240="","",IFERROR(INDEX(Jugadores!$C$2:$C$501,MATCH(B2240,Jugadores!$A$2:$A$501,0)),"⚠ ID no existe"))</f>
        <v/>
      </c>
      <c r="D2240" s="19" t="n"/>
      <c r="E2240" s="19" t="n"/>
      <c r="F2240" s="16">
        <f>IF(OR(B2240="",D2240=""),"",IFERROR(INDEX('Tabla XP'!$B$2:$B$12,MATCH(D2240,'Tabla XP'!$A$2:$A$12,0))*IF(E2240="",1,E2240),0))</f>
        <v/>
      </c>
      <c r="G2240" s="19" t="n"/>
      <c r="H2240" s="19" t="n"/>
    </row>
    <row r="2241">
      <c r="A2241" s="22" t="n"/>
      <c r="B2241" s="19" t="n"/>
      <c r="C2241" s="18">
        <f>IF(B2241="","",IFERROR(INDEX(Jugadores!$C$2:$C$501,MATCH(B2241,Jugadores!$A$2:$A$501,0)),"⚠ ID no existe"))</f>
        <v/>
      </c>
      <c r="D2241" s="19" t="n"/>
      <c r="E2241" s="19" t="n"/>
      <c r="F2241" s="16">
        <f>IF(OR(B2241="",D2241=""),"",IFERROR(INDEX('Tabla XP'!$B$2:$B$12,MATCH(D2241,'Tabla XP'!$A$2:$A$12,0))*IF(E2241="",1,E2241),0))</f>
        <v/>
      </c>
      <c r="G2241" s="19" t="n"/>
      <c r="H2241" s="19" t="n"/>
    </row>
    <row r="2242">
      <c r="A2242" s="22" t="n"/>
      <c r="B2242" s="19" t="n"/>
      <c r="C2242" s="18">
        <f>IF(B2242="","",IFERROR(INDEX(Jugadores!$C$2:$C$501,MATCH(B2242,Jugadores!$A$2:$A$501,0)),"⚠ ID no existe"))</f>
        <v/>
      </c>
      <c r="D2242" s="19" t="n"/>
      <c r="E2242" s="19" t="n"/>
      <c r="F2242" s="16">
        <f>IF(OR(B2242="",D2242=""),"",IFERROR(INDEX('Tabla XP'!$B$2:$B$12,MATCH(D2242,'Tabla XP'!$A$2:$A$12,0))*IF(E2242="",1,E2242),0))</f>
        <v/>
      </c>
      <c r="G2242" s="19" t="n"/>
      <c r="H2242" s="19" t="n"/>
    </row>
    <row r="2243">
      <c r="A2243" s="22" t="n"/>
      <c r="B2243" s="19" t="n"/>
      <c r="C2243" s="18">
        <f>IF(B2243="","",IFERROR(INDEX(Jugadores!$C$2:$C$501,MATCH(B2243,Jugadores!$A$2:$A$501,0)),"⚠ ID no existe"))</f>
        <v/>
      </c>
      <c r="D2243" s="19" t="n"/>
      <c r="E2243" s="19" t="n"/>
      <c r="F2243" s="16">
        <f>IF(OR(B2243="",D2243=""),"",IFERROR(INDEX('Tabla XP'!$B$2:$B$12,MATCH(D2243,'Tabla XP'!$A$2:$A$12,0))*IF(E2243="",1,E2243),0))</f>
        <v/>
      </c>
      <c r="G2243" s="19" t="n"/>
      <c r="H2243" s="19" t="n"/>
    </row>
    <row r="2244">
      <c r="A2244" s="22" t="n"/>
      <c r="B2244" s="19" t="n"/>
      <c r="C2244" s="18">
        <f>IF(B2244="","",IFERROR(INDEX(Jugadores!$C$2:$C$501,MATCH(B2244,Jugadores!$A$2:$A$501,0)),"⚠ ID no existe"))</f>
        <v/>
      </c>
      <c r="D2244" s="19" t="n"/>
      <c r="E2244" s="19" t="n"/>
      <c r="F2244" s="16">
        <f>IF(OR(B2244="",D2244=""),"",IFERROR(INDEX('Tabla XP'!$B$2:$B$12,MATCH(D2244,'Tabla XP'!$A$2:$A$12,0))*IF(E2244="",1,E2244),0))</f>
        <v/>
      </c>
      <c r="G2244" s="19" t="n"/>
      <c r="H2244" s="19" t="n"/>
    </row>
    <row r="2245">
      <c r="A2245" s="22" t="n"/>
      <c r="B2245" s="19" t="n"/>
      <c r="C2245" s="18">
        <f>IF(B2245="","",IFERROR(INDEX(Jugadores!$C$2:$C$501,MATCH(B2245,Jugadores!$A$2:$A$501,0)),"⚠ ID no existe"))</f>
        <v/>
      </c>
      <c r="D2245" s="19" t="n"/>
      <c r="E2245" s="19" t="n"/>
      <c r="F2245" s="16">
        <f>IF(OR(B2245="",D2245=""),"",IFERROR(INDEX('Tabla XP'!$B$2:$B$12,MATCH(D2245,'Tabla XP'!$A$2:$A$12,0))*IF(E2245="",1,E2245),0))</f>
        <v/>
      </c>
      <c r="G2245" s="19" t="n"/>
      <c r="H2245" s="19" t="n"/>
    </row>
    <row r="2246">
      <c r="A2246" s="22" t="n"/>
      <c r="B2246" s="19" t="n"/>
      <c r="C2246" s="18">
        <f>IF(B2246="","",IFERROR(INDEX(Jugadores!$C$2:$C$501,MATCH(B2246,Jugadores!$A$2:$A$501,0)),"⚠ ID no existe"))</f>
        <v/>
      </c>
      <c r="D2246" s="19" t="n"/>
      <c r="E2246" s="19" t="n"/>
      <c r="F2246" s="16">
        <f>IF(OR(B2246="",D2246=""),"",IFERROR(INDEX('Tabla XP'!$B$2:$B$12,MATCH(D2246,'Tabla XP'!$A$2:$A$12,0))*IF(E2246="",1,E2246),0))</f>
        <v/>
      </c>
      <c r="G2246" s="19" t="n"/>
      <c r="H2246" s="19" t="n"/>
    </row>
    <row r="2247">
      <c r="A2247" s="22" t="n"/>
      <c r="B2247" s="19" t="n"/>
      <c r="C2247" s="18">
        <f>IF(B2247="","",IFERROR(INDEX(Jugadores!$C$2:$C$501,MATCH(B2247,Jugadores!$A$2:$A$501,0)),"⚠ ID no existe"))</f>
        <v/>
      </c>
      <c r="D2247" s="19" t="n"/>
      <c r="E2247" s="19" t="n"/>
      <c r="F2247" s="16">
        <f>IF(OR(B2247="",D2247=""),"",IFERROR(INDEX('Tabla XP'!$B$2:$B$12,MATCH(D2247,'Tabla XP'!$A$2:$A$12,0))*IF(E2247="",1,E2247),0))</f>
        <v/>
      </c>
      <c r="G2247" s="19" t="n"/>
      <c r="H2247" s="19" t="n"/>
    </row>
    <row r="2248">
      <c r="A2248" s="22" t="n"/>
      <c r="B2248" s="19" t="n"/>
      <c r="C2248" s="18">
        <f>IF(B2248="","",IFERROR(INDEX(Jugadores!$C$2:$C$501,MATCH(B2248,Jugadores!$A$2:$A$501,0)),"⚠ ID no existe"))</f>
        <v/>
      </c>
      <c r="D2248" s="19" t="n"/>
      <c r="E2248" s="19" t="n"/>
      <c r="F2248" s="16">
        <f>IF(OR(B2248="",D2248=""),"",IFERROR(INDEX('Tabla XP'!$B$2:$B$12,MATCH(D2248,'Tabla XP'!$A$2:$A$12,0))*IF(E2248="",1,E2248),0))</f>
        <v/>
      </c>
      <c r="G2248" s="19" t="n"/>
      <c r="H2248" s="19" t="n"/>
    </row>
    <row r="2249">
      <c r="A2249" s="22" t="n"/>
      <c r="B2249" s="19" t="n"/>
      <c r="C2249" s="18">
        <f>IF(B2249="","",IFERROR(INDEX(Jugadores!$C$2:$C$501,MATCH(B2249,Jugadores!$A$2:$A$501,0)),"⚠ ID no existe"))</f>
        <v/>
      </c>
      <c r="D2249" s="19" t="n"/>
      <c r="E2249" s="19" t="n"/>
      <c r="F2249" s="16">
        <f>IF(OR(B2249="",D2249=""),"",IFERROR(INDEX('Tabla XP'!$B$2:$B$12,MATCH(D2249,'Tabla XP'!$A$2:$A$12,0))*IF(E2249="",1,E2249),0))</f>
        <v/>
      </c>
      <c r="G2249" s="19" t="n"/>
      <c r="H2249" s="19" t="n"/>
    </row>
    <row r="2250">
      <c r="A2250" s="22" t="n"/>
      <c r="B2250" s="19" t="n"/>
      <c r="C2250" s="18">
        <f>IF(B2250="","",IFERROR(INDEX(Jugadores!$C$2:$C$501,MATCH(B2250,Jugadores!$A$2:$A$501,0)),"⚠ ID no existe"))</f>
        <v/>
      </c>
      <c r="D2250" s="19" t="n"/>
      <c r="E2250" s="19" t="n"/>
      <c r="F2250" s="16">
        <f>IF(OR(B2250="",D2250=""),"",IFERROR(INDEX('Tabla XP'!$B$2:$B$12,MATCH(D2250,'Tabla XP'!$A$2:$A$12,0))*IF(E2250="",1,E2250),0))</f>
        <v/>
      </c>
      <c r="G2250" s="19" t="n"/>
      <c r="H2250" s="19" t="n"/>
    </row>
    <row r="2251">
      <c r="A2251" s="22" t="n"/>
      <c r="B2251" s="19" t="n"/>
      <c r="C2251" s="18">
        <f>IF(B2251="","",IFERROR(INDEX(Jugadores!$C$2:$C$501,MATCH(B2251,Jugadores!$A$2:$A$501,0)),"⚠ ID no existe"))</f>
        <v/>
      </c>
      <c r="D2251" s="19" t="n"/>
      <c r="E2251" s="19" t="n"/>
      <c r="F2251" s="16">
        <f>IF(OR(B2251="",D2251=""),"",IFERROR(INDEX('Tabla XP'!$B$2:$B$12,MATCH(D2251,'Tabla XP'!$A$2:$A$12,0))*IF(E2251="",1,E2251),0))</f>
        <v/>
      </c>
      <c r="G2251" s="19" t="n"/>
      <c r="H2251" s="19" t="n"/>
    </row>
    <row r="2252">
      <c r="A2252" s="22" t="n"/>
      <c r="B2252" s="19" t="n"/>
      <c r="C2252" s="18">
        <f>IF(B2252="","",IFERROR(INDEX(Jugadores!$C$2:$C$501,MATCH(B2252,Jugadores!$A$2:$A$501,0)),"⚠ ID no existe"))</f>
        <v/>
      </c>
      <c r="D2252" s="19" t="n"/>
      <c r="E2252" s="19" t="n"/>
      <c r="F2252" s="16">
        <f>IF(OR(B2252="",D2252=""),"",IFERROR(INDEX('Tabla XP'!$B$2:$B$12,MATCH(D2252,'Tabla XP'!$A$2:$A$12,0))*IF(E2252="",1,E2252),0))</f>
        <v/>
      </c>
      <c r="G2252" s="19" t="n"/>
      <c r="H2252" s="19" t="n"/>
    </row>
    <row r="2253">
      <c r="A2253" s="22" t="n"/>
      <c r="B2253" s="19" t="n"/>
      <c r="C2253" s="18">
        <f>IF(B2253="","",IFERROR(INDEX(Jugadores!$C$2:$C$501,MATCH(B2253,Jugadores!$A$2:$A$501,0)),"⚠ ID no existe"))</f>
        <v/>
      </c>
      <c r="D2253" s="19" t="n"/>
      <c r="E2253" s="19" t="n"/>
      <c r="F2253" s="16">
        <f>IF(OR(B2253="",D2253=""),"",IFERROR(INDEX('Tabla XP'!$B$2:$B$12,MATCH(D2253,'Tabla XP'!$A$2:$A$12,0))*IF(E2253="",1,E2253),0))</f>
        <v/>
      </c>
      <c r="G2253" s="19" t="n"/>
      <c r="H2253" s="19" t="n"/>
    </row>
    <row r="2254">
      <c r="A2254" s="22" t="n"/>
      <c r="B2254" s="19" t="n"/>
      <c r="C2254" s="18">
        <f>IF(B2254="","",IFERROR(INDEX(Jugadores!$C$2:$C$501,MATCH(B2254,Jugadores!$A$2:$A$501,0)),"⚠ ID no existe"))</f>
        <v/>
      </c>
      <c r="D2254" s="19" t="n"/>
      <c r="E2254" s="19" t="n"/>
      <c r="F2254" s="16">
        <f>IF(OR(B2254="",D2254=""),"",IFERROR(INDEX('Tabla XP'!$B$2:$B$12,MATCH(D2254,'Tabla XP'!$A$2:$A$12,0))*IF(E2254="",1,E2254),0))</f>
        <v/>
      </c>
      <c r="G2254" s="19" t="n"/>
      <c r="H2254" s="19" t="n"/>
    </row>
    <row r="2255">
      <c r="A2255" s="22" t="n"/>
      <c r="B2255" s="19" t="n"/>
      <c r="C2255" s="18">
        <f>IF(B2255="","",IFERROR(INDEX(Jugadores!$C$2:$C$501,MATCH(B2255,Jugadores!$A$2:$A$501,0)),"⚠ ID no existe"))</f>
        <v/>
      </c>
      <c r="D2255" s="19" t="n"/>
      <c r="E2255" s="19" t="n"/>
      <c r="F2255" s="16">
        <f>IF(OR(B2255="",D2255=""),"",IFERROR(INDEX('Tabla XP'!$B$2:$B$12,MATCH(D2255,'Tabla XP'!$A$2:$A$12,0))*IF(E2255="",1,E2255),0))</f>
        <v/>
      </c>
      <c r="G2255" s="19" t="n"/>
      <c r="H2255" s="19" t="n"/>
    </row>
    <row r="2256">
      <c r="A2256" s="22" t="n"/>
      <c r="B2256" s="19" t="n"/>
      <c r="C2256" s="18">
        <f>IF(B2256="","",IFERROR(INDEX(Jugadores!$C$2:$C$501,MATCH(B2256,Jugadores!$A$2:$A$501,0)),"⚠ ID no existe"))</f>
        <v/>
      </c>
      <c r="D2256" s="19" t="n"/>
      <c r="E2256" s="19" t="n"/>
      <c r="F2256" s="16">
        <f>IF(OR(B2256="",D2256=""),"",IFERROR(INDEX('Tabla XP'!$B$2:$B$12,MATCH(D2256,'Tabla XP'!$A$2:$A$12,0))*IF(E2256="",1,E2256),0))</f>
        <v/>
      </c>
      <c r="G2256" s="19" t="n"/>
      <c r="H2256" s="19" t="n"/>
    </row>
    <row r="2257">
      <c r="A2257" s="22" t="n"/>
      <c r="B2257" s="19" t="n"/>
      <c r="C2257" s="18">
        <f>IF(B2257="","",IFERROR(INDEX(Jugadores!$C$2:$C$501,MATCH(B2257,Jugadores!$A$2:$A$501,0)),"⚠ ID no existe"))</f>
        <v/>
      </c>
      <c r="D2257" s="19" t="n"/>
      <c r="E2257" s="19" t="n"/>
      <c r="F2257" s="16">
        <f>IF(OR(B2257="",D2257=""),"",IFERROR(INDEX('Tabla XP'!$B$2:$B$12,MATCH(D2257,'Tabla XP'!$A$2:$A$12,0))*IF(E2257="",1,E2257),0))</f>
        <v/>
      </c>
      <c r="G2257" s="19" t="n"/>
      <c r="H2257" s="19" t="n"/>
    </row>
    <row r="2258">
      <c r="A2258" s="22" t="n"/>
      <c r="B2258" s="19" t="n"/>
      <c r="C2258" s="18">
        <f>IF(B2258="","",IFERROR(INDEX(Jugadores!$C$2:$C$501,MATCH(B2258,Jugadores!$A$2:$A$501,0)),"⚠ ID no existe"))</f>
        <v/>
      </c>
      <c r="D2258" s="19" t="n"/>
      <c r="E2258" s="19" t="n"/>
      <c r="F2258" s="16">
        <f>IF(OR(B2258="",D2258=""),"",IFERROR(INDEX('Tabla XP'!$B$2:$B$12,MATCH(D2258,'Tabla XP'!$A$2:$A$12,0))*IF(E2258="",1,E2258),0))</f>
        <v/>
      </c>
      <c r="G2258" s="19" t="n"/>
      <c r="H2258" s="19" t="n"/>
    </row>
    <row r="2259">
      <c r="A2259" s="22" t="n"/>
      <c r="B2259" s="19" t="n"/>
      <c r="C2259" s="18">
        <f>IF(B2259="","",IFERROR(INDEX(Jugadores!$C$2:$C$501,MATCH(B2259,Jugadores!$A$2:$A$501,0)),"⚠ ID no existe"))</f>
        <v/>
      </c>
      <c r="D2259" s="19" t="n"/>
      <c r="E2259" s="19" t="n"/>
      <c r="F2259" s="16">
        <f>IF(OR(B2259="",D2259=""),"",IFERROR(INDEX('Tabla XP'!$B$2:$B$12,MATCH(D2259,'Tabla XP'!$A$2:$A$12,0))*IF(E2259="",1,E2259),0))</f>
        <v/>
      </c>
      <c r="G2259" s="19" t="n"/>
      <c r="H2259" s="19" t="n"/>
    </row>
    <row r="2260">
      <c r="A2260" s="22" t="n"/>
      <c r="B2260" s="19" t="n"/>
      <c r="C2260" s="18">
        <f>IF(B2260="","",IFERROR(INDEX(Jugadores!$C$2:$C$501,MATCH(B2260,Jugadores!$A$2:$A$501,0)),"⚠ ID no existe"))</f>
        <v/>
      </c>
      <c r="D2260" s="19" t="n"/>
      <c r="E2260" s="19" t="n"/>
      <c r="F2260" s="16">
        <f>IF(OR(B2260="",D2260=""),"",IFERROR(INDEX('Tabla XP'!$B$2:$B$12,MATCH(D2260,'Tabla XP'!$A$2:$A$12,0))*IF(E2260="",1,E2260),0))</f>
        <v/>
      </c>
      <c r="G2260" s="19" t="n"/>
      <c r="H2260" s="19" t="n"/>
    </row>
    <row r="2261">
      <c r="A2261" s="22" t="n"/>
      <c r="B2261" s="19" t="n"/>
      <c r="C2261" s="18">
        <f>IF(B2261="","",IFERROR(INDEX(Jugadores!$C$2:$C$501,MATCH(B2261,Jugadores!$A$2:$A$501,0)),"⚠ ID no existe"))</f>
        <v/>
      </c>
      <c r="D2261" s="19" t="n"/>
      <c r="E2261" s="19" t="n"/>
      <c r="F2261" s="16">
        <f>IF(OR(B2261="",D2261=""),"",IFERROR(INDEX('Tabla XP'!$B$2:$B$12,MATCH(D2261,'Tabla XP'!$A$2:$A$12,0))*IF(E2261="",1,E2261),0))</f>
        <v/>
      </c>
      <c r="G2261" s="19" t="n"/>
      <c r="H2261" s="19" t="n"/>
    </row>
    <row r="2262">
      <c r="A2262" s="22" t="n"/>
      <c r="B2262" s="19" t="n"/>
      <c r="C2262" s="18">
        <f>IF(B2262="","",IFERROR(INDEX(Jugadores!$C$2:$C$501,MATCH(B2262,Jugadores!$A$2:$A$501,0)),"⚠ ID no existe"))</f>
        <v/>
      </c>
      <c r="D2262" s="19" t="n"/>
      <c r="E2262" s="19" t="n"/>
      <c r="F2262" s="16">
        <f>IF(OR(B2262="",D2262=""),"",IFERROR(INDEX('Tabla XP'!$B$2:$B$12,MATCH(D2262,'Tabla XP'!$A$2:$A$12,0))*IF(E2262="",1,E2262),0))</f>
        <v/>
      </c>
      <c r="G2262" s="19" t="n"/>
      <c r="H2262" s="19" t="n"/>
    </row>
    <row r="2263">
      <c r="A2263" s="22" t="n"/>
      <c r="B2263" s="19" t="n"/>
      <c r="C2263" s="18">
        <f>IF(B2263="","",IFERROR(INDEX(Jugadores!$C$2:$C$501,MATCH(B2263,Jugadores!$A$2:$A$501,0)),"⚠ ID no existe"))</f>
        <v/>
      </c>
      <c r="D2263" s="19" t="n"/>
      <c r="E2263" s="19" t="n"/>
      <c r="F2263" s="16">
        <f>IF(OR(B2263="",D2263=""),"",IFERROR(INDEX('Tabla XP'!$B$2:$B$12,MATCH(D2263,'Tabla XP'!$A$2:$A$12,0))*IF(E2263="",1,E2263),0))</f>
        <v/>
      </c>
      <c r="G2263" s="19" t="n"/>
      <c r="H2263" s="19" t="n"/>
    </row>
    <row r="2264">
      <c r="A2264" s="22" t="n"/>
      <c r="B2264" s="19" t="n"/>
      <c r="C2264" s="18">
        <f>IF(B2264="","",IFERROR(INDEX(Jugadores!$C$2:$C$501,MATCH(B2264,Jugadores!$A$2:$A$501,0)),"⚠ ID no existe"))</f>
        <v/>
      </c>
      <c r="D2264" s="19" t="n"/>
      <c r="E2264" s="19" t="n"/>
      <c r="F2264" s="16">
        <f>IF(OR(B2264="",D2264=""),"",IFERROR(INDEX('Tabla XP'!$B$2:$B$12,MATCH(D2264,'Tabla XP'!$A$2:$A$12,0))*IF(E2264="",1,E2264),0))</f>
        <v/>
      </c>
      <c r="G2264" s="19" t="n"/>
      <c r="H2264" s="19" t="n"/>
    </row>
    <row r="2265">
      <c r="A2265" s="22" t="n"/>
      <c r="B2265" s="19" t="n"/>
      <c r="C2265" s="18">
        <f>IF(B2265="","",IFERROR(INDEX(Jugadores!$C$2:$C$501,MATCH(B2265,Jugadores!$A$2:$A$501,0)),"⚠ ID no existe"))</f>
        <v/>
      </c>
      <c r="D2265" s="19" t="n"/>
      <c r="E2265" s="19" t="n"/>
      <c r="F2265" s="16">
        <f>IF(OR(B2265="",D2265=""),"",IFERROR(INDEX('Tabla XP'!$B$2:$B$12,MATCH(D2265,'Tabla XP'!$A$2:$A$12,0))*IF(E2265="",1,E2265),0))</f>
        <v/>
      </c>
      <c r="G2265" s="19" t="n"/>
      <c r="H2265" s="19" t="n"/>
    </row>
    <row r="2266">
      <c r="A2266" s="22" t="n"/>
      <c r="B2266" s="19" t="n"/>
      <c r="C2266" s="18">
        <f>IF(B2266="","",IFERROR(INDEX(Jugadores!$C$2:$C$501,MATCH(B2266,Jugadores!$A$2:$A$501,0)),"⚠ ID no existe"))</f>
        <v/>
      </c>
      <c r="D2266" s="19" t="n"/>
      <c r="E2266" s="19" t="n"/>
      <c r="F2266" s="16">
        <f>IF(OR(B2266="",D2266=""),"",IFERROR(INDEX('Tabla XP'!$B$2:$B$12,MATCH(D2266,'Tabla XP'!$A$2:$A$12,0))*IF(E2266="",1,E2266),0))</f>
        <v/>
      </c>
      <c r="G2266" s="19" t="n"/>
      <c r="H2266" s="19" t="n"/>
    </row>
    <row r="2267">
      <c r="A2267" s="22" t="n"/>
      <c r="B2267" s="19" t="n"/>
      <c r="C2267" s="18">
        <f>IF(B2267="","",IFERROR(INDEX(Jugadores!$C$2:$C$501,MATCH(B2267,Jugadores!$A$2:$A$501,0)),"⚠ ID no existe"))</f>
        <v/>
      </c>
      <c r="D2267" s="19" t="n"/>
      <c r="E2267" s="19" t="n"/>
      <c r="F2267" s="16">
        <f>IF(OR(B2267="",D2267=""),"",IFERROR(INDEX('Tabla XP'!$B$2:$B$12,MATCH(D2267,'Tabla XP'!$A$2:$A$12,0))*IF(E2267="",1,E2267),0))</f>
        <v/>
      </c>
      <c r="G2267" s="19" t="n"/>
      <c r="H2267" s="19" t="n"/>
    </row>
    <row r="2268">
      <c r="A2268" s="22" t="n"/>
      <c r="B2268" s="19" t="n"/>
      <c r="C2268" s="18">
        <f>IF(B2268="","",IFERROR(INDEX(Jugadores!$C$2:$C$501,MATCH(B2268,Jugadores!$A$2:$A$501,0)),"⚠ ID no existe"))</f>
        <v/>
      </c>
      <c r="D2268" s="19" t="n"/>
      <c r="E2268" s="19" t="n"/>
      <c r="F2268" s="16">
        <f>IF(OR(B2268="",D2268=""),"",IFERROR(INDEX('Tabla XP'!$B$2:$B$12,MATCH(D2268,'Tabla XP'!$A$2:$A$12,0))*IF(E2268="",1,E2268),0))</f>
        <v/>
      </c>
      <c r="G2268" s="19" t="n"/>
      <c r="H2268" s="19" t="n"/>
    </row>
    <row r="2269">
      <c r="A2269" s="22" t="n"/>
      <c r="B2269" s="19" t="n"/>
      <c r="C2269" s="18">
        <f>IF(B2269="","",IFERROR(INDEX(Jugadores!$C$2:$C$501,MATCH(B2269,Jugadores!$A$2:$A$501,0)),"⚠ ID no existe"))</f>
        <v/>
      </c>
      <c r="D2269" s="19" t="n"/>
      <c r="E2269" s="19" t="n"/>
      <c r="F2269" s="16">
        <f>IF(OR(B2269="",D2269=""),"",IFERROR(INDEX('Tabla XP'!$B$2:$B$12,MATCH(D2269,'Tabla XP'!$A$2:$A$12,0))*IF(E2269="",1,E2269),0))</f>
        <v/>
      </c>
      <c r="G2269" s="19" t="n"/>
      <c r="H2269" s="19" t="n"/>
    </row>
    <row r="2270">
      <c r="A2270" s="22" t="n"/>
      <c r="B2270" s="19" t="n"/>
      <c r="C2270" s="18">
        <f>IF(B2270="","",IFERROR(INDEX(Jugadores!$C$2:$C$501,MATCH(B2270,Jugadores!$A$2:$A$501,0)),"⚠ ID no existe"))</f>
        <v/>
      </c>
      <c r="D2270" s="19" t="n"/>
      <c r="E2270" s="19" t="n"/>
      <c r="F2270" s="16">
        <f>IF(OR(B2270="",D2270=""),"",IFERROR(INDEX('Tabla XP'!$B$2:$B$12,MATCH(D2270,'Tabla XP'!$A$2:$A$12,0))*IF(E2270="",1,E2270),0))</f>
        <v/>
      </c>
      <c r="G2270" s="19" t="n"/>
      <c r="H2270" s="19" t="n"/>
    </row>
    <row r="2271">
      <c r="A2271" s="22" t="n"/>
      <c r="B2271" s="19" t="n"/>
      <c r="C2271" s="18">
        <f>IF(B2271="","",IFERROR(INDEX(Jugadores!$C$2:$C$501,MATCH(B2271,Jugadores!$A$2:$A$501,0)),"⚠ ID no existe"))</f>
        <v/>
      </c>
      <c r="D2271" s="19" t="n"/>
      <c r="E2271" s="19" t="n"/>
      <c r="F2271" s="16">
        <f>IF(OR(B2271="",D2271=""),"",IFERROR(INDEX('Tabla XP'!$B$2:$B$12,MATCH(D2271,'Tabla XP'!$A$2:$A$12,0))*IF(E2271="",1,E2271),0))</f>
        <v/>
      </c>
      <c r="G2271" s="19" t="n"/>
      <c r="H2271" s="19" t="n"/>
    </row>
    <row r="2272">
      <c r="A2272" s="22" t="n"/>
      <c r="B2272" s="19" t="n"/>
      <c r="C2272" s="18">
        <f>IF(B2272="","",IFERROR(INDEX(Jugadores!$C$2:$C$501,MATCH(B2272,Jugadores!$A$2:$A$501,0)),"⚠ ID no existe"))</f>
        <v/>
      </c>
      <c r="D2272" s="19" t="n"/>
      <c r="E2272" s="19" t="n"/>
      <c r="F2272" s="16">
        <f>IF(OR(B2272="",D2272=""),"",IFERROR(INDEX('Tabla XP'!$B$2:$B$12,MATCH(D2272,'Tabla XP'!$A$2:$A$12,0))*IF(E2272="",1,E2272),0))</f>
        <v/>
      </c>
      <c r="G2272" s="19" t="n"/>
      <c r="H2272" s="19" t="n"/>
    </row>
    <row r="2273">
      <c r="A2273" s="22" t="n"/>
      <c r="B2273" s="19" t="n"/>
      <c r="C2273" s="18">
        <f>IF(B2273="","",IFERROR(INDEX(Jugadores!$C$2:$C$501,MATCH(B2273,Jugadores!$A$2:$A$501,0)),"⚠ ID no existe"))</f>
        <v/>
      </c>
      <c r="D2273" s="19" t="n"/>
      <c r="E2273" s="19" t="n"/>
      <c r="F2273" s="16">
        <f>IF(OR(B2273="",D2273=""),"",IFERROR(INDEX('Tabla XP'!$B$2:$B$12,MATCH(D2273,'Tabla XP'!$A$2:$A$12,0))*IF(E2273="",1,E2273),0))</f>
        <v/>
      </c>
      <c r="G2273" s="19" t="n"/>
      <c r="H2273" s="19" t="n"/>
    </row>
    <row r="2274">
      <c r="A2274" s="22" t="n"/>
      <c r="B2274" s="19" t="n"/>
      <c r="C2274" s="18">
        <f>IF(B2274="","",IFERROR(INDEX(Jugadores!$C$2:$C$501,MATCH(B2274,Jugadores!$A$2:$A$501,0)),"⚠ ID no existe"))</f>
        <v/>
      </c>
      <c r="D2274" s="19" t="n"/>
      <c r="E2274" s="19" t="n"/>
      <c r="F2274" s="16">
        <f>IF(OR(B2274="",D2274=""),"",IFERROR(INDEX('Tabla XP'!$B$2:$B$12,MATCH(D2274,'Tabla XP'!$A$2:$A$12,0))*IF(E2274="",1,E2274),0))</f>
        <v/>
      </c>
      <c r="G2274" s="19" t="n"/>
      <c r="H2274" s="19" t="n"/>
    </row>
    <row r="2275">
      <c r="A2275" s="22" t="n"/>
      <c r="B2275" s="19" t="n"/>
      <c r="C2275" s="18">
        <f>IF(B2275="","",IFERROR(INDEX(Jugadores!$C$2:$C$501,MATCH(B2275,Jugadores!$A$2:$A$501,0)),"⚠ ID no existe"))</f>
        <v/>
      </c>
      <c r="D2275" s="19" t="n"/>
      <c r="E2275" s="19" t="n"/>
      <c r="F2275" s="16">
        <f>IF(OR(B2275="",D2275=""),"",IFERROR(INDEX('Tabla XP'!$B$2:$B$12,MATCH(D2275,'Tabla XP'!$A$2:$A$12,0))*IF(E2275="",1,E2275),0))</f>
        <v/>
      </c>
      <c r="G2275" s="19" t="n"/>
      <c r="H2275" s="19" t="n"/>
    </row>
    <row r="2276">
      <c r="A2276" s="22" t="n"/>
      <c r="B2276" s="19" t="n"/>
      <c r="C2276" s="18">
        <f>IF(B2276="","",IFERROR(INDEX(Jugadores!$C$2:$C$501,MATCH(B2276,Jugadores!$A$2:$A$501,0)),"⚠ ID no existe"))</f>
        <v/>
      </c>
      <c r="D2276" s="19" t="n"/>
      <c r="E2276" s="19" t="n"/>
      <c r="F2276" s="16">
        <f>IF(OR(B2276="",D2276=""),"",IFERROR(INDEX('Tabla XP'!$B$2:$B$12,MATCH(D2276,'Tabla XP'!$A$2:$A$12,0))*IF(E2276="",1,E2276),0))</f>
        <v/>
      </c>
      <c r="G2276" s="19" t="n"/>
      <c r="H2276" s="19" t="n"/>
    </row>
    <row r="2277">
      <c r="A2277" s="22" t="n"/>
      <c r="B2277" s="19" t="n"/>
      <c r="C2277" s="18">
        <f>IF(B2277="","",IFERROR(INDEX(Jugadores!$C$2:$C$501,MATCH(B2277,Jugadores!$A$2:$A$501,0)),"⚠ ID no existe"))</f>
        <v/>
      </c>
      <c r="D2277" s="19" t="n"/>
      <c r="E2277" s="19" t="n"/>
      <c r="F2277" s="16">
        <f>IF(OR(B2277="",D2277=""),"",IFERROR(INDEX('Tabla XP'!$B$2:$B$12,MATCH(D2277,'Tabla XP'!$A$2:$A$12,0))*IF(E2277="",1,E2277),0))</f>
        <v/>
      </c>
      <c r="G2277" s="19" t="n"/>
      <c r="H2277" s="19" t="n"/>
    </row>
    <row r="2278">
      <c r="A2278" s="22" t="n"/>
      <c r="B2278" s="19" t="n"/>
      <c r="C2278" s="18">
        <f>IF(B2278="","",IFERROR(INDEX(Jugadores!$C$2:$C$501,MATCH(B2278,Jugadores!$A$2:$A$501,0)),"⚠ ID no existe"))</f>
        <v/>
      </c>
      <c r="D2278" s="19" t="n"/>
      <c r="E2278" s="19" t="n"/>
      <c r="F2278" s="16">
        <f>IF(OR(B2278="",D2278=""),"",IFERROR(INDEX('Tabla XP'!$B$2:$B$12,MATCH(D2278,'Tabla XP'!$A$2:$A$12,0))*IF(E2278="",1,E2278),0))</f>
        <v/>
      </c>
      <c r="G2278" s="19" t="n"/>
      <c r="H2278" s="19" t="n"/>
    </row>
    <row r="2279">
      <c r="A2279" s="22" t="n"/>
      <c r="B2279" s="19" t="n"/>
      <c r="C2279" s="18">
        <f>IF(B2279="","",IFERROR(INDEX(Jugadores!$C$2:$C$501,MATCH(B2279,Jugadores!$A$2:$A$501,0)),"⚠ ID no existe"))</f>
        <v/>
      </c>
      <c r="D2279" s="19" t="n"/>
      <c r="E2279" s="19" t="n"/>
      <c r="F2279" s="16">
        <f>IF(OR(B2279="",D2279=""),"",IFERROR(INDEX('Tabla XP'!$B$2:$B$12,MATCH(D2279,'Tabla XP'!$A$2:$A$12,0))*IF(E2279="",1,E2279),0))</f>
        <v/>
      </c>
      <c r="G2279" s="19" t="n"/>
      <c r="H2279" s="19" t="n"/>
    </row>
    <row r="2280">
      <c r="A2280" s="22" t="n"/>
      <c r="B2280" s="19" t="n"/>
      <c r="C2280" s="18">
        <f>IF(B2280="","",IFERROR(INDEX(Jugadores!$C$2:$C$501,MATCH(B2280,Jugadores!$A$2:$A$501,0)),"⚠ ID no existe"))</f>
        <v/>
      </c>
      <c r="D2280" s="19" t="n"/>
      <c r="E2280" s="19" t="n"/>
      <c r="F2280" s="16">
        <f>IF(OR(B2280="",D2280=""),"",IFERROR(INDEX('Tabla XP'!$B$2:$B$12,MATCH(D2280,'Tabla XP'!$A$2:$A$12,0))*IF(E2280="",1,E2280),0))</f>
        <v/>
      </c>
      <c r="G2280" s="19" t="n"/>
      <c r="H2280" s="19" t="n"/>
    </row>
    <row r="2281">
      <c r="A2281" s="22" t="n"/>
      <c r="B2281" s="19" t="n"/>
      <c r="C2281" s="18">
        <f>IF(B2281="","",IFERROR(INDEX(Jugadores!$C$2:$C$501,MATCH(B2281,Jugadores!$A$2:$A$501,0)),"⚠ ID no existe"))</f>
        <v/>
      </c>
      <c r="D2281" s="19" t="n"/>
      <c r="E2281" s="19" t="n"/>
      <c r="F2281" s="16">
        <f>IF(OR(B2281="",D2281=""),"",IFERROR(INDEX('Tabla XP'!$B$2:$B$12,MATCH(D2281,'Tabla XP'!$A$2:$A$12,0))*IF(E2281="",1,E2281),0))</f>
        <v/>
      </c>
      <c r="G2281" s="19" t="n"/>
      <c r="H2281" s="19" t="n"/>
    </row>
    <row r="2282">
      <c r="A2282" s="22" t="n"/>
      <c r="B2282" s="19" t="n"/>
      <c r="C2282" s="18">
        <f>IF(B2282="","",IFERROR(INDEX(Jugadores!$C$2:$C$501,MATCH(B2282,Jugadores!$A$2:$A$501,0)),"⚠ ID no existe"))</f>
        <v/>
      </c>
      <c r="D2282" s="19" t="n"/>
      <c r="E2282" s="19" t="n"/>
      <c r="F2282" s="16">
        <f>IF(OR(B2282="",D2282=""),"",IFERROR(INDEX('Tabla XP'!$B$2:$B$12,MATCH(D2282,'Tabla XP'!$A$2:$A$12,0))*IF(E2282="",1,E2282),0))</f>
        <v/>
      </c>
      <c r="G2282" s="19" t="n"/>
      <c r="H2282" s="19" t="n"/>
    </row>
    <row r="2283">
      <c r="A2283" s="22" t="n"/>
      <c r="B2283" s="19" t="n"/>
      <c r="C2283" s="18">
        <f>IF(B2283="","",IFERROR(INDEX(Jugadores!$C$2:$C$501,MATCH(B2283,Jugadores!$A$2:$A$501,0)),"⚠ ID no existe"))</f>
        <v/>
      </c>
      <c r="D2283" s="19" t="n"/>
      <c r="E2283" s="19" t="n"/>
      <c r="F2283" s="16">
        <f>IF(OR(B2283="",D2283=""),"",IFERROR(INDEX('Tabla XP'!$B$2:$B$12,MATCH(D2283,'Tabla XP'!$A$2:$A$12,0))*IF(E2283="",1,E2283),0))</f>
        <v/>
      </c>
      <c r="G2283" s="19" t="n"/>
      <c r="H2283" s="19" t="n"/>
    </row>
    <row r="2284">
      <c r="A2284" s="22" t="n"/>
      <c r="B2284" s="19" t="n"/>
      <c r="C2284" s="18">
        <f>IF(B2284="","",IFERROR(INDEX(Jugadores!$C$2:$C$501,MATCH(B2284,Jugadores!$A$2:$A$501,0)),"⚠ ID no existe"))</f>
        <v/>
      </c>
      <c r="D2284" s="19" t="n"/>
      <c r="E2284" s="19" t="n"/>
      <c r="F2284" s="16">
        <f>IF(OR(B2284="",D2284=""),"",IFERROR(INDEX('Tabla XP'!$B$2:$B$12,MATCH(D2284,'Tabla XP'!$A$2:$A$12,0))*IF(E2284="",1,E2284),0))</f>
        <v/>
      </c>
      <c r="G2284" s="19" t="n"/>
      <c r="H2284" s="19" t="n"/>
    </row>
    <row r="2285">
      <c r="A2285" s="22" t="n"/>
      <c r="B2285" s="19" t="n"/>
      <c r="C2285" s="18">
        <f>IF(B2285="","",IFERROR(INDEX(Jugadores!$C$2:$C$501,MATCH(B2285,Jugadores!$A$2:$A$501,0)),"⚠ ID no existe"))</f>
        <v/>
      </c>
      <c r="D2285" s="19" t="n"/>
      <c r="E2285" s="19" t="n"/>
      <c r="F2285" s="16">
        <f>IF(OR(B2285="",D2285=""),"",IFERROR(INDEX('Tabla XP'!$B$2:$B$12,MATCH(D2285,'Tabla XP'!$A$2:$A$12,0))*IF(E2285="",1,E2285),0))</f>
        <v/>
      </c>
      <c r="G2285" s="19" t="n"/>
      <c r="H2285" s="19" t="n"/>
    </row>
    <row r="2286">
      <c r="A2286" s="22" t="n"/>
      <c r="B2286" s="19" t="n"/>
      <c r="C2286" s="18">
        <f>IF(B2286="","",IFERROR(INDEX(Jugadores!$C$2:$C$501,MATCH(B2286,Jugadores!$A$2:$A$501,0)),"⚠ ID no existe"))</f>
        <v/>
      </c>
      <c r="D2286" s="19" t="n"/>
      <c r="E2286" s="19" t="n"/>
      <c r="F2286" s="16">
        <f>IF(OR(B2286="",D2286=""),"",IFERROR(INDEX('Tabla XP'!$B$2:$B$12,MATCH(D2286,'Tabla XP'!$A$2:$A$12,0))*IF(E2286="",1,E2286),0))</f>
        <v/>
      </c>
      <c r="G2286" s="19" t="n"/>
      <c r="H2286" s="19" t="n"/>
    </row>
    <row r="2287">
      <c r="A2287" s="22" t="n"/>
      <c r="B2287" s="19" t="n"/>
      <c r="C2287" s="18">
        <f>IF(B2287="","",IFERROR(INDEX(Jugadores!$C$2:$C$501,MATCH(B2287,Jugadores!$A$2:$A$501,0)),"⚠ ID no existe"))</f>
        <v/>
      </c>
      <c r="D2287" s="19" t="n"/>
      <c r="E2287" s="19" t="n"/>
      <c r="F2287" s="16">
        <f>IF(OR(B2287="",D2287=""),"",IFERROR(INDEX('Tabla XP'!$B$2:$B$12,MATCH(D2287,'Tabla XP'!$A$2:$A$12,0))*IF(E2287="",1,E2287),0))</f>
        <v/>
      </c>
      <c r="G2287" s="19" t="n"/>
      <c r="H2287" s="19" t="n"/>
    </row>
    <row r="2288">
      <c r="A2288" s="22" t="n"/>
      <c r="B2288" s="19" t="n"/>
      <c r="C2288" s="18">
        <f>IF(B2288="","",IFERROR(INDEX(Jugadores!$C$2:$C$501,MATCH(B2288,Jugadores!$A$2:$A$501,0)),"⚠ ID no existe"))</f>
        <v/>
      </c>
      <c r="D2288" s="19" t="n"/>
      <c r="E2288" s="19" t="n"/>
      <c r="F2288" s="16">
        <f>IF(OR(B2288="",D2288=""),"",IFERROR(INDEX('Tabla XP'!$B$2:$B$12,MATCH(D2288,'Tabla XP'!$A$2:$A$12,0))*IF(E2288="",1,E2288),0))</f>
        <v/>
      </c>
      <c r="G2288" s="19" t="n"/>
      <c r="H2288" s="19" t="n"/>
    </row>
    <row r="2289">
      <c r="A2289" s="22" t="n"/>
      <c r="B2289" s="19" t="n"/>
      <c r="C2289" s="18">
        <f>IF(B2289="","",IFERROR(INDEX(Jugadores!$C$2:$C$501,MATCH(B2289,Jugadores!$A$2:$A$501,0)),"⚠ ID no existe"))</f>
        <v/>
      </c>
      <c r="D2289" s="19" t="n"/>
      <c r="E2289" s="19" t="n"/>
      <c r="F2289" s="16">
        <f>IF(OR(B2289="",D2289=""),"",IFERROR(INDEX('Tabla XP'!$B$2:$B$12,MATCH(D2289,'Tabla XP'!$A$2:$A$12,0))*IF(E2289="",1,E2289),0))</f>
        <v/>
      </c>
      <c r="G2289" s="19" t="n"/>
      <c r="H2289" s="19" t="n"/>
    </row>
    <row r="2290">
      <c r="A2290" s="22" t="n"/>
      <c r="B2290" s="19" t="n"/>
      <c r="C2290" s="18">
        <f>IF(B2290="","",IFERROR(INDEX(Jugadores!$C$2:$C$501,MATCH(B2290,Jugadores!$A$2:$A$501,0)),"⚠ ID no existe"))</f>
        <v/>
      </c>
      <c r="D2290" s="19" t="n"/>
      <c r="E2290" s="19" t="n"/>
      <c r="F2290" s="16">
        <f>IF(OR(B2290="",D2290=""),"",IFERROR(INDEX('Tabla XP'!$B$2:$B$12,MATCH(D2290,'Tabla XP'!$A$2:$A$12,0))*IF(E2290="",1,E2290),0))</f>
        <v/>
      </c>
      <c r="G2290" s="19" t="n"/>
      <c r="H2290" s="19" t="n"/>
    </row>
    <row r="2291">
      <c r="A2291" s="22" t="n"/>
      <c r="B2291" s="19" t="n"/>
      <c r="C2291" s="18">
        <f>IF(B2291="","",IFERROR(INDEX(Jugadores!$C$2:$C$501,MATCH(B2291,Jugadores!$A$2:$A$501,0)),"⚠ ID no existe"))</f>
        <v/>
      </c>
      <c r="D2291" s="19" t="n"/>
      <c r="E2291" s="19" t="n"/>
      <c r="F2291" s="16">
        <f>IF(OR(B2291="",D2291=""),"",IFERROR(INDEX('Tabla XP'!$B$2:$B$12,MATCH(D2291,'Tabla XP'!$A$2:$A$12,0))*IF(E2291="",1,E2291),0))</f>
        <v/>
      </c>
      <c r="G2291" s="19" t="n"/>
      <c r="H2291" s="19" t="n"/>
    </row>
    <row r="2292">
      <c r="A2292" s="22" t="n"/>
      <c r="B2292" s="19" t="n"/>
      <c r="C2292" s="18">
        <f>IF(B2292="","",IFERROR(INDEX(Jugadores!$C$2:$C$501,MATCH(B2292,Jugadores!$A$2:$A$501,0)),"⚠ ID no existe"))</f>
        <v/>
      </c>
      <c r="D2292" s="19" t="n"/>
      <c r="E2292" s="19" t="n"/>
      <c r="F2292" s="16">
        <f>IF(OR(B2292="",D2292=""),"",IFERROR(INDEX('Tabla XP'!$B$2:$B$12,MATCH(D2292,'Tabla XP'!$A$2:$A$12,0))*IF(E2292="",1,E2292),0))</f>
        <v/>
      </c>
      <c r="G2292" s="19" t="n"/>
      <c r="H2292" s="19" t="n"/>
    </row>
    <row r="2293">
      <c r="A2293" s="22" t="n"/>
      <c r="B2293" s="19" t="n"/>
      <c r="C2293" s="18">
        <f>IF(B2293="","",IFERROR(INDEX(Jugadores!$C$2:$C$501,MATCH(B2293,Jugadores!$A$2:$A$501,0)),"⚠ ID no existe"))</f>
        <v/>
      </c>
      <c r="D2293" s="19" t="n"/>
      <c r="E2293" s="19" t="n"/>
      <c r="F2293" s="16">
        <f>IF(OR(B2293="",D2293=""),"",IFERROR(INDEX('Tabla XP'!$B$2:$B$12,MATCH(D2293,'Tabla XP'!$A$2:$A$12,0))*IF(E2293="",1,E2293),0))</f>
        <v/>
      </c>
      <c r="G2293" s="19" t="n"/>
      <c r="H2293" s="19" t="n"/>
    </row>
    <row r="2294">
      <c r="A2294" s="22" t="n"/>
      <c r="B2294" s="19" t="n"/>
      <c r="C2294" s="18">
        <f>IF(B2294="","",IFERROR(INDEX(Jugadores!$C$2:$C$501,MATCH(B2294,Jugadores!$A$2:$A$501,0)),"⚠ ID no existe"))</f>
        <v/>
      </c>
      <c r="D2294" s="19" t="n"/>
      <c r="E2294" s="19" t="n"/>
      <c r="F2294" s="16">
        <f>IF(OR(B2294="",D2294=""),"",IFERROR(INDEX('Tabla XP'!$B$2:$B$12,MATCH(D2294,'Tabla XP'!$A$2:$A$12,0))*IF(E2294="",1,E2294),0))</f>
        <v/>
      </c>
      <c r="G2294" s="19" t="n"/>
      <c r="H2294" s="19" t="n"/>
    </row>
    <row r="2295">
      <c r="A2295" s="22" t="n"/>
      <c r="B2295" s="19" t="n"/>
      <c r="C2295" s="18">
        <f>IF(B2295="","",IFERROR(INDEX(Jugadores!$C$2:$C$501,MATCH(B2295,Jugadores!$A$2:$A$501,0)),"⚠ ID no existe"))</f>
        <v/>
      </c>
      <c r="D2295" s="19" t="n"/>
      <c r="E2295" s="19" t="n"/>
      <c r="F2295" s="16">
        <f>IF(OR(B2295="",D2295=""),"",IFERROR(INDEX('Tabla XP'!$B$2:$B$12,MATCH(D2295,'Tabla XP'!$A$2:$A$12,0))*IF(E2295="",1,E2295),0))</f>
        <v/>
      </c>
      <c r="G2295" s="19" t="n"/>
      <c r="H2295" s="19" t="n"/>
    </row>
    <row r="2296">
      <c r="A2296" s="22" t="n"/>
      <c r="B2296" s="19" t="n"/>
      <c r="C2296" s="18">
        <f>IF(B2296="","",IFERROR(INDEX(Jugadores!$C$2:$C$501,MATCH(B2296,Jugadores!$A$2:$A$501,0)),"⚠ ID no existe"))</f>
        <v/>
      </c>
      <c r="D2296" s="19" t="n"/>
      <c r="E2296" s="19" t="n"/>
      <c r="F2296" s="16">
        <f>IF(OR(B2296="",D2296=""),"",IFERROR(INDEX('Tabla XP'!$B$2:$B$12,MATCH(D2296,'Tabla XP'!$A$2:$A$12,0))*IF(E2296="",1,E2296),0))</f>
        <v/>
      </c>
      <c r="G2296" s="19" t="n"/>
      <c r="H2296" s="19" t="n"/>
    </row>
    <row r="2297">
      <c r="A2297" s="22" t="n"/>
      <c r="B2297" s="19" t="n"/>
      <c r="C2297" s="18">
        <f>IF(B2297="","",IFERROR(INDEX(Jugadores!$C$2:$C$501,MATCH(B2297,Jugadores!$A$2:$A$501,0)),"⚠ ID no existe"))</f>
        <v/>
      </c>
      <c r="D2297" s="19" t="n"/>
      <c r="E2297" s="19" t="n"/>
      <c r="F2297" s="16">
        <f>IF(OR(B2297="",D2297=""),"",IFERROR(INDEX('Tabla XP'!$B$2:$B$12,MATCH(D2297,'Tabla XP'!$A$2:$A$12,0))*IF(E2297="",1,E2297),0))</f>
        <v/>
      </c>
      <c r="G2297" s="19" t="n"/>
      <c r="H2297" s="19" t="n"/>
    </row>
    <row r="2298">
      <c r="A2298" s="22" t="n"/>
      <c r="B2298" s="19" t="n"/>
      <c r="C2298" s="18">
        <f>IF(B2298="","",IFERROR(INDEX(Jugadores!$C$2:$C$501,MATCH(B2298,Jugadores!$A$2:$A$501,0)),"⚠ ID no existe"))</f>
        <v/>
      </c>
      <c r="D2298" s="19" t="n"/>
      <c r="E2298" s="19" t="n"/>
      <c r="F2298" s="16">
        <f>IF(OR(B2298="",D2298=""),"",IFERROR(INDEX('Tabla XP'!$B$2:$B$12,MATCH(D2298,'Tabla XP'!$A$2:$A$12,0))*IF(E2298="",1,E2298),0))</f>
        <v/>
      </c>
      <c r="G2298" s="19" t="n"/>
      <c r="H2298" s="19" t="n"/>
    </row>
    <row r="2299">
      <c r="A2299" s="22" t="n"/>
      <c r="B2299" s="19" t="n"/>
      <c r="C2299" s="18">
        <f>IF(B2299="","",IFERROR(INDEX(Jugadores!$C$2:$C$501,MATCH(B2299,Jugadores!$A$2:$A$501,0)),"⚠ ID no existe"))</f>
        <v/>
      </c>
      <c r="D2299" s="19" t="n"/>
      <c r="E2299" s="19" t="n"/>
      <c r="F2299" s="16">
        <f>IF(OR(B2299="",D2299=""),"",IFERROR(INDEX('Tabla XP'!$B$2:$B$12,MATCH(D2299,'Tabla XP'!$A$2:$A$12,0))*IF(E2299="",1,E2299),0))</f>
        <v/>
      </c>
      <c r="G2299" s="19" t="n"/>
      <c r="H2299" s="19" t="n"/>
    </row>
    <row r="2300">
      <c r="A2300" s="22" t="n"/>
      <c r="B2300" s="19" t="n"/>
      <c r="C2300" s="18">
        <f>IF(B2300="","",IFERROR(INDEX(Jugadores!$C$2:$C$501,MATCH(B2300,Jugadores!$A$2:$A$501,0)),"⚠ ID no existe"))</f>
        <v/>
      </c>
      <c r="D2300" s="19" t="n"/>
      <c r="E2300" s="19" t="n"/>
      <c r="F2300" s="16">
        <f>IF(OR(B2300="",D2300=""),"",IFERROR(INDEX('Tabla XP'!$B$2:$B$12,MATCH(D2300,'Tabla XP'!$A$2:$A$12,0))*IF(E2300="",1,E2300),0))</f>
        <v/>
      </c>
      <c r="G2300" s="19" t="n"/>
      <c r="H2300" s="19" t="n"/>
    </row>
    <row r="2301">
      <c r="A2301" s="22" t="n"/>
      <c r="B2301" s="19" t="n"/>
      <c r="C2301" s="18">
        <f>IF(B2301="","",IFERROR(INDEX(Jugadores!$C$2:$C$501,MATCH(B2301,Jugadores!$A$2:$A$501,0)),"⚠ ID no existe"))</f>
        <v/>
      </c>
      <c r="D2301" s="19" t="n"/>
      <c r="E2301" s="19" t="n"/>
      <c r="F2301" s="16">
        <f>IF(OR(B2301="",D2301=""),"",IFERROR(INDEX('Tabla XP'!$B$2:$B$12,MATCH(D2301,'Tabla XP'!$A$2:$A$12,0))*IF(E2301="",1,E2301),0))</f>
        <v/>
      </c>
      <c r="G2301" s="19" t="n"/>
      <c r="H2301" s="19" t="n"/>
    </row>
    <row r="2302">
      <c r="A2302" s="22" t="n"/>
      <c r="B2302" s="19" t="n"/>
      <c r="C2302" s="18">
        <f>IF(B2302="","",IFERROR(INDEX(Jugadores!$C$2:$C$501,MATCH(B2302,Jugadores!$A$2:$A$501,0)),"⚠ ID no existe"))</f>
        <v/>
      </c>
      <c r="D2302" s="19" t="n"/>
      <c r="E2302" s="19" t="n"/>
      <c r="F2302" s="16">
        <f>IF(OR(B2302="",D2302=""),"",IFERROR(INDEX('Tabla XP'!$B$2:$B$12,MATCH(D2302,'Tabla XP'!$A$2:$A$12,0))*IF(E2302="",1,E2302),0))</f>
        <v/>
      </c>
      <c r="G2302" s="19" t="n"/>
      <c r="H2302" s="19" t="n"/>
    </row>
    <row r="2303">
      <c r="A2303" s="22" t="n"/>
      <c r="B2303" s="19" t="n"/>
      <c r="C2303" s="18">
        <f>IF(B2303="","",IFERROR(INDEX(Jugadores!$C$2:$C$501,MATCH(B2303,Jugadores!$A$2:$A$501,0)),"⚠ ID no existe"))</f>
        <v/>
      </c>
      <c r="D2303" s="19" t="n"/>
      <c r="E2303" s="19" t="n"/>
      <c r="F2303" s="16">
        <f>IF(OR(B2303="",D2303=""),"",IFERROR(INDEX('Tabla XP'!$B$2:$B$12,MATCH(D2303,'Tabla XP'!$A$2:$A$12,0))*IF(E2303="",1,E2303),0))</f>
        <v/>
      </c>
      <c r="G2303" s="19" t="n"/>
      <c r="H2303" s="19" t="n"/>
    </row>
    <row r="2304">
      <c r="A2304" s="22" t="n"/>
      <c r="B2304" s="19" t="n"/>
      <c r="C2304" s="18">
        <f>IF(B2304="","",IFERROR(INDEX(Jugadores!$C$2:$C$501,MATCH(B2304,Jugadores!$A$2:$A$501,0)),"⚠ ID no existe"))</f>
        <v/>
      </c>
      <c r="D2304" s="19" t="n"/>
      <c r="E2304" s="19" t="n"/>
      <c r="F2304" s="16">
        <f>IF(OR(B2304="",D2304=""),"",IFERROR(INDEX('Tabla XP'!$B$2:$B$12,MATCH(D2304,'Tabla XP'!$A$2:$A$12,0))*IF(E2304="",1,E2304),0))</f>
        <v/>
      </c>
      <c r="G2304" s="19" t="n"/>
      <c r="H2304" s="19" t="n"/>
    </row>
    <row r="2305">
      <c r="A2305" s="22" t="n"/>
      <c r="B2305" s="19" t="n"/>
      <c r="C2305" s="18">
        <f>IF(B2305="","",IFERROR(INDEX(Jugadores!$C$2:$C$501,MATCH(B2305,Jugadores!$A$2:$A$501,0)),"⚠ ID no existe"))</f>
        <v/>
      </c>
      <c r="D2305" s="19" t="n"/>
      <c r="E2305" s="19" t="n"/>
      <c r="F2305" s="16">
        <f>IF(OR(B2305="",D2305=""),"",IFERROR(INDEX('Tabla XP'!$B$2:$B$12,MATCH(D2305,'Tabla XP'!$A$2:$A$12,0))*IF(E2305="",1,E2305),0))</f>
        <v/>
      </c>
      <c r="G2305" s="19" t="n"/>
      <c r="H2305" s="19" t="n"/>
    </row>
    <row r="2306">
      <c r="A2306" s="22" t="n"/>
      <c r="B2306" s="19" t="n"/>
      <c r="C2306" s="18">
        <f>IF(B2306="","",IFERROR(INDEX(Jugadores!$C$2:$C$501,MATCH(B2306,Jugadores!$A$2:$A$501,0)),"⚠ ID no existe"))</f>
        <v/>
      </c>
      <c r="D2306" s="19" t="n"/>
      <c r="E2306" s="19" t="n"/>
      <c r="F2306" s="16">
        <f>IF(OR(B2306="",D2306=""),"",IFERROR(INDEX('Tabla XP'!$B$2:$B$12,MATCH(D2306,'Tabla XP'!$A$2:$A$12,0))*IF(E2306="",1,E2306),0))</f>
        <v/>
      </c>
      <c r="G2306" s="19" t="n"/>
      <c r="H2306" s="19" t="n"/>
    </row>
    <row r="2307">
      <c r="A2307" s="22" t="n"/>
      <c r="B2307" s="19" t="n"/>
      <c r="C2307" s="18">
        <f>IF(B2307="","",IFERROR(INDEX(Jugadores!$C$2:$C$501,MATCH(B2307,Jugadores!$A$2:$A$501,0)),"⚠ ID no existe"))</f>
        <v/>
      </c>
      <c r="D2307" s="19" t="n"/>
      <c r="E2307" s="19" t="n"/>
      <c r="F2307" s="16">
        <f>IF(OR(B2307="",D2307=""),"",IFERROR(INDEX('Tabla XP'!$B$2:$B$12,MATCH(D2307,'Tabla XP'!$A$2:$A$12,0))*IF(E2307="",1,E2307),0))</f>
        <v/>
      </c>
      <c r="G2307" s="19" t="n"/>
      <c r="H2307" s="19" t="n"/>
    </row>
    <row r="2308">
      <c r="A2308" s="22" t="n"/>
      <c r="B2308" s="19" t="n"/>
      <c r="C2308" s="18">
        <f>IF(B2308="","",IFERROR(INDEX(Jugadores!$C$2:$C$501,MATCH(B2308,Jugadores!$A$2:$A$501,0)),"⚠ ID no existe"))</f>
        <v/>
      </c>
      <c r="D2308" s="19" t="n"/>
      <c r="E2308" s="19" t="n"/>
      <c r="F2308" s="16">
        <f>IF(OR(B2308="",D2308=""),"",IFERROR(INDEX('Tabla XP'!$B$2:$B$12,MATCH(D2308,'Tabla XP'!$A$2:$A$12,0))*IF(E2308="",1,E2308),0))</f>
        <v/>
      </c>
      <c r="G2308" s="19" t="n"/>
      <c r="H2308" s="19" t="n"/>
    </row>
    <row r="2309">
      <c r="A2309" s="22" t="n"/>
      <c r="B2309" s="19" t="n"/>
      <c r="C2309" s="18">
        <f>IF(B2309="","",IFERROR(INDEX(Jugadores!$C$2:$C$501,MATCH(B2309,Jugadores!$A$2:$A$501,0)),"⚠ ID no existe"))</f>
        <v/>
      </c>
      <c r="D2309" s="19" t="n"/>
      <c r="E2309" s="19" t="n"/>
      <c r="F2309" s="16">
        <f>IF(OR(B2309="",D2309=""),"",IFERROR(INDEX('Tabla XP'!$B$2:$B$12,MATCH(D2309,'Tabla XP'!$A$2:$A$12,0))*IF(E2309="",1,E2309),0))</f>
        <v/>
      </c>
      <c r="G2309" s="19" t="n"/>
      <c r="H2309" s="19" t="n"/>
    </row>
    <row r="2310">
      <c r="A2310" s="22" t="n"/>
      <c r="B2310" s="19" t="n"/>
      <c r="C2310" s="18">
        <f>IF(B2310="","",IFERROR(INDEX(Jugadores!$C$2:$C$501,MATCH(B2310,Jugadores!$A$2:$A$501,0)),"⚠ ID no existe"))</f>
        <v/>
      </c>
      <c r="D2310" s="19" t="n"/>
      <c r="E2310" s="19" t="n"/>
      <c r="F2310" s="16">
        <f>IF(OR(B2310="",D2310=""),"",IFERROR(INDEX('Tabla XP'!$B$2:$B$12,MATCH(D2310,'Tabla XP'!$A$2:$A$12,0))*IF(E2310="",1,E2310),0))</f>
        <v/>
      </c>
      <c r="G2310" s="19" t="n"/>
      <c r="H2310" s="19" t="n"/>
    </row>
    <row r="2311">
      <c r="A2311" s="22" t="n"/>
      <c r="B2311" s="19" t="n"/>
      <c r="C2311" s="18">
        <f>IF(B2311="","",IFERROR(INDEX(Jugadores!$C$2:$C$501,MATCH(B2311,Jugadores!$A$2:$A$501,0)),"⚠ ID no existe"))</f>
        <v/>
      </c>
      <c r="D2311" s="19" t="n"/>
      <c r="E2311" s="19" t="n"/>
      <c r="F2311" s="16">
        <f>IF(OR(B2311="",D2311=""),"",IFERROR(INDEX('Tabla XP'!$B$2:$B$12,MATCH(D2311,'Tabla XP'!$A$2:$A$12,0))*IF(E2311="",1,E2311),0))</f>
        <v/>
      </c>
      <c r="G2311" s="19" t="n"/>
      <c r="H2311" s="19" t="n"/>
    </row>
    <row r="2312">
      <c r="A2312" s="22" t="n"/>
      <c r="B2312" s="19" t="n"/>
      <c r="C2312" s="18">
        <f>IF(B2312="","",IFERROR(INDEX(Jugadores!$C$2:$C$501,MATCH(B2312,Jugadores!$A$2:$A$501,0)),"⚠ ID no existe"))</f>
        <v/>
      </c>
      <c r="D2312" s="19" t="n"/>
      <c r="E2312" s="19" t="n"/>
      <c r="F2312" s="16">
        <f>IF(OR(B2312="",D2312=""),"",IFERROR(INDEX('Tabla XP'!$B$2:$B$12,MATCH(D2312,'Tabla XP'!$A$2:$A$12,0))*IF(E2312="",1,E2312),0))</f>
        <v/>
      </c>
      <c r="G2312" s="19" t="n"/>
      <c r="H2312" s="19" t="n"/>
    </row>
    <row r="2313">
      <c r="A2313" s="22" t="n"/>
      <c r="B2313" s="19" t="n"/>
      <c r="C2313" s="18">
        <f>IF(B2313="","",IFERROR(INDEX(Jugadores!$C$2:$C$501,MATCH(B2313,Jugadores!$A$2:$A$501,0)),"⚠ ID no existe"))</f>
        <v/>
      </c>
      <c r="D2313" s="19" t="n"/>
      <c r="E2313" s="19" t="n"/>
      <c r="F2313" s="16">
        <f>IF(OR(B2313="",D2313=""),"",IFERROR(INDEX('Tabla XP'!$B$2:$B$12,MATCH(D2313,'Tabla XP'!$A$2:$A$12,0))*IF(E2313="",1,E2313),0))</f>
        <v/>
      </c>
      <c r="G2313" s="19" t="n"/>
      <c r="H2313" s="19" t="n"/>
    </row>
    <row r="2314">
      <c r="A2314" s="22" t="n"/>
      <c r="B2314" s="19" t="n"/>
      <c r="C2314" s="18">
        <f>IF(B2314="","",IFERROR(INDEX(Jugadores!$C$2:$C$501,MATCH(B2314,Jugadores!$A$2:$A$501,0)),"⚠ ID no existe"))</f>
        <v/>
      </c>
      <c r="D2314" s="19" t="n"/>
      <c r="E2314" s="19" t="n"/>
      <c r="F2314" s="16">
        <f>IF(OR(B2314="",D2314=""),"",IFERROR(INDEX('Tabla XP'!$B$2:$B$12,MATCH(D2314,'Tabla XP'!$A$2:$A$12,0))*IF(E2314="",1,E2314),0))</f>
        <v/>
      </c>
      <c r="G2314" s="19" t="n"/>
      <c r="H2314" s="19" t="n"/>
    </row>
    <row r="2315">
      <c r="A2315" s="22" t="n"/>
      <c r="B2315" s="19" t="n"/>
      <c r="C2315" s="18">
        <f>IF(B2315="","",IFERROR(INDEX(Jugadores!$C$2:$C$501,MATCH(B2315,Jugadores!$A$2:$A$501,0)),"⚠ ID no existe"))</f>
        <v/>
      </c>
      <c r="D2315" s="19" t="n"/>
      <c r="E2315" s="19" t="n"/>
      <c r="F2315" s="16">
        <f>IF(OR(B2315="",D2315=""),"",IFERROR(INDEX('Tabla XP'!$B$2:$B$12,MATCH(D2315,'Tabla XP'!$A$2:$A$12,0))*IF(E2315="",1,E2315),0))</f>
        <v/>
      </c>
      <c r="G2315" s="19" t="n"/>
      <c r="H2315" s="19" t="n"/>
    </row>
    <row r="2316">
      <c r="A2316" s="22" t="n"/>
      <c r="B2316" s="19" t="n"/>
      <c r="C2316" s="18">
        <f>IF(B2316="","",IFERROR(INDEX(Jugadores!$C$2:$C$501,MATCH(B2316,Jugadores!$A$2:$A$501,0)),"⚠ ID no existe"))</f>
        <v/>
      </c>
      <c r="D2316" s="19" t="n"/>
      <c r="E2316" s="19" t="n"/>
      <c r="F2316" s="16">
        <f>IF(OR(B2316="",D2316=""),"",IFERROR(INDEX('Tabla XP'!$B$2:$B$12,MATCH(D2316,'Tabla XP'!$A$2:$A$12,0))*IF(E2316="",1,E2316),0))</f>
        <v/>
      </c>
      <c r="G2316" s="19" t="n"/>
      <c r="H2316" s="19" t="n"/>
    </row>
    <row r="2317">
      <c r="A2317" s="22" t="n"/>
      <c r="B2317" s="19" t="n"/>
      <c r="C2317" s="18">
        <f>IF(B2317="","",IFERROR(INDEX(Jugadores!$C$2:$C$501,MATCH(B2317,Jugadores!$A$2:$A$501,0)),"⚠ ID no existe"))</f>
        <v/>
      </c>
      <c r="D2317" s="19" t="n"/>
      <c r="E2317" s="19" t="n"/>
      <c r="F2317" s="16">
        <f>IF(OR(B2317="",D2317=""),"",IFERROR(INDEX('Tabla XP'!$B$2:$B$12,MATCH(D2317,'Tabla XP'!$A$2:$A$12,0))*IF(E2317="",1,E2317),0))</f>
        <v/>
      </c>
      <c r="G2317" s="19" t="n"/>
      <c r="H2317" s="19" t="n"/>
    </row>
    <row r="2318">
      <c r="A2318" s="22" t="n"/>
      <c r="B2318" s="19" t="n"/>
      <c r="C2318" s="18">
        <f>IF(B2318="","",IFERROR(INDEX(Jugadores!$C$2:$C$501,MATCH(B2318,Jugadores!$A$2:$A$501,0)),"⚠ ID no existe"))</f>
        <v/>
      </c>
      <c r="D2318" s="19" t="n"/>
      <c r="E2318" s="19" t="n"/>
      <c r="F2318" s="16">
        <f>IF(OR(B2318="",D2318=""),"",IFERROR(INDEX('Tabla XP'!$B$2:$B$12,MATCH(D2318,'Tabla XP'!$A$2:$A$12,0))*IF(E2318="",1,E2318),0))</f>
        <v/>
      </c>
      <c r="G2318" s="19" t="n"/>
      <c r="H2318" s="19" t="n"/>
    </row>
    <row r="2319">
      <c r="A2319" s="22" t="n"/>
      <c r="B2319" s="19" t="n"/>
      <c r="C2319" s="18">
        <f>IF(B2319="","",IFERROR(INDEX(Jugadores!$C$2:$C$501,MATCH(B2319,Jugadores!$A$2:$A$501,0)),"⚠ ID no existe"))</f>
        <v/>
      </c>
      <c r="D2319" s="19" t="n"/>
      <c r="E2319" s="19" t="n"/>
      <c r="F2319" s="16">
        <f>IF(OR(B2319="",D2319=""),"",IFERROR(INDEX('Tabla XP'!$B$2:$B$12,MATCH(D2319,'Tabla XP'!$A$2:$A$12,0))*IF(E2319="",1,E2319),0))</f>
        <v/>
      </c>
      <c r="G2319" s="19" t="n"/>
      <c r="H2319" s="19" t="n"/>
    </row>
    <row r="2320">
      <c r="A2320" s="22" t="n"/>
      <c r="B2320" s="19" t="n"/>
      <c r="C2320" s="18">
        <f>IF(B2320="","",IFERROR(INDEX(Jugadores!$C$2:$C$501,MATCH(B2320,Jugadores!$A$2:$A$501,0)),"⚠ ID no existe"))</f>
        <v/>
      </c>
      <c r="D2320" s="19" t="n"/>
      <c r="E2320" s="19" t="n"/>
      <c r="F2320" s="16">
        <f>IF(OR(B2320="",D2320=""),"",IFERROR(INDEX('Tabla XP'!$B$2:$B$12,MATCH(D2320,'Tabla XP'!$A$2:$A$12,0))*IF(E2320="",1,E2320),0))</f>
        <v/>
      </c>
      <c r="G2320" s="19" t="n"/>
      <c r="H2320" s="19" t="n"/>
    </row>
    <row r="2321">
      <c r="A2321" s="22" t="n"/>
      <c r="B2321" s="19" t="n"/>
      <c r="C2321" s="18">
        <f>IF(B2321="","",IFERROR(INDEX(Jugadores!$C$2:$C$501,MATCH(B2321,Jugadores!$A$2:$A$501,0)),"⚠ ID no existe"))</f>
        <v/>
      </c>
      <c r="D2321" s="19" t="n"/>
      <c r="E2321" s="19" t="n"/>
      <c r="F2321" s="16">
        <f>IF(OR(B2321="",D2321=""),"",IFERROR(INDEX('Tabla XP'!$B$2:$B$12,MATCH(D2321,'Tabla XP'!$A$2:$A$12,0))*IF(E2321="",1,E2321),0))</f>
        <v/>
      </c>
      <c r="G2321" s="19" t="n"/>
      <c r="H2321" s="19" t="n"/>
    </row>
    <row r="2322">
      <c r="A2322" s="22" t="n"/>
      <c r="B2322" s="19" t="n"/>
      <c r="C2322" s="18">
        <f>IF(B2322="","",IFERROR(INDEX(Jugadores!$C$2:$C$501,MATCH(B2322,Jugadores!$A$2:$A$501,0)),"⚠ ID no existe"))</f>
        <v/>
      </c>
      <c r="D2322" s="19" t="n"/>
      <c r="E2322" s="19" t="n"/>
      <c r="F2322" s="16">
        <f>IF(OR(B2322="",D2322=""),"",IFERROR(INDEX('Tabla XP'!$B$2:$B$12,MATCH(D2322,'Tabla XP'!$A$2:$A$12,0))*IF(E2322="",1,E2322),0))</f>
        <v/>
      </c>
      <c r="G2322" s="19" t="n"/>
      <c r="H2322" s="19" t="n"/>
    </row>
    <row r="2323">
      <c r="A2323" s="22" t="n"/>
      <c r="B2323" s="19" t="n"/>
      <c r="C2323" s="18">
        <f>IF(B2323="","",IFERROR(INDEX(Jugadores!$C$2:$C$501,MATCH(B2323,Jugadores!$A$2:$A$501,0)),"⚠ ID no existe"))</f>
        <v/>
      </c>
      <c r="D2323" s="19" t="n"/>
      <c r="E2323" s="19" t="n"/>
      <c r="F2323" s="16">
        <f>IF(OR(B2323="",D2323=""),"",IFERROR(INDEX('Tabla XP'!$B$2:$B$12,MATCH(D2323,'Tabla XP'!$A$2:$A$12,0))*IF(E2323="",1,E2323),0))</f>
        <v/>
      </c>
      <c r="G2323" s="19" t="n"/>
      <c r="H2323" s="19" t="n"/>
    </row>
    <row r="2324">
      <c r="A2324" s="22" t="n"/>
      <c r="B2324" s="19" t="n"/>
      <c r="C2324" s="18">
        <f>IF(B2324="","",IFERROR(INDEX(Jugadores!$C$2:$C$501,MATCH(B2324,Jugadores!$A$2:$A$501,0)),"⚠ ID no existe"))</f>
        <v/>
      </c>
      <c r="D2324" s="19" t="n"/>
      <c r="E2324" s="19" t="n"/>
      <c r="F2324" s="16">
        <f>IF(OR(B2324="",D2324=""),"",IFERROR(INDEX('Tabla XP'!$B$2:$B$12,MATCH(D2324,'Tabla XP'!$A$2:$A$12,0))*IF(E2324="",1,E2324),0))</f>
        <v/>
      </c>
      <c r="G2324" s="19" t="n"/>
      <c r="H2324" s="19" t="n"/>
    </row>
    <row r="2325">
      <c r="A2325" s="22" t="n"/>
      <c r="B2325" s="19" t="n"/>
      <c r="C2325" s="18">
        <f>IF(B2325="","",IFERROR(INDEX(Jugadores!$C$2:$C$501,MATCH(B2325,Jugadores!$A$2:$A$501,0)),"⚠ ID no existe"))</f>
        <v/>
      </c>
      <c r="D2325" s="19" t="n"/>
      <c r="E2325" s="19" t="n"/>
      <c r="F2325" s="16">
        <f>IF(OR(B2325="",D2325=""),"",IFERROR(INDEX('Tabla XP'!$B$2:$B$12,MATCH(D2325,'Tabla XP'!$A$2:$A$12,0))*IF(E2325="",1,E2325),0))</f>
        <v/>
      </c>
      <c r="G2325" s="19" t="n"/>
      <c r="H2325" s="19" t="n"/>
    </row>
    <row r="2326">
      <c r="A2326" s="22" t="n"/>
      <c r="B2326" s="19" t="n"/>
      <c r="C2326" s="18">
        <f>IF(B2326="","",IFERROR(INDEX(Jugadores!$C$2:$C$501,MATCH(B2326,Jugadores!$A$2:$A$501,0)),"⚠ ID no existe"))</f>
        <v/>
      </c>
      <c r="D2326" s="19" t="n"/>
      <c r="E2326" s="19" t="n"/>
      <c r="F2326" s="16">
        <f>IF(OR(B2326="",D2326=""),"",IFERROR(INDEX('Tabla XP'!$B$2:$B$12,MATCH(D2326,'Tabla XP'!$A$2:$A$12,0))*IF(E2326="",1,E2326),0))</f>
        <v/>
      </c>
      <c r="G2326" s="19" t="n"/>
      <c r="H2326" s="19" t="n"/>
    </row>
    <row r="2327">
      <c r="A2327" s="22" t="n"/>
      <c r="B2327" s="19" t="n"/>
      <c r="C2327" s="18">
        <f>IF(B2327="","",IFERROR(INDEX(Jugadores!$C$2:$C$501,MATCH(B2327,Jugadores!$A$2:$A$501,0)),"⚠ ID no existe"))</f>
        <v/>
      </c>
      <c r="D2327" s="19" t="n"/>
      <c r="E2327" s="19" t="n"/>
      <c r="F2327" s="16">
        <f>IF(OR(B2327="",D2327=""),"",IFERROR(INDEX('Tabla XP'!$B$2:$B$12,MATCH(D2327,'Tabla XP'!$A$2:$A$12,0))*IF(E2327="",1,E2327),0))</f>
        <v/>
      </c>
      <c r="G2327" s="19" t="n"/>
      <c r="H2327" s="19" t="n"/>
    </row>
    <row r="2328">
      <c r="A2328" s="22" t="n"/>
      <c r="B2328" s="19" t="n"/>
      <c r="C2328" s="18">
        <f>IF(B2328="","",IFERROR(INDEX(Jugadores!$C$2:$C$501,MATCH(B2328,Jugadores!$A$2:$A$501,0)),"⚠ ID no existe"))</f>
        <v/>
      </c>
      <c r="D2328" s="19" t="n"/>
      <c r="E2328" s="19" t="n"/>
      <c r="F2328" s="16">
        <f>IF(OR(B2328="",D2328=""),"",IFERROR(INDEX('Tabla XP'!$B$2:$B$12,MATCH(D2328,'Tabla XP'!$A$2:$A$12,0))*IF(E2328="",1,E2328),0))</f>
        <v/>
      </c>
      <c r="G2328" s="19" t="n"/>
      <c r="H2328" s="19" t="n"/>
    </row>
    <row r="2329">
      <c r="A2329" s="22" t="n"/>
      <c r="B2329" s="19" t="n"/>
      <c r="C2329" s="18">
        <f>IF(B2329="","",IFERROR(INDEX(Jugadores!$C$2:$C$501,MATCH(B2329,Jugadores!$A$2:$A$501,0)),"⚠ ID no existe"))</f>
        <v/>
      </c>
      <c r="D2329" s="19" t="n"/>
      <c r="E2329" s="19" t="n"/>
      <c r="F2329" s="16">
        <f>IF(OR(B2329="",D2329=""),"",IFERROR(INDEX('Tabla XP'!$B$2:$B$12,MATCH(D2329,'Tabla XP'!$A$2:$A$12,0))*IF(E2329="",1,E2329),0))</f>
        <v/>
      </c>
      <c r="G2329" s="19" t="n"/>
      <c r="H2329" s="19" t="n"/>
    </row>
    <row r="2330">
      <c r="A2330" s="22" t="n"/>
      <c r="B2330" s="19" t="n"/>
      <c r="C2330" s="18">
        <f>IF(B2330="","",IFERROR(INDEX(Jugadores!$C$2:$C$501,MATCH(B2330,Jugadores!$A$2:$A$501,0)),"⚠ ID no existe"))</f>
        <v/>
      </c>
      <c r="D2330" s="19" t="n"/>
      <c r="E2330" s="19" t="n"/>
      <c r="F2330" s="16">
        <f>IF(OR(B2330="",D2330=""),"",IFERROR(INDEX('Tabla XP'!$B$2:$B$12,MATCH(D2330,'Tabla XP'!$A$2:$A$12,0))*IF(E2330="",1,E2330),0))</f>
        <v/>
      </c>
      <c r="G2330" s="19" t="n"/>
      <c r="H2330" s="19" t="n"/>
    </row>
    <row r="2331">
      <c r="A2331" s="22" t="n"/>
      <c r="B2331" s="19" t="n"/>
      <c r="C2331" s="18">
        <f>IF(B2331="","",IFERROR(INDEX(Jugadores!$C$2:$C$501,MATCH(B2331,Jugadores!$A$2:$A$501,0)),"⚠ ID no existe"))</f>
        <v/>
      </c>
      <c r="D2331" s="19" t="n"/>
      <c r="E2331" s="19" t="n"/>
      <c r="F2331" s="16">
        <f>IF(OR(B2331="",D2331=""),"",IFERROR(INDEX('Tabla XP'!$B$2:$B$12,MATCH(D2331,'Tabla XP'!$A$2:$A$12,0))*IF(E2331="",1,E2331),0))</f>
        <v/>
      </c>
      <c r="G2331" s="19" t="n"/>
      <c r="H2331" s="19" t="n"/>
    </row>
    <row r="2332">
      <c r="A2332" s="22" t="n"/>
      <c r="B2332" s="19" t="n"/>
      <c r="C2332" s="18">
        <f>IF(B2332="","",IFERROR(INDEX(Jugadores!$C$2:$C$501,MATCH(B2332,Jugadores!$A$2:$A$501,0)),"⚠ ID no existe"))</f>
        <v/>
      </c>
      <c r="D2332" s="19" t="n"/>
      <c r="E2332" s="19" t="n"/>
      <c r="F2332" s="16">
        <f>IF(OR(B2332="",D2332=""),"",IFERROR(INDEX('Tabla XP'!$B$2:$B$12,MATCH(D2332,'Tabla XP'!$A$2:$A$12,0))*IF(E2332="",1,E2332),0))</f>
        <v/>
      </c>
      <c r="G2332" s="19" t="n"/>
      <c r="H2332" s="19" t="n"/>
    </row>
    <row r="2333">
      <c r="A2333" s="22" t="n"/>
      <c r="B2333" s="19" t="n"/>
      <c r="C2333" s="18">
        <f>IF(B2333="","",IFERROR(INDEX(Jugadores!$C$2:$C$501,MATCH(B2333,Jugadores!$A$2:$A$501,0)),"⚠ ID no existe"))</f>
        <v/>
      </c>
      <c r="D2333" s="19" t="n"/>
      <c r="E2333" s="19" t="n"/>
      <c r="F2333" s="16">
        <f>IF(OR(B2333="",D2333=""),"",IFERROR(INDEX('Tabla XP'!$B$2:$B$12,MATCH(D2333,'Tabla XP'!$A$2:$A$12,0))*IF(E2333="",1,E2333),0))</f>
        <v/>
      </c>
      <c r="G2333" s="19" t="n"/>
      <c r="H2333" s="19" t="n"/>
    </row>
    <row r="2334">
      <c r="A2334" s="22" t="n"/>
      <c r="B2334" s="19" t="n"/>
      <c r="C2334" s="18">
        <f>IF(B2334="","",IFERROR(INDEX(Jugadores!$C$2:$C$501,MATCH(B2334,Jugadores!$A$2:$A$501,0)),"⚠ ID no existe"))</f>
        <v/>
      </c>
      <c r="D2334" s="19" t="n"/>
      <c r="E2334" s="19" t="n"/>
      <c r="F2334" s="16">
        <f>IF(OR(B2334="",D2334=""),"",IFERROR(INDEX('Tabla XP'!$B$2:$B$12,MATCH(D2334,'Tabla XP'!$A$2:$A$12,0))*IF(E2334="",1,E2334),0))</f>
        <v/>
      </c>
      <c r="G2334" s="19" t="n"/>
      <c r="H2334" s="19" t="n"/>
    </row>
    <row r="2335">
      <c r="A2335" s="22" t="n"/>
      <c r="B2335" s="19" t="n"/>
      <c r="C2335" s="18">
        <f>IF(B2335="","",IFERROR(INDEX(Jugadores!$C$2:$C$501,MATCH(B2335,Jugadores!$A$2:$A$501,0)),"⚠ ID no existe"))</f>
        <v/>
      </c>
      <c r="D2335" s="19" t="n"/>
      <c r="E2335" s="19" t="n"/>
      <c r="F2335" s="16">
        <f>IF(OR(B2335="",D2335=""),"",IFERROR(INDEX('Tabla XP'!$B$2:$B$12,MATCH(D2335,'Tabla XP'!$A$2:$A$12,0))*IF(E2335="",1,E2335),0))</f>
        <v/>
      </c>
      <c r="G2335" s="19" t="n"/>
      <c r="H2335" s="19" t="n"/>
    </row>
    <row r="2336">
      <c r="A2336" s="22" t="n"/>
      <c r="B2336" s="19" t="n"/>
      <c r="C2336" s="18">
        <f>IF(B2336="","",IFERROR(INDEX(Jugadores!$C$2:$C$501,MATCH(B2336,Jugadores!$A$2:$A$501,0)),"⚠ ID no existe"))</f>
        <v/>
      </c>
      <c r="D2336" s="19" t="n"/>
      <c r="E2336" s="19" t="n"/>
      <c r="F2336" s="16">
        <f>IF(OR(B2336="",D2336=""),"",IFERROR(INDEX('Tabla XP'!$B$2:$B$12,MATCH(D2336,'Tabla XP'!$A$2:$A$12,0))*IF(E2336="",1,E2336),0))</f>
        <v/>
      </c>
      <c r="G2336" s="19" t="n"/>
      <c r="H2336" s="19" t="n"/>
    </row>
    <row r="2337">
      <c r="A2337" s="22" t="n"/>
      <c r="B2337" s="19" t="n"/>
      <c r="C2337" s="18">
        <f>IF(B2337="","",IFERROR(INDEX(Jugadores!$C$2:$C$501,MATCH(B2337,Jugadores!$A$2:$A$501,0)),"⚠ ID no existe"))</f>
        <v/>
      </c>
      <c r="D2337" s="19" t="n"/>
      <c r="E2337" s="19" t="n"/>
      <c r="F2337" s="16">
        <f>IF(OR(B2337="",D2337=""),"",IFERROR(INDEX('Tabla XP'!$B$2:$B$12,MATCH(D2337,'Tabla XP'!$A$2:$A$12,0))*IF(E2337="",1,E2337),0))</f>
        <v/>
      </c>
      <c r="G2337" s="19" t="n"/>
      <c r="H2337" s="19" t="n"/>
    </row>
    <row r="2338">
      <c r="A2338" s="22" t="n"/>
      <c r="B2338" s="19" t="n"/>
      <c r="C2338" s="18">
        <f>IF(B2338="","",IFERROR(INDEX(Jugadores!$C$2:$C$501,MATCH(B2338,Jugadores!$A$2:$A$501,0)),"⚠ ID no existe"))</f>
        <v/>
      </c>
      <c r="D2338" s="19" t="n"/>
      <c r="E2338" s="19" t="n"/>
      <c r="F2338" s="16">
        <f>IF(OR(B2338="",D2338=""),"",IFERROR(INDEX('Tabla XP'!$B$2:$B$12,MATCH(D2338,'Tabla XP'!$A$2:$A$12,0))*IF(E2338="",1,E2338),0))</f>
        <v/>
      </c>
      <c r="G2338" s="19" t="n"/>
      <c r="H2338" s="19" t="n"/>
    </row>
    <row r="2339">
      <c r="A2339" s="22" t="n"/>
      <c r="B2339" s="19" t="n"/>
      <c r="C2339" s="18">
        <f>IF(B2339="","",IFERROR(INDEX(Jugadores!$C$2:$C$501,MATCH(B2339,Jugadores!$A$2:$A$501,0)),"⚠ ID no existe"))</f>
        <v/>
      </c>
      <c r="D2339" s="19" t="n"/>
      <c r="E2339" s="19" t="n"/>
      <c r="F2339" s="16">
        <f>IF(OR(B2339="",D2339=""),"",IFERROR(INDEX('Tabla XP'!$B$2:$B$12,MATCH(D2339,'Tabla XP'!$A$2:$A$12,0))*IF(E2339="",1,E2339),0))</f>
        <v/>
      </c>
      <c r="G2339" s="19" t="n"/>
      <c r="H2339" s="19" t="n"/>
    </row>
    <row r="2340">
      <c r="A2340" s="22" t="n"/>
      <c r="B2340" s="19" t="n"/>
      <c r="C2340" s="18">
        <f>IF(B2340="","",IFERROR(INDEX(Jugadores!$C$2:$C$501,MATCH(B2340,Jugadores!$A$2:$A$501,0)),"⚠ ID no existe"))</f>
        <v/>
      </c>
      <c r="D2340" s="19" t="n"/>
      <c r="E2340" s="19" t="n"/>
      <c r="F2340" s="16">
        <f>IF(OR(B2340="",D2340=""),"",IFERROR(INDEX('Tabla XP'!$B$2:$B$12,MATCH(D2340,'Tabla XP'!$A$2:$A$12,0))*IF(E2340="",1,E2340),0))</f>
        <v/>
      </c>
      <c r="G2340" s="19" t="n"/>
      <c r="H2340" s="19" t="n"/>
    </row>
    <row r="2341">
      <c r="A2341" s="22" t="n"/>
      <c r="B2341" s="19" t="n"/>
      <c r="C2341" s="18">
        <f>IF(B2341="","",IFERROR(INDEX(Jugadores!$C$2:$C$501,MATCH(B2341,Jugadores!$A$2:$A$501,0)),"⚠ ID no existe"))</f>
        <v/>
      </c>
      <c r="D2341" s="19" t="n"/>
      <c r="E2341" s="19" t="n"/>
      <c r="F2341" s="16">
        <f>IF(OR(B2341="",D2341=""),"",IFERROR(INDEX('Tabla XP'!$B$2:$B$12,MATCH(D2341,'Tabla XP'!$A$2:$A$12,0))*IF(E2341="",1,E2341),0))</f>
        <v/>
      </c>
      <c r="G2341" s="19" t="n"/>
      <c r="H2341" s="19" t="n"/>
    </row>
    <row r="2342">
      <c r="A2342" s="22" t="n"/>
      <c r="B2342" s="19" t="n"/>
      <c r="C2342" s="18">
        <f>IF(B2342="","",IFERROR(INDEX(Jugadores!$C$2:$C$501,MATCH(B2342,Jugadores!$A$2:$A$501,0)),"⚠ ID no existe"))</f>
        <v/>
      </c>
      <c r="D2342" s="19" t="n"/>
      <c r="E2342" s="19" t="n"/>
      <c r="F2342" s="16">
        <f>IF(OR(B2342="",D2342=""),"",IFERROR(INDEX('Tabla XP'!$B$2:$B$12,MATCH(D2342,'Tabla XP'!$A$2:$A$12,0))*IF(E2342="",1,E2342),0))</f>
        <v/>
      </c>
      <c r="G2342" s="19" t="n"/>
      <c r="H2342" s="19" t="n"/>
    </row>
    <row r="2343">
      <c r="A2343" s="22" t="n"/>
      <c r="B2343" s="19" t="n"/>
      <c r="C2343" s="18">
        <f>IF(B2343="","",IFERROR(INDEX(Jugadores!$C$2:$C$501,MATCH(B2343,Jugadores!$A$2:$A$501,0)),"⚠ ID no existe"))</f>
        <v/>
      </c>
      <c r="D2343" s="19" t="n"/>
      <c r="E2343" s="19" t="n"/>
      <c r="F2343" s="16">
        <f>IF(OR(B2343="",D2343=""),"",IFERROR(INDEX('Tabla XP'!$B$2:$B$12,MATCH(D2343,'Tabla XP'!$A$2:$A$12,0))*IF(E2343="",1,E2343),0))</f>
        <v/>
      </c>
      <c r="G2343" s="19" t="n"/>
      <c r="H2343" s="19" t="n"/>
    </row>
    <row r="2344">
      <c r="A2344" s="22" t="n"/>
      <c r="B2344" s="19" t="n"/>
      <c r="C2344" s="18">
        <f>IF(B2344="","",IFERROR(INDEX(Jugadores!$C$2:$C$501,MATCH(B2344,Jugadores!$A$2:$A$501,0)),"⚠ ID no existe"))</f>
        <v/>
      </c>
      <c r="D2344" s="19" t="n"/>
      <c r="E2344" s="19" t="n"/>
      <c r="F2344" s="16">
        <f>IF(OR(B2344="",D2344=""),"",IFERROR(INDEX('Tabla XP'!$B$2:$B$12,MATCH(D2344,'Tabla XP'!$A$2:$A$12,0))*IF(E2344="",1,E2344),0))</f>
        <v/>
      </c>
      <c r="G2344" s="19" t="n"/>
      <c r="H2344" s="19" t="n"/>
    </row>
    <row r="2345">
      <c r="A2345" s="22" t="n"/>
      <c r="B2345" s="19" t="n"/>
      <c r="C2345" s="18">
        <f>IF(B2345="","",IFERROR(INDEX(Jugadores!$C$2:$C$501,MATCH(B2345,Jugadores!$A$2:$A$501,0)),"⚠ ID no existe"))</f>
        <v/>
      </c>
      <c r="D2345" s="19" t="n"/>
      <c r="E2345" s="19" t="n"/>
      <c r="F2345" s="16">
        <f>IF(OR(B2345="",D2345=""),"",IFERROR(INDEX('Tabla XP'!$B$2:$B$12,MATCH(D2345,'Tabla XP'!$A$2:$A$12,0))*IF(E2345="",1,E2345),0))</f>
        <v/>
      </c>
      <c r="G2345" s="19" t="n"/>
      <c r="H2345" s="19" t="n"/>
    </row>
    <row r="2346">
      <c r="A2346" s="22" t="n"/>
      <c r="B2346" s="19" t="n"/>
      <c r="C2346" s="18">
        <f>IF(B2346="","",IFERROR(INDEX(Jugadores!$C$2:$C$501,MATCH(B2346,Jugadores!$A$2:$A$501,0)),"⚠ ID no existe"))</f>
        <v/>
      </c>
      <c r="D2346" s="19" t="n"/>
      <c r="E2346" s="19" t="n"/>
      <c r="F2346" s="16">
        <f>IF(OR(B2346="",D2346=""),"",IFERROR(INDEX('Tabla XP'!$B$2:$B$12,MATCH(D2346,'Tabla XP'!$A$2:$A$12,0))*IF(E2346="",1,E2346),0))</f>
        <v/>
      </c>
      <c r="G2346" s="19" t="n"/>
      <c r="H2346" s="19" t="n"/>
    </row>
    <row r="2347">
      <c r="A2347" s="22" t="n"/>
      <c r="B2347" s="19" t="n"/>
      <c r="C2347" s="18">
        <f>IF(B2347="","",IFERROR(INDEX(Jugadores!$C$2:$C$501,MATCH(B2347,Jugadores!$A$2:$A$501,0)),"⚠ ID no existe"))</f>
        <v/>
      </c>
      <c r="D2347" s="19" t="n"/>
      <c r="E2347" s="19" t="n"/>
      <c r="F2347" s="16">
        <f>IF(OR(B2347="",D2347=""),"",IFERROR(INDEX('Tabla XP'!$B$2:$B$12,MATCH(D2347,'Tabla XP'!$A$2:$A$12,0))*IF(E2347="",1,E2347),0))</f>
        <v/>
      </c>
      <c r="G2347" s="19" t="n"/>
      <c r="H2347" s="19" t="n"/>
    </row>
    <row r="2348">
      <c r="A2348" s="22" t="n"/>
      <c r="B2348" s="19" t="n"/>
      <c r="C2348" s="18">
        <f>IF(B2348="","",IFERROR(INDEX(Jugadores!$C$2:$C$501,MATCH(B2348,Jugadores!$A$2:$A$501,0)),"⚠ ID no existe"))</f>
        <v/>
      </c>
      <c r="D2348" s="19" t="n"/>
      <c r="E2348" s="19" t="n"/>
      <c r="F2348" s="16">
        <f>IF(OR(B2348="",D2348=""),"",IFERROR(INDEX('Tabla XP'!$B$2:$B$12,MATCH(D2348,'Tabla XP'!$A$2:$A$12,0))*IF(E2348="",1,E2348),0))</f>
        <v/>
      </c>
      <c r="G2348" s="19" t="n"/>
      <c r="H2348" s="19" t="n"/>
    </row>
    <row r="2349">
      <c r="A2349" s="22" t="n"/>
      <c r="B2349" s="19" t="n"/>
      <c r="C2349" s="18">
        <f>IF(B2349="","",IFERROR(INDEX(Jugadores!$C$2:$C$501,MATCH(B2349,Jugadores!$A$2:$A$501,0)),"⚠ ID no existe"))</f>
        <v/>
      </c>
      <c r="D2349" s="19" t="n"/>
      <c r="E2349" s="19" t="n"/>
      <c r="F2349" s="16">
        <f>IF(OR(B2349="",D2349=""),"",IFERROR(INDEX('Tabla XP'!$B$2:$B$12,MATCH(D2349,'Tabla XP'!$A$2:$A$12,0))*IF(E2349="",1,E2349),0))</f>
        <v/>
      </c>
      <c r="G2349" s="19" t="n"/>
      <c r="H2349" s="19" t="n"/>
    </row>
    <row r="2350">
      <c r="A2350" s="22" t="n"/>
      <c r="B2350" s="19" t="n"/>
      <c r="C2350" s="18">
        <f>IF(B2350="","",IFERROR(INDEX(Jugadores!$C$2:$C$501,MATCH(B2350,Jugadores!$A$2:$A$501,0)),"⚠ ID no existe"))</f>
        <v/>
      </c>
      <c r="D2350" s="19" t="n"/>
      <c r="E2350" s="19" t="n"/>
      <c r="F2350" s="16">
        <f>IF(OR(B2350="",D2350=""),"",IFERROR(INDEX('Tabla XP'!$B$2:$B$12,MATCH(D2350,'Tabla XP'!$A$2:$A$12,0))*IF(E2350="",1,E2350),0))</f>
        <v/>
      </c>
      <c r="G2350" s="19" t="n"/>
      <c r="H2350" s="19" t="n"/>
    </row>
    <row r="2351">
      <c r="A2351" s="22" t="n"/>
      <c r="B2351" s="19" t="n"/>
      <c r="C2351" s="18">
        <f>IF(B2351="","",IFERROR(INDEX(Jugadores!$C$2:$C$501,MATCH(B2351,Jugadores!$A$2:$A$501,0)),"⚠ ID no existe"))</f>
        <v/>
      </c>
      <c r="D2351" s="19" t="n"/>
      <c r="E2351" s="19" t="n"/>
      <c r="F2351" s="16">
        <f>IF(OR(B2351="",D2351=""),"",IFERROR(INDEX('Tabla XP'!$B$2:$B$12,MATCH(D2351,'Tabla XP'!$A$2:$A$12,0))*IF(E2351="",1,E2351),0))</f>
        <v/>
      </c>
      <c r="G2351" s="19" t="n"/>
      <c r="H2351" s="19" t="n"/>
    </row>
    <row r="2352">
      <c r="A2352" s="22" t="n"/>
      <c r="B2352" s="19" t="n"/>
      <c r="C2352" s="18">
        <f>IF(B2352="","",IFERROR(INDEX(Jugadores!$C$2:$C$501,MATCH(B2352,Jugadores!$A$2:$A$501,0)),"⚠ ID no existe"))</f>
        <v/>
      </c>
      <c r="D2352" s="19" t="n"/>
      <c r="E2352" s="19" t="n"/>
      <c r="F2352" s="16">
        <f>IF(OR(B2352="",D2352=""),"",IFERROR(INDEX('Tabla XP'!$B$2:$B$12,MATCH(D2352,'Tabla XP'!$A$2:$A$12,0))*IF(E2352="",1,E2352),0))</f>
        <v/>
      </c>
      <c r="G2352" s="19" t="n"/>
      <c r="H2352" s="19" t="n"/>
    </row>
    <row r="2353">
      <c r="A2353" s="22" t="n"/>
      <c r="B2353" s="19" t="n"/>
      <c r="C2353" s="18">
        <f>IF(B2353="","",IFERROR(INDEX(Jugadores!$C$2:$C$501,MATCH(B2353,Jugadores!$A$2:$A$501,0)),"⚠ ID no existe"))</f>
        <v/>
      </c>
      <c r="D2353" s="19" t="n"/>
      <c r="E2353" s="19" t="n"/>
      <c r="F2353" s="16">
        <f>IF(OR(B2353="",D2353=""),"",IFERROR(INDEX('Tabla XP'!$B$2:$B$12,MATCH(D2353,'Tabla XP'!$A$2:$A$12,0))*IF(E2353="",1,E2353),0))</f>
        <v/>
      </c>
      <c r="G2353" s="19" t="n"/>
      <c r="H2353" s="19" t="n"/>
    </row>
    <row r="2354">
      <c r="A2354" s="22" t="n"/>
      <c r="B2354" s="19" t="n"/>
      <c r="C2354" s="18">
        <f>IF(B2354="","",IFERROR(INDEX(Jugadores!$C$2:$C$501,MATCH(B2354,Jugadores!$A$2:$A$501,0)),"⚠ ID no existe"))</f>
        <v/>
      </c>
      <c r="D2354" s="19" t="n"/>
      <c r="E2354" s="19" t="n"/>
      <c r="F2354" s="16">
        <f>IF(OR(B2354="",D2354=""),"",IFERROR(INDEX('Tabla XP'!$B$2:$B$12,MATCH(D2354,'Tabla XP'!$A$2:$A$12,0))*IF(E2354="",1,E2354),0))</f>
        <v/>
      </c>
      <c r="G2354" s="19" t="n"/>
      <c r="H2354" s="19" t="n"/>
    </row>
    <row r="2355">
      <c r="A2355" s="22" t="n"/>
      <c r="B2355" s="19" t="n"/>
      <c r="C2355" s="18">
        <f>IF(B2355="","",IFERROR(INDEX(Jugadores!$C$2:$C$501,MATCH(B2355,Jugadores!$A$2:$A$501,0)),"⚠ ID no existe"))</f>
        <v/>
      </c>
      <c r="D2355" s="19" t="n"/>
      <c r="E2355" s="19" t="n"/>
      <c r="F2355" s="16">
        <f>IF(OR(B2355="",D2355=""),"",IFERROR(INDEX('Tabla XP'!$B$2:$B$12,MATCH(D2355,'Tabla XP'!$A$2:$A$12,0))*IF(E2355="",1,E2355),0))</f>
        <v/>
      </c>
      <c r="G2355" s="19" t="n"/>
      <c r="H2355" s="19" t="n"/>
    </row>
    <row r="2356">
      <c r="A2356" s="22" t="n"/>
      <c r="B2356" s="19" t="n"/>
      <c r="C2356" s="18">
        <f>IF(B2356="","",IFERROR(INDEX(Jugadores!$C$2:$C$501,MATCH(B2356,Jugadores!$A$2:$A$501,0)),"⚠ ID no existe"))</f>
        <v/>
      </c>
      <c r="D2356" s="19" t="n"/>
      <c r="E2356" s="19" t="n"/>
      <c r="F2356" s="16">
        <f>IF(OR(B2356="",D2356=""),"",IFERROR(INDEX('Tabla XP'!$B$2:$B$12,MATCH(D2356,'Tabla XP'!$A$2:$A$12,0))*IF(E2356="",1,E2356),0))</f>
        <v/>
      </c>
      <c r="G2356" s="19" t="n"/>
      <c r="H2356" s="19" t="n"/>
    </row>
    <row r="2357">
      <c r="A2357" s="22" t="n"/>
      <c r="B2357" s="19" t="n"/>
      <c r="C2357" s="18">
        <f>IF(B2357="","",IFERROR(INDEX(Jugadores!$C$2:$C$501,MATCH(B2357,Jugadores!$A$2:$A$501,0)),"⚠ ID no existe"))</f>
        <v/>
      </c>
      <c r="D2357" s="19" t="n"/>
      <c r="E2357" s="19" t="n"/>
      <c r="F2357" s="16">
        <f>IF(OR(B2357="",D2357=""),"",IFERROR(INDEX('Tabla XP'!$B$2:$B$12,MATCH(D2357,'Tabla XP'!$A$2:$A$12,0))*IF(E2357="",1,E2357),0))</f>
        <v/>
      </c>
      <c r="G2357" s="19" t="n"/>
      <c r="H2357" s="19" t="n"/>
    </row>
    <row r="2358">
      <c r="A2358" s="22" t="n"/>
      <c r="B2358" s="19" t="n"/>
      <c r="C2358" s="18">
        <f>IF(B2358="","",IFERROR(INDEX(Jugadores!$C$2:$C$501,MATCH(B2358,Jugadores!$A$2:$A$501,0)),"⚠ ID no existe"))</f>
        <v/>
      </c>
      <c r="D2358" s="19" t="n"/>
      <c r="E2358" s="19" t="n"/>
      <c r="F2358" s="16">
        <f>IF(OR(B2358="",D2358=""),"",IFERROR(INDEX('Tabla XP'!$B$2:$B$12,MATCH(D2358,'Tabla XP'!$A$2:$A$12,0))*IF(E2358="",1,E2358),0))</f>
        <v/>
      </c>
      <c r="G2358" s="19" t="n"/>
      <c r="H2358" s="19" t="n"/>
    </row>
    <row r="2359">
      <c r="A2359" s="22" t="n"/>
      <c r="B2359" s="19" t="n"/>
      <c r="C2359" s="18">
        <f>IF(B2359="","",IFERROR(INDEX(Jugadores!$C$2:$C$501,MATCH(B2359,Jugadores!$A$2:$A$501,0)),"⚠ ID no existe"))</f>
        <v/>
      </c>
      <c r="D2359" s="19" t="n"/>
      <c r="E2359" s="19" t="n"/>
      <c r="F2359" s="16">
        <f>IF(OR(B2359="",D2359=""),"",IFERROR(INDEX('Tabla XP'!$B$2:$B$12,MATCH(D2359,'Tabla XP'!$A$2:$A$12,0))*IF(E2359="",1,E2359),0))</f>
        <v/>
      </c>
      <c r="G2359" s="19" t="n"/>
      <c r="H2359" s="19" t="n"/>
    </row>
    <row r="2360">
      <c r="A2360" s="22" t="n"/>
      <c r="B2360" s="19" t="n"/>
      <c r="C2360" s="18">
        <f>IF(B2360="","",IFERROR(INDEX(Jugadores!$C$2:$C$501,MATCH(B2360,Jugadores!$A$2:$A$501,0)),"⚠ ID no existe"))</f>
        <v/>
      </c>
      <c r="D2360" s="19" t="n"/>
      <c r="E2360" s="19" t="n"/>
      <c r="F2360" s="16">
        <f>IF(OR(B2360="",D2360=""),"",IFERROR(INDEX('Tabla XP'!$B$2:$B$12,MATCH(D2360,'Tabla XP'!$A$2:$A$12,0))*IF(E2360="",1,E2360),0))</f>
        <v/>
      </c>
      <c r="G2360" s="19" t="n"/>
      <c r="H2360" s="19" t="n"/>
    </row>
    <row r="2361">
      <c r="A2361" s="22" t="n"/>
      <c r="B2361" s="19" t="n"/>
      <c r="C2361" s="18">
        <f>IF(B2361="","",IFERROR(INDEX(Jugadores!$C$2:$C$501,MATCH(B2361,Jugadores!$A$2:$A$501,0)),"⚠ ID no existe"))</f>
        <v/>
      </c>
      <c r="D2361" s="19" t="n"/>
      <c r="E2361" s="19" t="n"/>
      <c r="F2361" s="16">
        <f>IF(OR(B2361="",D2361=""),"",IFERROR(INDEX('Tabla XP'!$B$2:$B$12,MATCH(D2361,'Tabla XP'!$A$2:$A$12,0))*IF(E2361="",1,E2361),0))</f>
        <v/>
      </c>
      <c r="G2361" s="19" t="n"/>
      <c r="H2361" s="19" t="n"/>
    </row>
    <row r="2362">
      <c r="A2362" s="22" t="n"/>
      <c r="B2362" s="19" t="n"/>
      <c r="C2362" s="18">
        <f>IF(B2362="","",IFERROR(INDEX(Jugadores!$C$2:$C$501,MATCH(B2362,Jugadores!$A$2:$A$501,0)),"⚠ ID no existe"))</f>
        <v/>
      </c>
      <c r="D2362" s="19" t="n"/>
      <c r="E2362" s="19" t="n"/>
      <c r="F2362" s="16">
        <f>IF(OR(B2362="",D2362=""),"",IFERROR(INDEX('Tabla XP'!$B$2:$B$12,MATCH(D2362,'Tabla XP'!$A$2:$A$12,0))*IF(E2362="",1,E2362),0))</f>
        <v/>
      </c>
      <c r="G2362" s="19" t="n"/>
      <c r="H2362" s="19" t="n"/>
    </row>
    <row r="2363">
      <c r="A2363" s="22" t="n"/>
      <c r="B2363" s="19" t="n"/>
      <c r="C2363" s="18">
        <f>IF(B2363="","",IFERROR(INDEX(Jugadores!$C$2:$C$501,MATCH(B2363,Jugadores!$A$2:$A$501,0)),"⚠ ID no existe"))</f>
        <v/>
      </c>
      <c r="D2363" s="19" t="n"/>
      <c r="E2363" s="19" t="n"/>
      <c r="F2363" s="16">
        <f>IF(OR(B2363="",D2363=""),"",IFERROR(INDEX('Tabla XP'!$B$2:$B$12,MATCH(D2363,'Tabla XP'!$A$2:$A$12,0))*IF(E2363="",1,E2363),0))</f>
        <v/>
      </c>
      <c r="G2363" s="19" t="n"/>
      <c r="H2363" s="19" t="n"/>
    </row>
    <row r="2364">
      <c r="A2364" s="22" t="n"/>
      <c r="B2364" s="19" t="n"/>
      <c r="C2364" s="18">
        <f>IF(B2364="","",IFERROR(INDEX(Jugadores!$C$2:$C$501,MATCH(B2364,Jugadores!$A$2:$A$501,0)),"⚠ ID no existe"))</f>
        <v/>
      </c>
      <c r="D2364" s="19" t="n"/>
      <c r="E2364" s="19" t="n"/>
      <c r="F2364" s="16">
        <f>IF(OR(B2364="",D2364=""),"",IFERROR(INDEX('Tabla XP'!$B$2:$B$12,MATCH(D2364,'Tabla XP'!$A$2:$A$12,0))*IF(E2364="",1,E2364),0))</f>
        <v/>
      </c>
      <c r="G2364" s="19" t="n"/>
      <c r="H2364" s="19" t="n"/>
    </row>
    <row r="2365">
      <c r="A2365" s="22" t="n"/>
      <c r="B2365" s="19" t="n"/>
      <c r="C2365" s="18">
        <f>IF(B2365="","",IFERROR(INDEX(Jugadores!$C$2:$C$501,MATCH(B2365,Jugadores!$A$2:$A$501,0)),"⚠ ID no existe"))</f>
        <v/>
      </c>
      <c r="D2365" s="19" t="n"/>
      <c r="E2365" s="19" t="n"/>
      <c r="F2365" s="16">
        <f>IF(OR(B2365="",D2365=""),"",IFERROR(INDEX('Tabla XP'!$B$2:$B$12,MATCH(D2365,'Tabla XP'!$A$2:$A$12,0))*IF(E2365="",1,E2365),0))</f>
        <v/>
      </c>
      <c r="G2365" s="19" t="n"/>
      <c r="H2365" s="19" t="n"/>
    </row>
    <row r="2366">
      <c r="A2366" s="22" t="n"/>
      <c r="B2366" s="19" t="n"/>
      <c r="C2366" s="18">
        <f>IF(B2366="","",IFERROR(INDEX(Jugadores!$C$2:$C$501,MATCH(B2366,Jugadores!$A$2:$A$501,0)),"⚠ ID no existe"))</f>
        <v/>
      </c>
      <c r="D2366" s="19" t="n"/>
      <c r="E2366" s="19" t="n"/>
      <c r="F2366" s="16">
        <f>IF(OR(B2366="",D2366=""),"",IFERROR(INDEX('Tabla XP'!$B$2:$B$12,MATCH(D2366,'Tabla XP'!$A$2:$A$12,0))*IF(E2366="",1,E2366),0))</f>
        <v/>
      </c>
      <c r="G2366" s="19" t="n"/>
      <c r="H2366" s="19" t="n"/>
    </row>
    <row r="2367">
      <c r="A2367" s="22" t="n"/>
      <c r="B2367" s="19" t="n"/>
      <c r="C2367" s="18">
        <f>IF(B2367="","",IFERROR(INDEX(Jugadores!$C$2:$C$501,MATCH(B2367,Jugadores!$A$2:$A$501,0)),"⚠ ID no existe"))</f>
        <v/>
      </c>
      <c r="D2367" s="19" t="n"/>
      <c r="E2367" s="19" t="n"/>
      <c r="F2367" s="16">
        <f>IF(OR(B2367="",D2367=""),"",IFERROR(INDEX('Tabla XP'!$B$2:$B$12,MATCH(D2367,'Tabla XP'!$A$2:$A$12,0))*IF(E2367="",1,E2367),0))</f>
        <v/>
      </c>
      <c r="G2367" s="19" t="n"/>
      <c r="H2367" s="19" t="n"/>
    </row>
    <row r="2368">
      <c r="A2368" s="22" t="n"/>
      <c r="B2368" s="19" t="n"/>
      <c r="C2368" s="18">
        <f>IF(B2368="","",IFERROR(INDEX(Jugadores!$C$2:$C$501,MATCH(B2368,Jugadores!$A$2:$A$501,0)),"⚠ ID no existe"))</f>
        <v/>
      </c>
      <c r="D2368" s="19" t="n"/>
      <c r="E2368" s="19" t="n"/>
      <c r="F2368" s="16">
        <f>IF(OR(B2368="",D2368=""),"",IFERROR(INDEX('Tabla XP'!$B$2:$B$12,MATCH(D2368,'Tabla XP'!$A$2:$A$12,0))*IF(E2368="",1,E2368),0))</f>
        <v/>
      </c>
      <c r="G2368" s="19" t="n"/>
      <c r="H2368" s="19" t="n"/>
    </row>
    <row r="2369">
      <c r="A2369" s="22" t="n"/>
      <c r="B2369" s="19" t="n"/>
      <c r="C2369" s="18">
        <f>IF(B2369="","",IFERROR(INDEX(Jugadores!$C$2:$C$501,MATCH(B2369,Jugadores!$A$2:$A$501,0)),"⚠ ID no existe"))</f>
        <v/>
      </c>
      <c r="D2369" s="19" t="n"/>
      <c r="E2369" s="19" t="n"/>
      <c r="F2369" s="16">
        <f>IF(OR(B2369="",D2369=""),"",IFERROR(INDEX('Tabla XP'!$B$2:$B$12,MATCH(D2369,'Tabla XP'!$A$2:$A$12,0))*IF(E2369="",1,E2369),0))</f>
        <v/>
      </c>
      <c r="G2369" s="19" t="n"/>
      <c r="H2369" s="19" t="n"/>
    </row>
    <row r="2370">
      <c r="A2370" s="22" t="n"/>
      <c r="B2370" s="19" t="n"/>
      <c r="C2370" s="18">
        <f>IF(B2370="","",IFERROR(INDEX(Jugadores!$C$2:$C$501,MATCH(B2370,Jugadores!$A$2:$A$501,0)),"⚠ ID no existe"))</f>
        <v/>
      </c>
      <c r="D2370" s="19" t="n"/>
      <c r="E2370" s="19" t="n"/>
      <c r="F2370" s="16">
        <f>IF(OR(B2370="",D2370=""),"",IFERROR(INDEX('Tabla XP'!$B$2:$B$12,MATCH(D2370,'Tabla XP'!$A$2:$A$12,0))*IF(E2370="",1,E2370),0))</f>
        <v/>
      </c>
      <c r="G2370" s="19" t="n"/>
      <c r="H2370" s="19" t="n"/>
    </row>
    <row r="2371">
      <c r="A2371" s="22" t="n"/>
      <c r="B2371" s="19" t="n"/>
      <c r="C2371" s="18">
        <f>IF(B2371="","",IFERROR(INDEX(Jugadores!$C$2:$C$501,MATCH(B2371,Jugadores!$A$2:$A$501,0)),"⚠ ID no existe"))</f>
        <v/>
      </c>
      <c r="D2371" s="19" t="n"/>
      <c r="E2371" s="19" t="n"/>
      <c r="F2371" s="16">
        <f>IF(OR(B2371="",D2371=""),"",IFERROR(INDEX('Tabla XP'!$B$2:$B$12,MATCH(D2371,'Tabla XP'!$A$2:$A$12,0))*IF(E2371="",1,E2371),0))</f>
        <v/>
      </c>
      <c r="G2371" s="19" t="n"/>
      <c r="H2371" s="19" t="n"/>
    </row>
    <row r="2372">
      <c r="A2372" s="22" t="n"/>
      <c r="B2372" s="19" t="n"/>
      <c r="C2372" s="18">
        <f>IF(B2372="","",IFERROR(INDEX(Jugadores!$C$2:$C$501,MATCH(B2372,Jugadores!$A$2:$A$501,0)),"⚠ ID no existe"))</f>
        <v/>
      </c>
      <c r="D2372" s="19" t="n"/>
      <c r="E2372" s="19" t="n"/>
      <c r="F2372" s="16">
        <f>IF(OR(B2372="",D2372=""),"",IFERROR(INDEX('Tabla XP'!$B$2:$B$12,MATCH(D2372,'Tabla XP'!$A$2:$A$12,0))*IF(E2372="",1,E2372),0))</f>
        <v/>
      </c>
      <c r="G2372" s="19" t="n"/>
      <c r="H2372" s="19" t="n"/>
    </row>
    <row r="2373">
      <c r="A2373" s="22" t="n"/>
      <c r="B2373" s="19" t="n"/>
      <c r="C2373" s="18">
        <f>IF(B2373="","",IFERROR(INDEX(Jugadores!$C$2:$C$501,MATCH(B2373,Jugadores!$A$2:$A$501,0)),"⚠ ID no existe"))</f>
        <v/>
      </c>
      <c r="D2373" s="19" t="n"/>
      <c r="E2373" s="19" t="n"/>
      <c r="F2373" s="16">
        <f>IF(OR(B2373="",D2373=""),"",IFERROR(INDEX('Tabla XP'!$B$2:$B$12,MATCH(D2373,'Tabla XP'!$A$2:$A$12,0))*IF(E2373="",1,E2373),0))</f>
        <v/>
      </c>
      <c r="G2373" s="19" t="n"/>
      <c r="H2373" s="19" t="n"/>
    </row>
    <row r="2374">
      <c r="A2374" s="22" t="n"/>
      <c r="B2374" s="19" t="n"/>
      <c r="C2374" s="18">
        <f>IF(B2374="","",IFERROR(INDEX(Jugadores!$C$2:$C$501,MATCH(B2374,Jugadores!$A$2:$A$501,0)),"⚠ ID no existe"))</f>
        <v/>
      </c>
      <c r="D2374" s="19" t="n"/>
      <c r="E2374" s="19" t="n"/>
      <c r="F2374" s="16">
        <f>IF(OR(B2374="",D2374=""),"",IFERROR(INDEX('Tabla XP'!$B$2:$B$12,MATCH(D2374,'Tabla XP'!$A$2:$A$12,0))*IF(E2374="",1,E2374),0))</f>
        <v/>
      </c>
      <c r="G2374" s="19" t="n"/>
      <c r="H2374" s="19" t="n"/>
    </row>
    <row r="2375">
      <c r="A2375" s="22" t="n"/>
      <c r="B2375" s="19" t="n"/>
      <c r="C2375" s="18">
        <f>IF(B2375="","",IFERROR(INDEX(Jugadores!$C$2:$C$501,MATCH(B2375,Jugadores!$A$2:$A$501,0)),"⚠ ID no existe"))</f>
        <v/>
      </c>
      <c r="D2375" s="19" t="n"/>
      <c r="E2375" s="19" t="n"/>
      <c r="F2375" s="16">
        <f>IF(OR(B2375="",D2375=""),"",IFERROR(INDEX('Tabla XP'!$B$2:$B$12,MATCH(D2375,'Tabla XP'!$A$2:$A$12,0))*IF(E2375="",1,E2375),0))</f>
        <v/>
      </c>
      <c r="G2375" s="19" t="n"/>
      <c r="H2375" s="19" t="n"/>
    </row>
    <row r="2376">
      <c r="A2376" s="22" t="n"/>
      <c r="B2376" s="19" t="n"/>
      <c r="C2376" s="18">
        <f>IF(B2376="","",IFERROR(INDEX(Jugadores!$C$2:$C$501,MATCH(B2376,Jugadores!$A$2:$A$501,0)),"⚠ ID no existe"))</f>
        <v/>
      </c>
      <c r="D2376" s="19" t="n"/>
      <c r="E2376" s="19" t="n"/>
      <c r="F2376" s="16">
        <f>IF(OR(B2376="",D2376=""),"",IFERROR(INDEX('Tabla XP'!$B$2:$B$12,MATCH(D2376,'Tabla XP'!$A$2:$A$12,0))*IF(E2376="",1,E2376),0))</f>
        <v/>
      </c>
      <c r="G2376" s="19" t="n"/>
      <c r="H2376" s="19" t="n"/>
    </row>
    <row r="2377">
      <c r="A2377" s="22" t="n"/>
      <c r="B2377" s="19" t="n"/>
      <c r="C2377" s="18">
        <f>IF(B2377="","",IFERROR(INDEX(Jugadores!$C$2:$C$501,MATCH(B2377,Jugadores!$A$2:$A$501,0)),"⚠ ID no existe"))</f>
        <v/>
      </c>
      <c r="D2377" s="19" t="n"/>
      <c r="E2377" s="19" t="n"/>
      <c r="F2377" s="16">
        <f>IF(OR(B2377="",D2377=""),"",IFERROR(INDEX('Tabla XP'!$B$2:$B$12,MATCH(D2377,'Tabla XP'!$A$2:$A$12,0))*IF(E2377="",1,E2377),0))</f>
        <v/>
      </c>
      <c r="G2377" s="19" t="n"/>
      <c r="H2377" s="19" t="n"/>
    </row>
    <row r="2378">
      <c r="A2378" s="22" t="n"/>
      <c r="B2378" s="19" t="n"/>
      <c r="C2378" s="18">
        <f>IF(B2378="","",IFERROR(INDEX(Jugadores!$C$2:$C$501,MATCH(B2378,Jugadores!$A$2:$A$501,0)),"⚠ ID no existe"))</f>
        <v/>
      </c>
      <c r="D2378" s="19" t="n"/>
      <c r="E2378" s="19" t="n"/>
      <c r="F2378" s="16">
        <f>IF(OR(B2378="",D2378=""),"",IFERROR(INDEX('Tabla XP'!$B$2:$B$12,MATCH(D2378,'Tabla XP'!$A$2:$A$12,0))*IF(E2378="",1,E2378),0))</f>
        <v/>
      </c>
      <c r="G2378" s="19" t="n"/>
      <c r="H2378" s="19" t="n"/>
    </row>
    <row r="2379">
      <c r="A2379" s="22" t="n"/>
      <c r="B2379" s="19" t="n"/>
      <c r="C2379" s="18">
        <f>IF(B2379="","",IFERROR(INDEX(Jugadores!$C$2:$C$501,MATCH(B2379,Jugadores!$A$2:$A$501,0)),"⚠ ID no existe"))</f>
        <v/>
      </c>
      <c r="D2379" s="19" t="n"/>
      <c r="E2379" s="19" t="n"/>
      <c r="F2379" s="16">
        <f>IF(OR(B2379="",D2379=""),"",IFERROR(INDEX('Tabla XP'!$B$2:$B$12,MATCH(D2379,'Tabla XP'!$A$2:$A$12,0))*IF(E2379="",1,E2379),0))</f>
        <v/>
      </c>
      <c r="G2379" s="19" t="n"/>
      <c r="H2379" s="19" t="n"/>
    </row>
    <row r="2380">
      <c r="A2380" s="22" t="n"/>
      <c r="B2380" s="19" t="n"/>
      <c r="C2380" s="18">
        <f>IF(B2380="","",IFERROR(INDEX(Jugadores!$C$2:$C$501,MATCH(B2380,Jugadores!$A$2:$A$501,0)),"⚠ ID no existe"))</f>
        <v/>
      </c>
      <c r="D2380" s="19" t="n"/>
      <c r="E2380" s="19" t="n"/>
      <c r="F2380" s="16">
        <f>IF(OR(B2380="",D2380=""),"",IFERROR(INDEX('Tabla XP'!$B$2:$B$12,MATCH(D2380,'Tabla XP'!$A$2:$A$12,0))*IF(E2380="",1,E2380),0))</f>
        <v/>
      </c>
      <c r="G2380" s="19" t="n"/>
      <c r="H2380" s="19" t="n"/>
    </row>
    <row r="2381">
      <c r="A2381" s="22" t="n"/>
      <c r="B2381" s="19" t="n"/>
      <c r="C2381" s="18">
        <f>IF(B2381="","",IFERROR(INDEX(Jugadores!$C$2:$C$501,MATCH(B2381,Jugadores!$A$2:$A$501,0)),"⚠ ID no existe"))</f>
        <v/>
      </c>
      <c r="D2381" s="19" t="n"/>
      <c r="E2381" s="19" t="n"/>
      <c r="F2381" s="16">
        <f>IF(OR(B2381="",D2381=""),"",IFERROR(INDEX('Tabla XP'!$B$2:$B$12,MATCH(D2381,'Tabla XP'!$A$2:$A$12,0))*IF(E2381="",1,E2381),0))</f>
        <v/>
      </c>
      <c r="G2381" s="19" t="n"/>
      <c r="H2381" s="19" t="n"/>
    </row>
    <row r="2382">
      <c r="A2382" s="22" t="n"/>
      <c r="B2382" s="19" t="n"/>
      <c r="C2382" s="18">
        <f>IF(B2382="","",IFERROR(INDEX(Jugadores!$C$2:$C$501,MATCH(B2382,Jugadores!$A$2:$A$501,0)),"⚠ ID no existe"))</f>
        <v/>
      </c>
      <c r="D2382" s="19" t="n"/>
      <c r="E2382" s="19" t="n"/>
      <c r="F2382" s="16">
        <f>IF(OR(B2382="",D2382=""),"",IFERROR(INDEX('Tabla XP'!$B$2:$B$12,MATCH(D2382,'Tabla XP'!$A$2:$A$12,0))*IF(E2382="",1,E2382),0))</f>
        <v/>
      </c>
      <c r="G2382" s="19" t="n"/>
      <c r="H2382" s="19" t="n"/>
    </row>
    <row r="2383">
      <c r="A2383" s="22" t="n"/>
      <c r="B2383" s="19" t="n"/>
      <c r="C2383" s="18">
        <f>IF(B2383="","",IFERROR(INDEX(Jugadores!$C$2:$C$501,MATCH(B2383,Jugadores!$A$2:$A$501,0)),"⚠ ID no existe"))</f>
        <v/>
      </c>
      <c r="D2383" s="19" t="n"/>
      <c r="E2383" s="19" t="n"/>
      <c r="F2383" s="16">
        <f>IF(OR(B2383="",D2383=""),"",IFERROR(INDEX('Tabla XP'!$B$2:$B$12,MATCH(D2383,'Tabla XP'!$A$2:$A$12,0))*IF(E2383="",1,E2383),0))</f>
        <v/>
      </c>
      <c r="G2383" s="19" t="n"/>
      <c r="H2383" s="19" t="n"/>
    </row>
    <row r="2384">
      <c r="A2384" s="22" t="n"/>
      <c r="B2384" s="19" t="n"/>
      <c r="C2384" s="18">
        <f>IF(B2384="","",IFERROR(INDEX(Jugadores!$C$2:$C$501,MATCH(B2384,Jugadores!$A$2:$A$501,0)),"⚠ ID no existe"))</f>
        <v/>
      </c>
      <c r="D2384" s="19" t="n"/>
      <c r="E2384" s="19" t="n"/>
      <c r="F2384" s="16">
        <f>IF(OR(B2384="",D2384=""),"",IFERROR(INDEX('Tabla XP'!$B$2:$B$12,MATCH(D2384,'Tabla XP'!$A$2:$A$12,0))*IF(E2384="",1,E2384),0))</f>
        <v/>
      </c>
      <c r="G2384" s="19" t="n"/>
      <c r="H2384" s="19" t="n"/>
    </row>
    <row r="2385">
      <c r="A2385" s="22" t="n"/>
      <c r="B2385" s="19" t="n"/>
      <c r="C2385" s="18">
        <f>IF(B2385="","",IFERROR(INDEX(Jugadores!$C$2:$C$501,MATCH(B2385,Jugadores!$A$2:$A$501,0)),"⚠ ID no existe"))</f>
        <v/>
      </c>
      <c r="D2385" s="19" t="n"/>
      <c r="E2385" s="19" t="n"/>
      <c r="F2385" s="16">
        <f>IF(OR(B2385="",D2385=""),"",IFERROR(INDEX('Tabla XP'!$B$2:$B$12,MATCH(D2385,'Tabla XP'!$A$2:$A$12,0))*IF(E2385="",1,E2385),0))</f>
        <v/>
      </c>
      <c r="G2385" s="19" t="n"/>
      <c r="H2385" s="19" t="n"/>
    </row>
    <row r="2386">
      <c r="A2386" s="22" t="n"/>
      <c r="B2386" s="19" t="n"/>
      <c r="C2386" s="18">
        <f>IF(B2386="","",IFERROR(INDEX(Jugadores!$C$2:$C$501,MATCH(B2386,Jugadores!$A$2:$A$501,0)),"⚠ ID no existe"))</f>
        <v/>
      </c>
      <c r="D2386" s="19" t="n"/>
      <c r="E2386" s="19" t="n"/>
      <c r="F2386" s="16">
        <f>IF(OR(B2386="",D2386=""),"",IFERROR(INDEX('Tabla XP'!$B$2:$B$12,MATCH(D2386,'Tabla XP'!$A$2:$A$12,0))*IF(E2386="",1,E2386),0))</f>
        <v/>
      </c>
      <c r="G2386" s="19" t="n"/>
      <c r="H2386" s="19" t="n"/>
    </row>
    <row r="2387">
      <c r="A2387" s="22" t="n"/>
      <c r="B2387" s="19" t="n"/>
      <c r="C2387" s="18">
        <f>IF(B2387="","",IFERROR(INDEX(Jugadores!$C$2:$C$501,MATCH(B2387,Jugadores!$A$2:$A$501,0)),"⚠ ID no existe"))</f>
        <v/>
      </c>
      <c r="D2387" s="19" t="n"/>
      <c r="E2387" s="19" t="n"/>
      <c r="F2387" s="16">
        <f>IF(OR(B2387="",D2387=""),"",IFERROR(INDEX('Tabla XP'!$B$2:$B$12,MATCH(D2387,'Tabla XP'!$A$2:$A$12,0))*IF(E2387="",1,E2387),0))</f>
        <v/>
      </c>
      <c r="G2387" s="19" t="n"/>
      <c r="H2387" s="19" t="n"/>
    </row>
    <row r="2388">
      <c r="A2388" s="22" t="n"/>
      <c r="B2388" s="19" t="n"/>
      <c r="C2388" s="18">
        <f>IF(B2388="","",IFERROR(INDEX(Jugadores!$C$2:$C$501,MATCH(B2388,Jugadores!$A$2:$A$501,0)),"⚠ ID no existe"))</f>
        <v/>
      </c>
      <c r="D2388" s="19" t="n"/>
      <c r="E2388" s="19" t="n"/>
      <c r="F2388" s="16">
        <f>IF(OR(B2388="",D2388=""),"",IFERROR(INDEX('Tabla XP'!$B$2:$B$12,MATCH(D2388,'Tabla XP'!$A$2:$A$12,0))*IF(E2388="",1,E2388),0))</f>
        <v/>
      </c>
      <c r="G2388" s="19" t="n"/>
      <c r="H2388" s="19" t="n"/>
    </row>
    <row r="2389">
      <c r="A2389" s="22" t="n"/>
      <c r="B2389" s="19" t="n"/>
      <c r="C2389" s="18">
        <f>IF(B2389="","",IFERROR(INDEX(Jugadores!$C$2:$C$501,MATCH(B2389,Jugadores!$A$2:$A$501,0)),"⚠ ID no existe"))</f>
        <v/>
      </c>
      <c r="D2389" s="19" t="n"/>
      <c r="E2389" s="19" t="n"/>
      <c r="F2389" s="16">
        <f>IF(OR(B2389="",D2389=""),"",IFERROR(INDEX('Tabla XP'!$B$2:$B$12,MATCH(D2389,'Tabla XP'!$A$2:$A$12,0))*IF(E2389="",1,E2389),0))</f>
        <v/>
      </c>
      <c r="G2389" s="19" t="n"/>
      <c r="H2389" s="19" t="n"/>
    </row>
    <row r="2390">
      <c r="A2390" s="22" t="n"/>
      <c r="B2390" s="19" t="n"/>
      <c r="C2390" s="18">
        <f>IF(B2390="","",IFERROR(INDEX(Jugadores!$C$2:$C$501,MATCH(B2390,Jugadores!$A$2:$A$501,0)),"⚠ ID no existe"))</f>
        <v/>
      </c>
      <c r="D2390" s="19" t="n"/>
      <c r="E2390" s="19" t="n"/>
      <c r="F2390" s="16">
        <f>IF(OR(B2390="",D2390=""),"",IFERROR(INDEX('Tabla XP'!$B$2:$B$12,MATCH(D2390,'Tabla XP'!$A$2:$A$12,0))*IF(E2390="",1,E2390),0))</f>
        <v/>
      </c>
      <c r="G2390" s="19" t="n"/>
      <c r="H2390" s="19" t="n"/>
    </row>
    <row r="2391">
      <c r="A2391" s="22" t="n"/>
      <c r="B2391" s="19" t="n"/>
      <c r="C2391" s="18">
        <f>IF(B2391="","",IFERROR(INDEX(Jugadores!$C$2:$C$501,MATCH(B2391,Jugadores!$A$2:$A$501,0)),"⚠ ID no existe"))</f>
        <v/>
      </c>
      <c r="D2391" s="19" t="n"/>
      <c r="E2391" s="19" t="n"/>
      <c r="F2391" s="16">
        <f>IF(OR(B2391="",D2391=""),"",IFERROR(INDEX('Tabla XP'!$B$2:$B$12,MATCH(D2391,'Tabla XP'!$A$2:$A$12,0))*IF(E2391="",1,E2391),0))</f>
        <v/>
      </c>
      <c r="G2391" s="19" t="n"/>
      <c r="H2391" s="19" t="n"/>
    </row>
    <row r="2392">
      <c r="A2392" s="22" t="n"/>
      <c r="B2392" s="19" t="n"/>
      <c r="C2392" s="18">
        <f>IF(B2392="","",IFERROR(INDEX(Jugadores!$C$2:$C$501,MATCH(B2392,Jugadores!$A$2:$A$501,0)),"⚠ ID no existe"))</f>
        <v/>
      </c>
      <c r="D2392" s="19" t="n"/>
      <c r="E2392" s="19" t="n"/>
      <c r="F2392" s="16">
        <f>IF(OR(B2392="",D2392=""),"",IFERROR(INDEX('Tabla XP'!$B$2:$B$12,MATCH(D2392,'Tabla XP'!$A$2:$A$12,0))*IF(E2392="",1,E2392),0))</f>
        <v/>
      </c>
      <c r="G2392" s="19" t="n"/>
      <c r="H2392" s="19" t="n"/>
    </row>
    <row r="2393">
      <c r="A2393" s="22" t="n"/>
      <c r="B2393" s="19" t="n"/>
      <c r="C2393" s="18">
        <f>IF(B2393="","",IFERROR(INDEX(Jugadores!$C$2:$C$501,MATCH(B2393,Jugadores!$A$2:$A$501,0)),"⚠ ID no existe"))</f>
        <v/>
      </c>
      <c r="D2393" s="19" t="n"/>
      <c r="E2393" s="19" t="n"/>
      <c r="F2393" s="16">
        <f>IF(OR(B2393="",D2393=""),"",IFERROR(INDEX('Tabla XP'!$B$2:$B$12,MATCH(D2393,'Tabla XP'!$A$2:$A$12,0))*IF(E2393="",1,E2393),0))</f>
        <v/>
      </c>
      <c r="G2393" s="19" t="n"/>
      <c r="H2393" s="19" t="n"/>
    </row>
    <row r="2394">
      <c r="A2394" s="22" t="n"/>
      <c r="B2394" s="19" t="n"/>
      <c r="C2394" s="18">
        <f>IF(B2394="","",IFERROR(INDEX(Jugadores!$C$2:$C$501,MATCH(B2394,Jugadores!$A$2:$A$501,0)),"⚠ ID no existe"))</f>
        <v/>
      </c>
      <c r="D2394" s="19" t="n"/>
      <c r="E2394" s="19" t="n"/>
      <c r="F2394" s="16">
        <f>IF(OR(B2394="",D2394=""),"",IFERROR(INDEX('Tabla XP'!$B$2:$B$12,MATCH(D2394,'Tabla XP'!$A$2:$A$12,0))*IF(E2394="",1,E2394),0))</f>
        <v/>
      </c>
      <c r="G2394" s="19" t="n"/>
      <c r="H2394" s="19" t="n"/>
    </row>
    <row r="2395">
      <c r="A2395" s="22" t="n"/>
      <c r="B2395" s="19" t="n"/>
      <c r="C2395" s="18">
        <f>IF(B2395="","",IFERROR(INDEX(Jugadores!$C$2:$C$501,MATCH(B2395,Jugadores!$A$2:$A$501,0)),"⚠ ID no existe"))</f>
        <v/>
      </c>
      <c r="D2395" s="19" t="n"/>
      <c r="E2395" s="19" t="n"/>
      <c r="F2395" s="16">
        <f>IF(OR(B2395="",D2395=""),"",IFERROR(INDEX('Tabla XP'!$B$2:$B$12,MATCH(D2395,'Tabla XP'!$A$2:$A$12,0))*IF(E2395="",1,E2395),0))</f>
        <v/>
      </c>
      <c r="G2395" s="19" t="n"/>
      <c r="H2395" s="19" t="n"/>
    </row>
    <row r="2396">
      <c r="A2396" s="22" t="n"/>
      <c r="B2396" s="19" t="n"/>
      <c r="C2396" s="18">
        <f>IF(B2396="","",IFERROR(INDEX(Jugadores!$C$2:$C$501,MATCH(B2396,Jugadores!$A$2:$A$501,0)),"⚠ ID no existe"))</f>
        <v/>
      </c>
      <c r="D2396" s="19" t="n"/>
      <c r="E2396" s="19" t="n"/>
      <c r="F2396" s="16">
        <f>IF(OR(B2396="",D2396=""),"",IFERROR(INDEX('Tabla XP'!$B$2:$B$12,MATCH(D2396,'Tabla XP'!$A$2:$A$12,0))*IF(E2396="",1,E2396),0))</f>
        <v/>
      </c>
      <c r="G2396" s="19" t="n"/>
      <c r="H2396" s="19" t="n"/>
    </row>
    <row r="2397">
      <c r="A2397" s="22" t="n"/>
      <c r="B2397" s="19" t="n"/>
      <c r="C2397" s="18">
        <f>IF(B2397="","",IFERROR(INDEX(Jugadores!$C$2:$C$501,MATCH(B2397,Jugadores!$A$2:$A$501,0)),"⚠ ID no existe"))</f>
        <v/>
      </c>
      <c r="D2397" s="19" t="n"/>
      <c r="E2397" s="19" t="n"/>
      <c r="F2397" s="16">
        <f>IF(OR(B2397="",D2397=""),"",IFERROR(INDEX('Tabla XP'!$B$2:$B$12,MATCH(D2397,'Tabla XP'!$A$2:$A$12,0))*IF(E2397="",1,E2397),0))</f>
        <v/>
      </c>
      <c r="G2397" s="19" t="n"/>
      <c r="H2397" s="19" t="n"/>
    </row>
    <row r="2398">
      <c r="A2398" s="22" t="n"/>
      <c r="B2398" s="19" t="n"/>
      <c r="C2398" s="18">
        <f>IF(B2398="","",IFERROR(INDEX(Jugadores!$C$2:$C$501,MATCH(B2398,Jugadores!$A$2:$A$501,0)),"⚠ ID no existe"))</f>
        <v/>
      </c>
      <c r="D2398" s="19" t="n"/>
      <c r="E2398" s="19" t="n"/>
      <c r="F2398" s="16">
        <f>IF(OR(B2398="",D2398=""),"",IFERROR(INDEX('Tabla XP'!$B$2:$B$12,MATCH(D2398,'Tabla XP'!$A$2:$A$12,0))*IF(E2398="",1,E2398),0))</f>
        <v/>
      </c>
      <c r="G2398" s="19" t="n"/>
      <c r="H2398" s="19" t="n"/>
    </row>
    <row r="2399">
      <c r="A2399" s="22" t="n"/>
      <c r="B2399" s="19" t="n"/>
      <c r="C2399" s="18">
        <f>IF(B2399="","",IFERROR(INDEX(Jugadores!$C$2:$C$501,MATCH(B2399,Jugadores!$A$2:$A$501,0)),"⚠ ID no existe"))</f>
        <v/>
      </c>
      <c r="D2399" s="19" t="n"/>
      <c r="E2399" s="19" t="n"/>
      <c r="F2399" s="16">
        <f>IF(OR(B2399="",D2399=""),"",IFERROR(INDEX('Tabla XP'!$B$2:$B$12,MATCH(D2399,'Tabla XP'!$A$2:$A$12,0))*IF(E2399="",1,E2399),0))</f>
        <v/>
      </c>
      <c r="G2399" s="19" t="n"/>
      <c r="H2399" s="19" t="n"/>
    </row>
    <row r="2400">
      <c r="A2400" s="22" t="n"/>
      <c r="B2400" s="19" t="n"/>
      <c r="C2400" s="18">
        <f>IF(B2400="","",IFERROR(INDEX(Jugadores!$C$2:$C$501,MATCH(B2400,Jugadores!$A$2:$A$501,0)),"⚠ ID no existe"))</f>
        <v/>
      </c>
      <c r="D2400" s="19" t="n"/>
      <c r="E2400" s="19" t="n"/>
      <c r="F2400" s="16">
        <f>IF(OR(B2400="",D2400=""),"",IFERROR(INDEX('Tabla XP'!$B$2:$B$12,MATCH(D2400,'Tabla XP'!$A$2:$A$12,0))*IF(E2400="",1,E2400),0))</f>
        <v/>
      </c>
      <c r="G2400" s="19" t="n"/>
      <c r="H2400" s="19" t="n"/>
    </row>
    <row r="2401">
      <c r="A2401" s="22" t="n"/>
      <c r="B2401" s="19" t="n"/>
      <c r="C2401" s="18">
        <f>IF(B2401="","",IFERROR(INDEX(Jugadores!$C$2:$C$501,MATCH(B2401,Jugadores!$A$2:$A$501,0)),"⚠ ID no existe"))</f>
        <v/>
      </c>
      <c r="D2401" s="19" t="n"/>
      <c r="E2401" s="19" t="n"/>
      <c r="F2401" s="16">
        <f>IF(OR(B2401="",D2401=""),"",IFERROR(INDEX('Tabla XP'!$B$2:$B$12,MATCH(D2401,'Tabla XP'!$A$2:$A$12,0))*IF(E2401="",1,E2401),0))</f>
        <v/>
      </c>
      <c r="G2401" s="19" t="n"/>
      <c r="H2401" s="19" t="n"/>
    </row>
    <row r="2402">
      <c r="A2402" s="22" t="n"/>
      <c r="B2402" s="19" t="n"/>
      <c r="C2402" s="18">
        <f>IF(B2402="","",IFERROR(INDEX(Jugadores!$C$2:$C$501,MATCH(B2402,Jugadores!$A$2:$A$501,0)),"⚠ ID no existe"))</f>
        <v/>
      </c>
      <c r="D2402" s="19" t="n"/>
      <c r="E2402" s="19" t="n"/>
      <c r="F2402" s="16">
        <f>IF(OR(B2402="",D2402=""),"",IFERROR(INDEX('Tabla XP'!$B$2:$B$12,MATCH(D2402,'Tabla XP'!$A$2:$A$12,0))*IF(E2402="",1,E2402),0))</f>
        <v/>
      </c>
      <c r="G2402" s="19" t="n"/>
      <c r="H2402" s="19" t="n"/>
    </row>
    <row r="2403">
      <c r="A2403" s="22" t="n"/>
      <c r="B2403" s="19" t="n"/>
      <c r="C2403" s="18">
        <f>IF(B2403="","",IFERROR(INDEX(Jugadores!$C$2:$C$501,MATCH(B2403,Jugadores!$A$2:$A$501,0)),"⚠ ID no existe"))</f>
        <v/>
      </c>
      <c r="D2403" s="19" t="n"/>
      <c r="E2403" s="19" t="n"/>
      <c r="F2403" s="16">
        <f>IF(OR(B2403="",D2403=""),"",IFERROR(INDEX('Tabla XP'!$B$2:$B$12,MATCH(D2403,'Tabla XP'!$A$2:$A$12,0))*IF(E2403="",1,E2403),0))</f>
        <v/>
      </c>
      <c r="G2403" s="19" t="n"/>
      <c r="H2403" s="19" t="n"/>
    </row>
    <row r="2404">
      <c r="A2404" s="22" t="n"/>
      <c r="B2404" s="19" t="n"/>
      <c r="C2404" s="18">
        <f>IF(B2404="","",IFERROR(INDEX(Jugadores!$C$2:$C$501,MATCH(B2404,Jugadores!$A$2:$A$501,0)),"⚠ ID no existe"))</f>
        <v/>
      </c>
      <c r="D2404" s="19" t="n"/>
      <c r="E2404" s="19" t="n"/>
      <c r="F2404" s="16">
        <f>IF(OR(B2404="",D2404=""),"",IFERROR(INDEX('Tabla XP'!$B$2:$B$12,MATCH(D2404,'Tabla XP'!$A$2:$A$12,0))*IF(E2404="",1,E2404),0))</f>
        <v/>
      </c>
      <c r="G2404" s="19" t="n"/>
      <c r="H2404" s="19" t="n"/>
    </row>
    <row r="2405">
      <c r="A2405" s="22" t="n"/>
      <c r="B2405" s="19" t="n"/>
      <c r="C2405" s="18">
        <f>IF(B2405="","",IFERROR(INDEX(Jugadores!$C$2:$C$501,MATCH(B2405,Jugadores!$A$2:$A$501,0)),"⚠ ID no existe"))</f>
        <v/>
      </c>
      <c r="D2405" s="19" t="n"/>
      <c r="E2405" s="19" t="n"/>
      <c r="F2405" s="16">
        <f>IF(OR(B2405="",D2405=""),"",IFERROR(INDEX('Tabla XP'!$B$2:$B$12,MATCH(D2405,'Tabla XP'!$A$2:$A$12,0))*IF(E2405="",1,E2405),0))</f>
        <v/>
      </c>
      <c r="G2405" s="19" t="n"/>
      <c r="H2405" s="19" t="n"/>
    </row>
    <row r="2406">
      <c r="A2406" s="22" t="n"/>
      <c r="B2406" s="19" t="n"/>
      <c r="C2406" s="18">
        <f>IF(B2406="","",IFERROR(INDEX(Jugadores!$C$2:$C$501,MATCH(B2406,Jugadores!$A$2:$A$501,0)),"⚠ ID no existe"))</f>
        <v/>
      </c>
      <c r="D2406" s="19" t="n"/>
      <c r="E2406" s="19" t="n"/>
      <c r="F2406" s="16">
        <f>IF(OR(B2406="",D2406=""),"",IFERROR(INDEX('Tabla XP'!$B$2:$B$12,MATCH(D2406,'Tabla XP'!$A$2:$A$12,0))*IF(E2406="",1,E2406),0))</f>
        <v/>
      </c>
      <c r="G2406" s="19" t="n"/>
      <c r="H2406" s="19" t="n"/>
    </row>
    <row r="2407">
      <c r="A2407" s="22" t="n"/>
      <c r="B2407" s="19" t="n"/>
      <c r="C2407" s="18">
        <f>IF(B2407="","",IFERROR(INDEX(Jugadores!$C$2:$C$501,MATCH(B2407,Jugadores!$A$2:$A$501,0)),"⚠ ID no existe"))</f>
        <v/>
      </c>
      <c r="D2407" s="19" t="n"/>
      <c r="E2407" s="19" t="n"/>
      <c r="F2407" s="16">
        <f>IF(OR(B2407="",D2407=""),"",IFERROR(INDEX('Tabla XP'!$B$2:$B$12,MATCH(D2407,'Tabla XP'!$A$2:$A$12,0))*IF(E2407="",1,E2407),0))</f>
        <v/>
      </c>
      <c r="G2407" s="19" t="n"/>
      <c r="H2407" s="19" t="n"/>
    </row>
    <row r="2408">
      <c r="A2408" s="22" t="n"/>
      <c r="B2408" s="19" t="n"/>
      <c r="C2408" s="18">
        <f>IF(B2408="","",IFERROR(INDEX(Jugadores!$C$2:$C$501,MATCH(B2408,Jugadores!$A$2:$A$501,0)),"⚠ ID no existe"))</f>
        <v/>
      </c>
      <c r="D2408" s="19" t="n"/>
      <c r="E2408" s="19" t="n"/>
      <c r="F2408" s="16">
        <f>IF(OR(B2408="",D2408=""),"",IFERROR(INDEX('Tabla XP'!$B$2:$B$12,MATCH(D2408,'Tabla XP'!$A$2:$A$12,0))*IF(E2408="",1,E2408),0))</f>
        <v/>
      </c>
      <c r="G2408" s="19" t="n"/>
      <c r="H2408" s="19" t="n"/>
    </row>
    <row r="2409">
      <c r="A2409" s="22" t="n"/>
      <c r="B2409" s="19" t="n"/>
      <c r="C2409" s="18">
        <f>IF(B2409="","",IFERROR(INDEX(Jugadores!$C$2:$C$501,MATCH(B2409,Jugadores!$A$2:$A$501,0)),"⚠ ID no existe"))</f>
        <v/>
      </c>
      <c r="D2409" s="19" t="n"/>
      <c r="E2409" s="19" t="n"/>
      <c r="F2409" s="16">
        <f>IF(OR(B2409="",D2409=""),"",IFERROR(INDEX('Tabla XP'!$B$2:$B$12,MATCH(D2409,'Tabla XP'!$A$2:$A$12,0))*IF(E2409="",1,E2409),0))</f>
        <v/>
      </c>
      <c r="G2409" s="19" t="n"/>
      <c r="H2409" s="19" t="n"/>
    </row>
    <row r="2410">
      <c r="A2410" s="22" t="n"/>
      <c r="B2410" s="19" t="n"/>
      <c r="C2410" s="18">
        <f>IF(B2410="","",IFERROR(INDEX(Jugadores!$C$2:$C$501,MATCH(B2410,Jugadores!$A$2:$A$501,0)),"⚠ ID no existe"))</f>
        <v/>
      </c>
      <c r="D2410" s="19" t="n"/>
      <c r="E2410" s="19" t="n"/>
      <c r="F2410" s="16">
        <f>IF(OR(B2410="",D2410=""),"",IFERROR(INDEX('Tabla XP'!$B$2:$B$12,MATCH(D2410,'Tabla XP'!$A$2:$A$12,0))*IF(E2410="",1,E2410),0))</f>
        <v/>
      </c>
      <c r="G2410" s="19" t="n"/>
      <c r="H2410" s="19" t="n"/>
    </row>
    <row r="2411">
      <c r="A2411" s="22" t="n"/>
      <c r="B2411" s="19" t="n"/>
      <c r="C2411" s="18">
        <f>IF(B2411="","",IFERROR(INDEX(Jugadores!$C$2:$C$501,MATCH(B2411,Jugadores!$A$2:$A$501,0)),"⚠ ID no existe"))</f>
        <v/>
      </c>
      <c r="D2411" s="19" t="n"/>
      <c r="E2411" s="19" t="n"/>
      <c r="F2411" s="16">
        <f>IF(OR(B2411="",D2411=""),"",IFERROR(INDEX('Tabla XP'!$B$2:$B$12,MATCH(D2411,'Tabla XP'!$A$2:$A$12,0))*IF(E2411="",1,E2411),0))</f>
        <v/>
      </c>
      <c r="G2411" s="19" t="n"/>
      <c r="H2411" s="19" t="n"/>
    </row>
    <row r="2412">
      <c r="A2412" s="22" t="n"/>
      <c r="B2412" s="19" t="n"/>
      <c r="C2412" s="18">
        <f>IF(B2412="","",IFERROR(INDEX(Jugadores!$C$2:$C$501,MATCH(B2412,Jugadores!$A$2:$A$501,0)),"⚠ ID no existe"))</f>
        <v/>
      </c>
      <c r="D2412" s="19" t="n"/>
      <c r="E2412" s="19" t="n"/>
      <c r="F2412" s="16">
        <f>IF(OR(B2412="",D2412=""),"",IFERROR(INDEX('Tabla XP'!$B$2:$B$12,MATCH(D2412,'Tabla XP'!$A$2:$A$12,0))*IF(E2412="",1,E2412),0))</f>
        <v/>
      </c>
      <c r="G2412" s="19" t="n"/>
      <c r="H2412" s="19" t="n"/>
    </row>
    <row r="2413">
      <c r="A2413" s="22" t="n"/>
      <c r="B2413" s="19" t="n"/>
      <c r="C2413" s="18">
        <f>IF(B2413="","",IFERROR(INDEX(Jugadores!$C$2:$C$501,MATCH(B2413,Jugadores!$A$2:$A$501,0)),"⚠ ID no existe"))</f>
        <v/>
      </c>
      <c r="D2413" s="19" t="n"/>
      <c r="E2413" s="19" t="n"/>
      <c r="F2413" s="16">
        <f>IF(OR(B2413="",D2413=""),"",IFERROR(INDEX('Tabla XP'!$B$2:$B$12,MATCH(D2413,'Tabla XP'!$A$2:$A$12,0))*IF(E2413="",1,E2413),0))</f>
        <v/>
      </c>
      <c r="G2413" s="19" t="n"/>
      <c r="H2413" s="19" t="n"/>
    </row>
    <row r="2414">
      <c r="A2414" s="22" t="n"/>
      <c r="B2414" s="19" t="n"/>
      <c r="C2414" s="18">
        <f>IF(B2414="","",IFERROR(INDEX(Jugadores!$C$2:$C$501,MATCH(B2414,Jugadores!$A$2:$A$501,0)),"⚠ ID no existe"))</f>
        <v/>
      </c>
      <c r="D2414" s="19" t="n"/>
      <c r="E2414" s="19" t="n"/>
      <c r="F2414" s="16">
        <f>IF(OR(B2414="",D2414=""),"",IFERROR(INDEX('Tabla XP'!$B$2:$B$12,MATCH(D2414,'Tabla XP'!$A$2:$A$12,0))*IF(E2414="",1,E2414),0))</f>
        <v/>
      </c>
      <c r="G2414" s="19" t="n"/>
      <c r="H2414" s="19" t="n"/>
    </row>
    <row r="2415">
      <c r="A2415" s="22" t="n"/>
      <c r="B2415" s="19" t="n"/>
      <c r="C2415" s="18">
        <f>IF(B2415="","",IFERROR(INDEX(Jugadores!$C$2:$C$501,MATCH(B2415,Jugadores!$A$2:$A$501,0)),"⚠ ID no existe"))</f>
        <v/>
      </c>
      <c r="D2415" s="19" t="n"/>
      <c r="E2415" s="19" t="n"/>
      <c r="F2415" s="16">
        <f>IF(OR(B2415="",D2415=""),"",IFERROR(INDEX('Tabla XP'!$B$2:$B$12,MATCH(D2415,'Tabla XP'!$A$2:$A$12,0))*IF(E2415="",1,E2415),0))</f>
        <v/>
      </c>
      <c r="G2415" s="19" t="n"/>
      <c r="H2415" s="19" t="n"/>
    </row>
    <row r="2416">
      <c r="A2416" s="22" t="n"/>
      <c r="B2416" s="19" t="n"/>
      <c r="C2416" s="18">
        <f>IF(B2416="","",IFERROR(INDEX(Jugadores!$C$2:$C$501,MATCH(B2416,Jugadores!$A$2:$A$501,0)),"⚠ ID no existe"))</f>
        <v/>
      </c>
      <c r="D2416" s="19" t="n"/>
      <c r="E2416" s="19" t="n"/>
      <c r="F2416" s="16">
        <f>IF(OR(B2416="",D2416=""),"",IFERROR(INDEX('Tabla XP'!$B$2:$B$12,MATCH(D2416,'Tabla XP'!$A$2:$A$12,0))*IF(E2416="",1,E2416),0))</f>
        <v/>
      </c>
      <c r="G2416" s="19" t="n"/>
      <c r="H2416" s="19" t="n"/>
    </row>
    <row r="2417">
      <c r="A2417" s="22" t="n"/>
      <c r="B2417" s="19" t="n"/>
      <c r="C2417" s="18">
        <f>IF(B2417="","",IFERROR(INDEX(Jugadores!$C$2:$C$501,MATCH(B2417,Jugadores!$A$2:$A$501,0)),"⚠ ID no existe"))</f>
        <v/>
      </c>
      <c r="D2417" s="19" t="n"/>
      <c r="E2417" s="19" t="n"/>
      <c r="F2417" s="16">
        <f>IF(OR(B2417="",D2417=""),"",IFERROR(INDEX('Tabla XP'!$B$2:$B$12,MATCH(D2417,'Tabla XP'!$A$2:$A$12,0))*IF(E2417="",1,E2417),0))</f>
        <v/>
      </c>
      <c r="G2417" s="19" t="n"/>
      <c r="H2417" s="19" t="n"/>
    </row>
    <row r="2418">
      <c r="A2418" s="22" t="n"/>
      <c r="B2418" s="19" t="n"/>
      <c r="C2418" s="18">
        <f>IF(B2418="","",IFERROR(INDEX(Jugadores!$C$2:$C$501,MATCH(B2418,Jugadores!$A$2:$A$501,0)),"⚠ ID no existe"))</f>
        <v/>
      </c>
      <c r="D2418" s="19" t="n"/>
      <c r="E2418" s="19" t="n"/>
      <c r="F2418" s="16">
        <f>IF(OR(B2418="",D2418=""),"",IFERROR(INDEX('Tabla XP'!$B$2:$B$12,MATCH(D2418,'Tabla XP'!$A$2:$A$12,0))*IF(E2418="",1,E2418),0))</f>
        <v/>
      </c>
      <c r="G2418" s="19" t="n"/>
      <c r="H2418" s="19" t="n"/>
    </row>
    <row r="2419">
      <c r="A2419" s="22" t="n"/>
      <c r="B2419" s="19" t="n"/>
      <c r="C2419" s="18">
        <f>IF(B2419="","",IFERROR(INDEX(Jugadores!$C$2:$C$501,MATCH(B2419,Jugadores!$A$2:$A$501,0)),"⚠ ID no existe"))</f>
        <v/>
      </c>
      <c r="D2419" s="19" t="n"/>
      <c r="E2419" s="19" t="n"/>
      <c r="F2419" s="16">
        <f>IF(OR(B2419="",D2419=""),"",IFERROR(INDEX('Tabla XP'!$B$2:$B$12,MATCH(D2419,'Tabla XP'!$A$2:$A$12,0))*IF(E2419="",1,E2419),0))</f>
        <v/>
      </c>
      <c r="G2419" s="19" t="n"/>
      <c r="H2419" s="19" t="n"/>
    </row>
    <row r="2420">
      <c r="A2420" s="22" t="n"/>
      <c r="B2420" s="19" t="n"/>
      <c r="C2420" s="18">
        <f>IF(B2420="","",IFERROR(INDEX(Jugadores!$C$2:$C$501,MATCH(B2420,Jugadores!$A$2:$A$501,0)),"⚠ ID no existe"))</f>
        <v/>
      </c>
      <c r="D2420" s="19" t="n"/>
      <c r="E2420" s="19" t="n"/>
      <c r="F2420" s="16">
        <f>IF(OR(B2420="",D2420=""),"",IFERROR(INDEX('Tabla XP'!$B$2:$B$12,MATCH(D2420,'Tabla XP'!$A$2:$A$12,0))*IF(E2420="",1,E2420),0))</f>
        <v/>
      </c>
      <c r="G2420" s="19" t="n"/>
      <c r="H2420" s="19" t="n"/>
    </row>
    <row r="2421">
      <c r="A2421" s="22" t="n"/>
      <c r="B2421" s="19" t="n"/>
      <c r="C2421" s="18">
        <f>IF(B2421="","",IFERROR(INDEX(Jugadores!$C$2:$C$501,MATCH(B2421,Jugadores!$A$2:$A$501,0)),"⚠ ID no existe"))</f>
        <v/>
      </c>
      <c r="D2421" s="19" t="n"/>
      <c r="E2421" s="19" t="n"/>
      <c r="F2421" s="16">
        <f>IF(OR(B2421="",D2421=""),"",IFERROR(INDEX('Tabla XP'!$B$2:$B$12,MATCH(D2421,'Tabla XP'!$A$2:$A$12,0))*IF(E2421="",1,E2421),0))</f>
        <v/>
      </c>
      <c r="G2421" s="19" t="n"/>
      <c r="H2421" s="19" t="n"/>
    </row>
    <row r="2422">
      <c r="A2422" s="22" t="n"/>
      <c r="B2422" s="19" t="n"/>
      <c r="C2422" s="18">
        <f>IF(B2422="","",IFERROR(INDEX(Jugadores!$C$2:$C$501,MATCH(B2422,Jugadores!$A$2:$A$501,0)),"⚠ ID no existe"))</f>
        <v/>
      </c>
      <c r="D2422" s="19" t="n"/>
      <c r="E2422" s="19" t="n"/>
      <c r="F2422" s="16">
        <f>IF(OR(B2422="",D2422=""),"",IFERROR(INDEX('Tabla XP'!$B$2:$B$12,MATCH(D2422,'Tabla XP'!$A$2:$A$12,0))*IF(E2422="",1,E2422),0))</f>
        <v/>
      </c>
      <c r="G2422" s="19" t="n"/>
      <c r="H2422" s="19" t="n"/>
    </row>
    <row r="2423">
      <c r="A2423" s="22" t="n"/>
      <c r="B2423" s="19" t="n"/>
      <c r="C2423" s="18">
        <f>IF(B2423="","",IFERROR(INDEX(Jugadores!$C$2:$C$501,MATCH(B2423,Jugadores!$A$2:$A$501,0)),"⚠ ID no existe"))</f>
        <v/>
      </c>
      <c r="D2423" s="19" t="n"/>
      <c r="E2423" s="19" t="n"/>
      <c r="F2423" s="16">
        <f>IF(OR(B2423="",D2423=""),"",IFERROR(INDEX('Tabla XP'!$B$2:$B$12,MATCH(D2423,'Tabla XP'!$A$2:$A$12,0))*IF(E2423="",1,E2423),0))</f>
        <v/>
      </c>
      <c r="G2423" s="19" t="n"/>
      <c r="H2423" s="19" t="n"/>
    </row>
    <row r="2424">
      <c r="A2424" s="22" t="n"/>
      <c r="B2424" s="19" t="n"/>
      <c r="C2424" s="18">
        <f>IF(B2424="","",IFERROR(INDEX(Jugadores!$C$2:$C$501,MATCH(B2424,Jugadores!$A$2:$A$501,0)),"⚠ ID no existe"))</f>
        <v/>
      </c>
      <c r="D2424" s="19" t="n"/>
      <c r="E2424" s="19" t="n"/>
      <c r="F2424" s="16">
        <f>IF(OR(B2424="",D2424=""),"",IFERROR(INDEX('Tabla XP'!$B$2:$B$12,MATCH(D2424,'Tabla XP'!$A$2:$A$12,0))*IF(E2424="",1,E2424),0))</f>
        <v/>
      </c>
      <c r="G2424" s="19" t="n"/>
      <c r="H2424" s="19" t="n"/>
    </row>
    <row r="2425">
      <c r="A2425" s="22" t="n"/>
      <c r="B2425" s="19" t="n"/>
      <c r="C2425" s="18">
        <f>IF(B2425="","",IFERROR(INDEX(Jugadores!$C$2:$C$501,MATCH(B2425,Jugadores!$A$2:$A$501,0)),"⚠ ID no existe"))</f>
        <v/>
      </c>
      <c r="D2425" s="19" t="n"/>
      <c r="E2425" s="19" t="n"/>
      <c r="F2425" s="16">
        <f>IF(OR(B2425="",D2425=""),"",IFERROR(INDEX('Tabla XP'!$B$2:$B$12,MATCH(D2425,'Tabla XP'!$A$2:$A$12,0))*IF(E2425="",1,E2425),0))</f>
        <v/>
      </c>
      <c r="G2425" s="19" t="n"/>
      <c r="H2425" s="19" t="n"/>
    </row>
    <row r="2426">
      <c r="A2426" s="22" t="n"/>
      <c r="B2426" s="19" t="n"/>
      <c r="C2426" s="18">
        <f>IF(B2426="","",IFERROR(INDEX(Jugadores!$C$2:$C$501,MATCH(B2426,Jugadores!$A$2:$A$501,0)),"⚠ ID no existe"))</f>
        <v/>
      </c>
      <c r="D2426" s="19" t="n"/>
      <c r="E2426" s="19" t="n"/>
      <c r="F2426" s="16">
        <f>IF(OR(B2426="",D2426=""),"",IFERROR(INDEX('Tabla XP'!$B$2:$B$12,MATCH(D2426,'Tabla XP'!$A$2:$A$12,0))*IF(E2426="",1,E2426),0))</f>
        <v/>
      </c>
      <c r="G2426" s="19" t="n"/>
      <c r="H2426" s="19" t="n"/>
    </row>
    <row r="2427">
      <c r="A2427" s="22" t="n"/>
      <c r="B2427" s="19" t="n"/>
      <c r="C2427" s="18">
        <f>IF(B2427="","",IFERROR(INDEX(Jugadores!$C$2:$C$501,MATCH(B2427,Jugadores!$A$2:$A$501,0)),"⚠ ID no existe"))</f>
        <v/>
      </c>
      <c r="D2427" s="19" t="n"/>
      <c r="E2427" s="19" t="n"/>
      <c r="F2427" s="16">
        <f>IF(OR(B2427="",D2427=""),"",IFERROR(INDEX('Tabla XP'!$B$2:$B$12,MATCH(D2427,'Tabla XP'!$A$2:$A$12,0))*IF(E2427="",1,E2427),0))</f>
        <v/>
      </c>
      <c r="G2427" s="19" t="n"/>
      <c r="H2427" s="19" t="n"/>
    </row>
    <row r="2428">
      <c r="A2428" s="22" t="n"/>
      <c r="B2428" s="19" t="n"/>
      <c r="C2428" s="18">
        <f>IF(B2428="","",IFERROR(INDEX(Jugadores!$C$2:$C$501,MATCH(B2428,Jugadores!$A$2:$A$501,0)),"⚠ ID no existe"))</f>
        <v/>
      </c>
      <c r="D2428" s="19" t="n"/>
      <c r="E2428" s="19" t="n"/>
      <c r="F2428" s="16">
        <f>IF(OR(B2428="",D2428=""),"",IFERROR(INDEX('Tabla XP'!$B$2:$B$12,MATCH(D2428,'Tabla XP'!$A$2:$A$12,0))*IF(E2428="",1,E2428),0))</f>
        <v/>
      </c>
      <c r="G2428" s="19" t="n"/>
      <c r="H2428" s="19" t="n"/>
    </row>
    <row r="2429">
      <c r="A2429" s="22" t="n"/>
      <c r="B2429" s="19" t="n"/>
      <c r="C2429" s="18">
        <f>IF(B2429="","",IFERROR(INDEX(Jugadores!$C$2:$C$501,MATCH(B2429,Jugadores!$A$2:$A$501,0)),"⚠ ID no existe"))</f>
        <v/>
      </c>
      <c r="D2429" s="19" t="n"/>
      <c r="E2429" s="19" t="n"/>
      <c r="F2429" s="16">
        <f>IF(OR(B2429="",D2429=""),"",IFERROR(INDEX('Tabla XP'!$B$2:$B$12,MATCH(D2429,'Tabla XP'!$A$2:$A$12,0))*IF(E2429="",1,E2429),0))</f>
        <v/>
      </c>
      <c r="G2429" s="19" t="n"/>
      <c r="H2429" s="19" t="n"/>
    </row>
    <row r="2430">
      <c r="A2430" s="22" t="n"/>
      <c r="B2430" s="19" t="n"/>
      <c r="C2430" s="18">
        <f>IF(B2430="","",IFERROR(INDEX(Jugadores!$C$2:$C$501,MATCH(B2430,Jugadores!$A$2:$A$501,0)),"⚠ ID no existe"))</f>
        <v/>
      </c>
      <c r="D2430" s="19" t="n"/>
      <c r="E2430" s="19" t="n"/>
      <c r="F2430" s="16">
        <f>IF(OR(B2430="",D2430=""),"",IFERROR(INDEX('Tabla XP'!$B$2:$B$12,MATCH(D2430,'Tabla XP'!$A$2:$A$12,0))*IF(E2430="",1,E2430),0))</f>
        <v/>
      </c>
      <c r="G2430" s="19" t="n"/>
      <c r="H2430" s="19" t="n"/>
    </row>
    <row r="2431">
      <c r="A2431" s="22" t="n"/>
      <c r="B2431" s="19" t="n"/>
      <c r="C2431" s="18">
        <f>IF(B2431="","",IFERROR(INDEX(Jugadores!$C$2:$C$501,MATCH(B2431,Jugadores!$A$2:$A$501,0)),"⚠ ID no existe"))</f>
        <v/>
      </c>
      <c r="D2431" s="19" t="n"/>
      <c r="E2431" s="19" t="n"/>
      <c r="F2431" s="16">
        <f>IF(OR(B2431="",D2431=""),"",IFERROR(INDEX('Tabla XP'!$B$2:$B$12,MATCH(D2431,'Tabla XP'!$A$2:$A$12,0))*IF(E2431="",1,E2431),0))</f>
        <v/>
      </c>
      <c r="G2431" s="19" t="n"/>
      <c r="H2431" s="19" t="n"/>
    </row>
    <row r="2432">
      <c r="A2432" s="22" t="n"/>
      <c r="B2432" s="19" t="n"/>
      <c r="C2432" s="18">
        <f>IF(B2432="","",IFERROR(INDEX(Jugadores!$C$2:$C$501,MATCH(B2432,Jugadores!$A$2:$A$501,0)),"⚠ ID no existe"))</f>
        <v/>
      </c>
      <c r="D2432" s="19" t="n"/>
      <c r="E2432" s="19" t="n"/>
      <c r="F2432" s="16">
        <f>IF(OR(B2432="",D2432=""),"",IFERROR(INDEX('Tabla XP'!$B$2:$B$12,MATCH(D2432,'Tabla XP'!$A$2:$A$12,0))*IF(E2432="",1,E2432),0))</f>
        <v/>
      </c>
      <c r="G2432" s="19" t="n"/>
      <c r="H2432" s="19" t="n"/>
    </row>
    <row r="2433">
      <c r="A2433" s="22" t="n"/>
      <c r="B2433" s="19" t="n"/>
      <c r="C2433" s="18">
        <f>IF(B2433="","",IFERROR(INDEX(Jugadores!$C$2:$C$501,MATCH(B2433,Jugadores!$A$2:$A$501,0)),"⚠ ID no existe"))</f>
        <v/>
      </c>
      <c r="D2433" s="19" t="n"/>
      <c r="E2433" s="19" t="n"/>
      <c r="F2433" s="16">
        <f>IF(OR(B2433="",D2433=""),"",IFERROR(INDEX('Tabla XP'!$B$2:$B$12,MATCH(D2433,'Tabla XP'!$A$2:$A$12,0))*IF(E2433="",1,E2433),0))</f>
        <v/>
      </c>
      <c r="G2433" s="19" t="n"/>
      <c r="H2433" s="19" t="n"/>
    </row>
    <row r="2434">
      <c r="A2434" s="22" t="n"/>
      <c r="B2434" s="19" t="n"/>
      <c r="C2434" s="18">
        <f>IF(B2434="","",IFERROR(INDEX(Jugadores!$C$2:$C$501,MATCH(B2434,Jugadores!$A$2:$A$501,0)),"⚠ ID no existe"))</f>
        <v/>
      </c>
      <c r="D2434" s="19" t="n"/>
      <c r="E2434" s="19" t="n"/>
      <c r="F2434" s="16">
        <f>IF(OR(B2434="",D2434=""),"",IFERROR(INDEX('Tabla XP'!$B$2:$B$12,MATCH(D2434,'Tabla XP'!$A$2:$A$12,0))*IF(E2434="",1,E2434),0))</f>
        <v/>
      </c>
      <c r="G2434" s="19" t="n"/>
      <c r="H2434" s="19" t="n"/>
    </row>
    <row r="2435">
      <c r="A2435" s="22" t="n"/>
      <c r="B2435" s="19" t="n"/>
      <c r="C2435" s="18">
        <f>IF(B2435="","",IFERROR(INDEX(Jugadores!$C$2:$C$501,MATCH(B2435,Jugadores!$A$2:$A$501,0)),"⚠ ID no existe"))</f>
        <v/>
      </c>
      <c r="D2435" s="19" t="n"/>
      <c r="E2435" s="19" t="n"/>
      <c r="F2435" s="16">
        <f>IF(OR(B2435="",D2435=""),"",IFERROR(INDEX('Tabla XP'!$B$2:$B$12,MATCH(D2435,'Tabla XP'!$A$2:$A$12,0))*IF(E2435="",1,E2435),0))</f>
        <v/>
      </c>
      <c r="G2435" s="19" t="n"/>
      <c r="H2435" s="19" t="n"/>
    </row>
    <row r="2436">
      <c r="A2436" s="22" t="n"/>
      <c r="B2436" s="19" t="n"/>
      <c r="C2436" s="18">
        <f>IF(B2436="","",IFERROR(INDEX(Jugadores!$C$2:$C$501,MATCH(B2436,Jugadores!$A$2:$A$501,0)),"⚠ ID no existe"))</f>
        <v/>
      </c>
      <c r="D2436" s="19" t="n"/>
      <c r="E2436" s="19" t="n"/>
      <c r="F2436" s="16">
        <f>IF(OR(B2436="",D2436=""),"",IFERROR(INDEX('Tabla XP'!$B$2:$B$12,MATCH(D2436,'Tabla XP'!$A$2:$A$12,0))*IF(E2436="",1,E2436),0))</f>
        <v/>
      </c>
      <c r="G2436" s="19" t="n"/>
      <c r="H2436" s="19" t="n"/>
    </row>
    <row r="2437">
      <c r="A2437" s="22" t="n"/>
      <c r="B2437" s="19" t="n"/>
      <c r="C2437" s="18">
        <f>IF(B2437="","",IFERROR(INDEX(Jugadores!$C$2:$C$501,MATCH(B2437,Jugadores!$A$2:$A$501,0)),"⚠ ID no existe"))</f>
        <v/>
      </c>
      <c r="D2437" s="19" t="n"/>
      <c r="E2437" s="19" t="n"/>
      <c r="F2437" s="16">
        <f>IF(OR(B2437="",D2437=""),"",IFERROR(INDEX('Tabla XP'!$B$2:$B$12,MATCH(D2437,'Tabla XP'!$A$2:$A$12,0))*IF(E2437="",1,E2437),0))</f>
        <v/>
      </c>
      <c r="G2437" s="19" t="n"/>
      <c r="H2437" s="19" t="n"/>
    </row>
    <row r="2438">
      <c r="A2438" s="22" t="n"/>
      <c r="B2438" s="19" t="n"/>
      <c r="C2438" s="18">
        <f>IF(B2438="","",IFERROR(INDEX(Jugadores!$C$2:$C$501,MATCH(B2438,Jugadores!$A$2:$A$501,0)),"⚠ ID no existe"))</f>
        <v/>
      </c>
      <c r="D2438" s="19" t="n"/>
      <c r="E2438" s="19" t="n"/>
      <c r="F2438" s="16">
        <f>IF(OR(B2438="",D2438=""),"",IFERROR(INDEX('Tabla XP'!$B$2:$B$12,MATCH(D2438,'Tabla XP'!$A$2:$A$12,0))*IF(E2438="",1,E2438),0))</f>
        <v/>
      </c>
      <c r="G2438" s="19" t="n"/>
      <c r="H2438" s="19" t="n"/>
    </row>
    <row r="2439">
      <c r="A2439" s="22" t="n"/>
      <c r="B2439" s="19" t="n"/>
      <c r="C2439" s="18">
        <f>IF(B2439="","",IFERROR(INDEX(Jugadores!$C$2:$C$501,MATCH(B2439,Jugadores!$A$2:$A$501,0)),"⚠ ID no existe"))</f>
        <v/>
      </c>
      <c r="D2439" s="19" t="n"/>
      <c r="E2439" s="19" t="n"/>
      <c r="F2439" s="16">
        <f>IF(OR(B2439="",D2439=""),"",IFERROR(INDEX('Tabla XP'!$B$2:$B$12,MATCH(D2439,'Tabla XP'!$A$2:$A$12,0))*IF(E2439="",1,E2439),0))</f>
        <v/>
      </c>
      <c r="G2439" s="19" t="n"/>
      <c r="H2439" s="19" t="n"/>
    </row>
    <row r="2440">
      <c r="A2440" s="22" t="n"/>
      <c r="B2440" s="19" t="n"/>
      <c r="C2440" s="18">
        <f>IF(B2440="","",IFERROR(INDEX(Jugadores!$C$2:$C$501,MATCH(B2440,Jugadores!$A$2:$A$501,0)),"⚠ ID no existe"))</f>
        <v/>
      </c>
      <c r="D2440" s="19" t="n"/>
      <c r="E2440" s="19" t="n"/>
      <c r="F2440" s="16">
        <f>IF(OR(B2440="",D2440=""),"",IFERROR(INDEX('Tabla XP'!$B$2:$B$12,MATCH(D2440,'Tabla XP'!$A$2:$A$12,0))*IF(E2440="",1,E2440),0))</f>
        <v/>
      </c>
      <c r="G2440" s="19" t="n"/>
      <c r="H2440" s="19" t="n"/>
    </row>
    <row r="2441">
      <c r="A2441" s="22" t="n"/>
      <c r="B2441" s="19" t="n"/>
      <c r="C2441" s="18">
        <f>IF(B2441="","",IFERROR(INDEX(Jugadores!$C$2:$C$501,MATCH(B2441,Jugadores!$A$2:$A$501,0)),"⚠ ID no existe"))</f>
        <v/>
      </c>
      <c r="D2441" s="19" t="n"/>
      <c r="E2441" s="19" t="n"/>
      <c r="F2441" s="16">
        <f>IF(OR(B2441="",D2441=""),"",IFERROR(INDEX('Tabla XP'!$B$2:$B$12,MATCH(D2441,'Tabla XP'!$A$2:$A$12,0))*IF(E2441="",1,E2441),0))</f>
        <v/>
      </c>
      <c r="G2441" s="19" t="n"/>
      <c r="H2441" s="19" t="n"/>
    </row>
    <row r="2442">
      <c r="A2442" s="22" t="n"/>
      <c r="B2442" s="19" t="n"/>
      <c r="C2442" s="18">
        <f>IF(B2442="","",IFERROR(INDEX(Jugadores!$C$2:$C$501,MATCH(B2442,Jugadores!$A$2:$A$501,0)),"⚠ ID no existe"))</f>
        <v/>
      </c>
      <c r="D2442" s="19" t="n"/>
      <c r="E2442" s="19" t="n"/>
      <c r="F2442" s="16">
        <f>IF(OR(B2442="",D2442=""),"",IFERROR(INDEX('Tabla XP'!$B$2:$B$12,MATCH(D2442,'Tabla XP'!$A$2:$A$12,0))*IF(E2442="",1,E2442),0))</f>
        <v/>
      </c>
      <c r="G2442" s="19" t="n"/>
      <c r="H2442" s="19" t="n"/>
    </row>
    <row r="2443">
      <c r="A2443" s="22" t="n"/>
      <c r="B2443" s="19" t="n"/>
      <c r="C2443" s="18">
        <f>IF(B2443="","",IFERROR(INDEX(Jugadores!$C$2:$C$501,MATCH(B2443,Jugadores!$A$2:$A$501,0)),"⚠ ID no existe"))</f>
        <v/>
      </c>
      <c r="D2443" s="19" t="n"/>
      <c r="E2443" s="19" t="n"/>
      <c r="F2443" s="16">
        <f>IF(OR(B2443="",D2443=""),"",IFERROR(INDEX('Tabla XP'!$B$2:$B$12,MATCH(D2443,'Tabla XP'!$A$2:$A$12,0))*IF(E2443="",1,E2443),0))</f>
        <v/>
      </c>
      <c r="G2443" s="19" t="n"/>
      <c r="H2443" s="19" t="n"/>
    </row>
    <row r="2444">
      <c r="A2444" s="22" t="n"/>
      <c r="B2444" s="19" t="n"/>
      <c r="C2444" s="18">
        <f>IF(B2444="","",IFERROR(INDEX(Jugadores!$C$2:$C$501,MATCH(B2444,Jugadores!$A$2:$A$501,0)),"⚠ ID no existe"))</f>
        <v/>
      </c>
      <c r="D2444" s="19" t="n"/>
      <c r="E2444" s="19" t="n"/>
      <c r="F2444" s="16">
        <f>IF(OR(B2444="",D2444=""),"",IFERROR(INDEX('Tabla XP'!$B$2:$B$12,MATCH(D2444,'Tabla XP'!$A$2:$A$12,0))*IF(E2444="",1,E2444),0))</f>
        <v/>
      </c>
      <c r="G2444" s="19" t="n"/>
      <c r="H2444" s="19" t="n"/>
    </row>
    <row r="2445">
      <c r="A2445" s="22" t="n"/>
      <c r="B2445" s="19" t="n"/>
      <c r="C2445" s="18">
        <f>IF(B2445="","",IFERROR(INDEX(Jugadores!$C$2:$C$501,MATCH(B2445,Jugadores!$A$2:$A$501,0)),"⚠ ID no existe"))</f>
        <v/>
      </c>
      <c r="D2445" s="19" t="n"/>
      <c r="E2445" s="19" t="n"/>
      <c r="F2445" s="16">
        <f>IF(OR(B2445="",D2445=""),"",IFERROR(INDEX('Tabla XP'!$B$2:$B$12,MATCH(D2445,'Tabla XP'!$A$2:$A$12,0))*IF(E2445="",1,E2445),0))</f>
        <v/>
      </c>
      <c r="G2445" s="19" t="n"/>
      <c r="H2445" s="19" t="n"/>
    </row>
    <row r="2446">
      <c r="A2446" s="22" t="n"/>
      <c r="B2446" s="19" t="n"/>
      <c r="C2446" s="18">
        <f>IF(B2446="","",IFERROR(INDEX(Jugadores!$C$2:$C$501,MATCH(B2446,Jugadores!$A$2:$A$501,0)),"⚠ ID no existe"))</f>
        <v/>
      </c>
      <c r="D2446" s="19" t="n"/>
      <c r="E2446" s="19" t="n"/>
      <c r="F2446" s="16">
        <f>IF(OR(B2446="",D2446=""),"",IFERROR(INDEX('Tabla XP'!$B$2:$B$12,MATCH(D2446,'Tabla XP'!$A$2:$A$12,0))*IF(E2446="",1,E2446),0))</f>
        <v/>
      </c>
      <c r="G2446" s="19" t="n"/>
      <c r="H2446" s="19" t="n"/>
    </row>
    <row r="2447">
      <c r="A2447" s="22" t="n"/>
      <c r="B2447" s="19" t="n"/>
      <c r="C2447" s="18">
        <f>IF(B2447="","",IFERROR(INDEX(Jugadores!$C$2:$C$501,MATCH(B2447,Jugadores!$A$2:$A$501,0)),"⚠ ID no existe"))</f>
        <v/>
      </c>
      <c r="D2447" s="19" t="n"/>
      <c r="E2447" s="19" t="n"/>
      <c r="F2447" s="16">
        <f>IF(OR(B2447="",D2447=""),"",IFERROR(INDEX('Tabla XP'!$B$2:$B$12,MATCH(D2447,'Tabla XP'!$A$2:$A$12,0))*IF(E2447="",1,E2447),0))</f>
        <v/>
      </c>
      <c r="G2447" s="19" t="n"/>
      <c r="H2447" s="19" t="n"/>
    </row>
    <row r="2448">
      <c r="A2448" s="22" t="n"/>
      <c r="B2448" s="19" t="n"/>
      <c r="C2448" s="18">
        <f>IF(B2448="","",IFERROR(INDEX(Jugadores!$C$2:$C$501,MATCH(B2448,Jugadores!$A$2:$A$501,0)),"⚠ ID no existe"))</f>
        <v/>
      </c>
      <c r="D2448" s="19" t="n"/>
      <c r="E2448" s="19" t="n"/>
      <c r="F2448" s="16">
        <f>IF(OR(B2448="",D2448=""),"",IFERROR(INDEX('Tabla XP'!$B$2:$B$12,MATCH(D2448,'Tabla XP'!$A$2:$A$12,0))*IF(E2448="",1,E2448),0))</f>
        <v/>
      </c>
      <c r="G2448" s="19" t="n"/>
      <c r="H2448" s="19" t="n"/>
    </row>
    <row r="2449">
      <c r="A2449" s="22" t="n"/>
      <c r="B2449" s="19" t="n"/>
      <c r="C2449" s="18">
        <f>IF(B2449="","",IFERROR(INDEX(Jugadores!$C$2:$C$501,MATCH(B2449,Jugadores!$A$2:$A$501,0)),"⚠ ID no existe"))</f>
        <v/>
      </c>
      <c r="D2449" s="19" t="n"/>
      <c r="E2449" s="19" t="n"/>
      <c r="F2449" s="16">
        <f>IF(OR(B2449="",D2449=""),"",IFERROR(INDEX('Tabla XP'!$B$2:$B$12,MATCH(D2449,'Tabla XP'!$A$2:$A$12,0))*IF(E2449="",1,E2449),0))</f>
        <v/>
      </c>
      <c r="G2449" s="19" t="n"/>
      <c r="H2449" s="19" t="n"/>
    </row>
    <row r="2450">
      <c r="A2450" s="22" t="n"/>
      <c r="B2450" s="19" t="n"/>
      <c r="C2450" s="18">
        <f>IF(B2450="","",IFERROR(INDEX(Jugadores!$C$2:$C$501,MATCH(B2450,Jugadores!$A$2:$A$501,0)),"⚠ ID no existe"))</f>
        <v/>
      </c>
      <c r="D2450" s="19" t="n"/>
      <c r="E2450" s="19" t="n"/>
      <c r="F2450" s="16">
        <f>IF(OR(B2450="",D2450=""),"",IFERROR(INDEX('Tabla XP'!$B$2:$B$12,MATCH(D2450,'Tabla XP'!$A$2:$A$12,0))*IF(E2450="",1,E2450),0))</f>
        <v/>
      </c>
      <c r="G2450" s="19" t="n"/>
      <c r="H2450" s="19" t="n"/>
    </row>
    <row r="2451">
      <c r="A2451" s="22" t="n"/>
      <c r="B2451" s="19" t="n"/>
      <c r="C2451" s="18">
        <f>IF(B2451="","",IFERROR(INDEX(Jugadores!$C$2:$C$501,MATCH(B2451,Jugadores!$A$2:$A$501,0)),"⚠ ID no existe"))</f>
        <v/>
      </c>
      <c r="D2451" s="19" t="n"/>
      <c r="E2451" s="19" t="n"/>
      <c r="F2451" s="16">
        <f>IF(OR(B2451="",D2451=""),"",IFERROR(INDEX('Tabla XP'!$B$2:$B$12,MATCH(D2451,'Tabla XP'!$A$2:$A$12,0))*IF(E2451="",1,E2451),0))</f>
        <v/>
      </c>
      <c r="G2451" s="19" t="n"/>
      <c r="H2451" s="19" t="n"/>
    </row>
    <row r="2452">
      <c r="A2452" s="22" t="n"/>
      <c r="B2452" s="19" t="n"/>
      <c r="C2452" s="18">
        <f>IF(B2452="","",IFERROR(INDEX(Jugadores!$C$2:$C$501,MATCH(B2452,Jugadores!$A$2:$A$501,0)),"⚠ ID no existe"))</f>
        <v/>
      </c>
      <c r="D2452" s="19" t="n"/>
      <c r="E2452" s="19" t="n"/>
      <c r="F2452" s="16">
        <f>IF(OR(B2452="",D2452=""),"",IFERROR(INDEX('Tabla XP'!$B$2:$B$12,MATCH(D2452,'Tabla XP'!$A$2:$A$12,0))*IF(E2452="",1,E2452),0))</f>
        <v/>
      </c>
      <c r="G2452" s="19" t="n"/>
      <c r="H2452" s="19" t="n"/>
    </row>
    <row r="2453">
      <c r="A2453" s="22" t="n"/>
      <c r="B2453" s="19" t="n"/>
      <c r="C2453" s="18">
        <f>IF(B2453="","",IFERROR(INDEX(Jugadores!$C$2:$C$501,MATCH(B2453,Jugadores!$A$2:$A$501,0)),"⚠ ID no existe"))</f>
        <v/>
      </c>
      <c r="D2453" s="19" t="n"/>
      <c r="E2453" s="19" t="n"/>
      <c r="F2453" s="16">
        <f>IF(OR(B2453="",D2453=""),"",IFERROR(INDEX('Tabla XP'!$B$2:$B$12,MATCH(D2453,'Tabla XP'!$A$2:$A$12,0))*IF(E2453="",1,E2453),0))</f>
        <v/>
      </c>
      <c r="G2453" s="19" t="n"/>
      <c r="H2453" s="19" t="n"/>
    </row>
    <row r="2454">
      <c r="A2454" s="22" t="n"/>
      <c r="B2454" s="19" t="n"/>
      <c r="C2454" s="18">
        <f>IF(B2454="","",IFERROR(INDEX(Jugadores!$C$2:$C$501,MATCH(B2454,Jugadores!$A$2:$A$501,0)),"⚠ ID no existe"))</f>
        <v/>
      </c>
      <c r="D2454" s="19" t="n"/>
      <c r="E2454" s="19" t="n"/>
      <c r="F2454" s="16">
        <f>IF(OR(B2454="",D2454=""),"",IFERROR(INDEX('Tabla XP'!$B$2:$B$12,MATCH(D2454,'Tabla XP'!$A$2:$A$12,0))*IF(E2454="",1,E2454),0))</f>
        <v/>
      </c>
      <c r="G2454" s="19" t="n"/>
      <c r="H2454" s="19" t="n"/>
    </row>
    <row r="2455">
      <c r="A2455" s="22" t="n"/>
      <c r="B2455" s="19" t="n"/>
      <c r="C2455" s="18">
        <f>IF(B2455="","",IFERROR(INDEX(Jugadores!$C$2:$C$501,MATCH(B2455,Jugadores!$A$2:$A$501,0)),"⚠ ID no existe"))</f>
        <v/>
      </c>
      <c r="D2455" s="19" t="n"/>
      <c r="E2455" s="19" t="n"/>
      <c r="F2455" s="16">
        <f>IF(OR(B2455="",D2455=""),"",IFERROR(INDEX('Tabla XP'!$B$2:$B$12,MATCH(D2455,'Tabla XP'!$A$2:$A$12,0))*IF(E2455="",1,E2455),0))</f>
        <v/>
      </c>
      <c r="G2455" s="19" t="n"/>
      <c r="H2455" s="19" t="n"/>
    </row>
    <row r="2456">
      <c r="A2456" s="22" t="n"/>
      <c r="B2456" s="19" t="n"/>
      <c r="C2456" s="18">
        <f>IF(B2456="","",IFERROR(INDEX(Jugadores!$C$2:$C$501,MATCH(B2456,Jugadores!$A$2:$A$501,0)),"⚠ ID no existe"))</f>
        <v/>
      </c>
      <c r="D2456" s="19" t="n"/>
      <c r="E2456" s="19" t="n"/>
      <c r="F2456" s="16">
        <f>IF(OR(B2456="",D2456=""),"",IFERROR(INDEX('Tabla XP'!$B$2:$B$12,MATCH(D2456,'Tabla XP'!$A$2:$A$12,0))*IF(E2456="",1,E2456),0))</f>
        <v/>
      </c>
      <c r="G2456" s="19" t="n"/>
      <c r="H2456" s="19" t="n"/>
    </row>
    <row r="2457">
      <c r="A2457" s="22" t="n"/>
      <c r="B2457" s="19" t="n"/>
      <c r="C2457" s="18">
        <f>IF(B2457="","",IFERROR(INDEX(Jugadores!$C$2:$C$501,MATCH(B2457,Jugadores!$A$2:$A$501,0)),"⚠ ID no existe"))</f>
        <v/>
      </c>
      <c r="D2457" s="19" t="n"/>
      <c r="E2457" s="19" t="n"/>
      <c r="F2457" s="16">
        <f>IF(OR(B2457="",D2457=""),"",IFERROR(INDEX('Tabla XP'!$B$2:$B$12,MATCH(D2457,'Tabla XP'!$A$2:$A$12,0))*IF(E2457="",1,E2457),0))</f>
        <v/>
      </c>
      <c r="G2457" s="19" t="n"/>
      <c r="H2457" s="19" t="n"/>
    </row>
    <row r="2458">
      <c r="A2458" s="22" t="n"/>
      <c r="B2458" s="19" t="n"/>
      <c r="C2458" s="18">
        <f>IF(B2458="","",IFERROR(INDEX(Jugadores!$C$2:$C$501,MATCH(B2458,Jugadores!$A$2:$A$501,0)),"⚠ ID no existe"))</f>
        <v/>
      </c>
      <c r="D2458" s="19" t="n"/>
      <c r="E2458" s="19" t="n"/>
      <c r="F2458" s="16">
        <f>IF(OR(B2458="",D2458=""),"",IFERROR(INDEX('Tabla XP'!$B$2:$B$12,MATCH(D2458,'Tabla XP'!$A$2:$A$12,0))*IF(E2458="",1,E2458),0))</f>
        <v/>
      </c>
      <c r="G2458" s="19" t="n"/>
      <c r="H2458" s="19" t="n"/>
    </row>
    <row r="2459">
      <c r="A2459" s="22" t="n"/>
      <c r="B2459" s="19" t="n"/>
      <c r="C2459" s="18">
        <f>IF(B2459="","",IFERROR(INDEX(Jugadores!$C$2:$C$501,MATCH(B2459,Jugadores!$A$2:$A$501,0)),"⚠ ID no existe"))</f>
        <v/>
      </c>
      <c r="D2459" s="19" t="n"/>
      <c r="E2459" s="19" t="n"/>
      <c r="F2459" s="16">
        <f>IF(OR(B2459="",D2459=""),"",IFERROR(INDEX('Tabla XP'!$B$2:$B$12,MATCH(D2459,'Tabla XP'!$A$2:$A$12,0))*IF(E2459="",1,E2459),0))</f>
        <v/>
      </c>
      <c r="G2459" s="19" t="n"/>
      <c r="H2459" s="19" t="n"/>
    </row>
    <row r="2460">
      <c r="A2460" s="22" t="n"/>
      <c r="B2460" s="19" t="n"/>
      <c r="C2460" s="18">
        <f>IF(B2460="","",IFERROR(INDEX(Jugadores!$C$2:$C$501,MATCH(B2460,Jugadores!$A$2:$A$501,0)),"⚠ ID no existe"))</f>
        <v/>
      </c>
      <c r="D2460" s="19" t="n"/>
      <c r="E2460" s="19" t="n"/>
      <c r="F2460" s="16">
        <f>IF(OR(B2460="",D2460=""),"",IFERROR(INDEX('Tabla XP'!$B$2:$B$12,MATCH(D2460,'Tabla XP'!$A$2:$A$12,0))*IF(E2460="",1,E2460),0))</f>
        <v/>
      </c>
      <c r="G2460" s="19" t="n"/>
      <c r="H2460" s="19" t="n"/>
    </row>
    <row r="2461">
      <c r="A2461" s="22" t="n"/>
      <c r="B2461" s="19" t="n"/>
      <c r="C2461" s="18">
        <f>IF(B2461="","",IFERROR(INDEX(Jugadores!$C$2:$C$501,MATCH(B2461,Jugadores!$A$2:$A$501,0)),"⚠ ID no existe"))</f>
        <v/>
      </c>
      <c r="D2461" s="19" t="n"/>
      <c r="E2461" s="19" t="n"/>
      <c r="F2461" s="16">
        <f>IF(OR(B2461="",D2461=""),"",IFERROR(INDEX('Tabla XP'!$B$2:$B$12,MATCH(D2461,'Tabla XP'!$A$2:$A$12,0))*IF(E2461="",1,E2461),0))</f>
        <v/>
      </c>
      <c r="G2461" s="19" t="n"/>
      <c r="H2461" s="19" t="n"/>
    </row>
    <row r="2462">
      <c r="A2462" s="22" t="n"/>
      <c r="B2462" s="19" t="n"/>
      <c r="C2462" s="18">
        <f>IF(B2462="","",IFERROR(INDEX(Jugadores!$C$2:$C$501,MATCH(B2462,Jugadores!$A$2:$A$501,0)),"⚠ ID no existe"))</f>
        <v/>
      </c>
      <c r="D2462" s="19" t="n"/>
      <c r="E2462" s="19" t="n"/>
      <c r="F2462" s="16">
        <f>IF(OR(B2462="",D2462=""),"",IFERROR(INDEX('Tabla XP'!$B$2:$B$12,MATCH(D2462,'Tabla XP'!$A$2:$A$12,0))*IF(E2462="",1,E2462),0))</f>
        <v/>
      </c>
      <c r="G2462" s="19" t="n"/>
      <c r="H2462" s="19" t="n"/>
    </row>
    <row r="2463">
      <c r="A2463" s="22" t="n"/>
      <c r="B2463" s="19" t="n"/>
      <c r="C2463" s="18">
        <f>IF(B2463="","",IFERROR(INDEX(Jugadores!$C$2:$C$501,MATCH(B2463,Jugadores!$A$2:$A$501,0)),"⚠ ID no existe"))</f>
        <v/>
      </c>
      <c r="D2463" s="19" t="n"/>
      <c r="E2463" s="19" t="n"/>
      <c r="F2463" s="16">
        <f>IF(OR(B2463="",D2463=""),"",IFERROR(INDEX('Tabla XP'!$B$2:$B$12,MATCH(D2463,'Tabla XP'!$A$2:$A$12,0))*IF(E2463="",1,E2463),0))</f>
        <v/>
      </c>
      <c r="G2463" s="19" t="n"/>
      <c r="H2463" s="19" t="n"/>
    </row>
    <row r="2464">
      <c r="A2464" s="22" t="n"/>
      <c r="B2464" s="19" t="n"/>
      <c r="C2464" s="18">
        <f>IF(B2464="","",IFERROR(INDEX(Jugadores!$C$2:$C$501,MATCH(B2464,Jugadores!$A$2:$A$501,0)),"⚠ ID no existe"))</f>
        <v/>
      </c>
      <c r="D2464" s="19" t="n"/>
      <c r="E2464" s="19" t="n"/>
      <c r="F2464" s="16">
        <f>IF(OR(B2464="",D2464=""),"",IFERROR(INDEX('Tabla XP'!$B$2:$B$12,MATCH(D2464,'Tabla XP'!$A$2:$A$12,0))*IF(E2464="",1,E2464),0))</f>
        <v/>
      </c>
      <c r="G2464" s="19" t="n"/>
      <c r="H2464" s="19" t="n"/>
    </row>
    <row r="2465">
      <c r="A2465" s="22" t="n"/>
      <c r="B2465" s="19" t="n"/>
      <c r="C2465" s="18">
        <f>IF(B2465="","",IFERROR(INDEX(Jugadores!$C$2:$C$501,MATCH(B2465,Jugadores!$A$2:$A$501,0)),"⚠ ID no existe"))</f>
        <v/>
      </c>
      <c r="D2465" s="19" t="n"/>
      <c r="E2465" s="19" t="n"/>
      <c r="F2465" s="16">
        <f>IF(OR(B2465="",D2465=""),"",IFERROR(INDEX('Tabla XP'!$B$2:$B$12,MATCH(D2465,'Tabla XP'!$A$2:$A$12,0))*IF(E2465="",1,E2465),0))</f>
        <v/>
      </c>
      <c r="G2465" s="19" t="n"/>
      <c r="H2465" s="19" t="n"/>
    </row>
    <row r="2466">
      <c r="A2466" s="22" t="n"/>
      <c r="B2466" s="19" t="n"/>
      <c r="C2466" s="18">
        <f>IF(B2466="","",IFERROR(INDEX(Jugadores!$C$2:$C$501,MATCH(B2466,Jugadores!$A$2:$A$501,0)),"⚠ ID no existe"))</f>
        <v/>
      </c>
      <c r="D2466" s="19" t="n"/>
      <c r="E2466" s="19" t="n"/>
      <c r="F2466" s="16">
        <f>IF(OR(B2466="",D2466=""),"",IFERROR(INDEX('Tabla XP'!$B$2:$B$12,MATCH(D2466,'Tabla XP'!$A$2:$A$12,0))*IF(E2466="",1,E2466),0))</f>
        <v/>
      </c>
      <c r="G2466" s="19" t="n"/>
      <c r="H2466" s="19" t="n"/>
    </row>
    <row r="2467">
      <c r="A2467" s="22" t="n"/>
      <c r="B2467" s="19" t="n"/>
      <c r="C2467" s="18">
        <f>IF(B2467="","",IFERROR(INDEX(Jugadores!$C$2:$C$501,MATCH(B2467,Jugadores!$A$2:$A$501,0)),"⚠ ID no existe"))</f>
        <v/>
      </c>
      <c r="D2467" s="19" t="n"/>
      <c r="E2467" s="19" t="n"/>
      <c r="F2467" s="16">
        <f>IF(OR(B2467="",D2467=""),"",IFERROR(INDEX('Tabla XP'!$B$2:$B$12,MATCH(D2467,'Tabla XP'!$A$2:$A$12,0))*IF(E2467="",1,E2467),0))</f>
        <v/>
      </c>
      <c r="G2467" s="19" t="n"/>
      <c r="H2467" s="19" t="n"/>
    </row>
    <row r="2468">
      <c r="A2468" s="22" t="n"/>
      <c r="B2468" s="19" t="n"/>
      <c r="C2468" s="18">
        <f>IF(B2468="","",IFERROR(INDEX(Jugadores!$C$2:$C$501,MATCH(B2468,Jugadores!$A$2:$A$501,0)),"⚠ ID no existe"))</f>
        <v/>
      </c>
      <c r="D2468" s="19" t="n"/>
      <c r="E2468" s="19" t="n"/>
      <c r="F2468" s="16">
        <f>IF(OR(B2468="",D2468=""),"",IFERROR(INDEX('Tabla XP'!$B$2:$B$12,MATCH(D2468,'Tabla XP'!$A$2:$A$12,0))*IF(E2468="",1,E2468),0))</f>
        <v/>
      </c>
      <c r="G2468" s="19" t="n"/>
      <c r="H2468" s="19" t="n"/>
    </row>
    <row r="2469">
      <c r="A2469" s="22" t="n"/>
      <c r="B2469" s="19" t="n"/>
      <c r="C2469" s="18">
        <f>IF(B2469="","",IFERROR(INDEX(Jugadores!$C$2:$C$501,MATCH(B2469,Jugadores!$A$2:$A$501,0)),"⚠ ID no existe"))</f>
        <v/>
      </c>
      <c r="D2469" s="19" t="n"/>
      <c r="E2469" s="19" t="n"/>
      <c r="F2469" s="16">
        <f>IF(OR(B2469="",D2469=""),"",IFERROR(INDEX('Tabla XP'!$B$2:$B$12,MATCH(D2469,'Tabla XP'!$A$2:$A$12,0))*IF(E2469="",1,E2469),0))</f>
        <v/>
      </c>
      <c r="G2469" s="19" t="n"/>
      <c r="H2469" s="19" t="n"/>
    </row>
    <row r="2470">
      <c r="A2470" s="22" t="n"/>
      <c r="B2470" s="19" t="n"/>
      <c r="C2470" s="18">
        <f>IF(B2470="","",IFERROR(INDEX(Jugadores!$C$2:$C$501,MATCH(B2470,Jugadores!$A$2:$A$501,0)),"⚠ ID no existe"))</f>
        <v/>
      </c>
      <c r="D2470" s="19" t="n"/>
      <c r="E2470" s="19" t="n"/>
      <c r="F2470" s="16">
        <f>IF(OR(B2470="",D2470=""),"",IFERROR(INDEX('Tabla XP'!$B$2:$B$12,MATCH(D2470,'Tabla XP'!$A$2:$A$12,0))*IF(E2470="",1,E2470),0))</f>
        <v/>
      </c>
      <c r="G2470" s="19" t="n"/>
      <c r="H2470" s="19" t="n"/>
    </row>
    <row r="2471">
      <c r="A2471" s="22" t="n"/>
      <c r="B2471" s="19" t="n"/>
      <c r="C2471" s="18">
        <f>IF(B2471="","",IFERROR(INDEX(Jugadores!$C$2:$C$501,MATCH(B2471,Jugadores!$A$2:$A$501,0)),"⚠ ID no existe"))</f>
        <v/>
      </c>
      <c r="D2471" s="19" t="n"/>
      <c r="E2471" s="19" t="n"/>
      <c r="F2471" s="16">
        <f>IF(OR(B2471="",D2471=""),"",IFERROR(INDEX('Tabla XP'!$B$2:$B$12,MATCH(D2471,'Tabla XP'!$A$2:$A$12,0))*IF(E2471="",1,E2471),0))</f>
        <v/>
      </c>
      <c r="G2471" s="19" t="n"/>
      <c r="H2471" s="19" t="n"/>
    </row>
    <row r="2472">
      <c r="A2472" s="22" t="n"/>
      <c r="B2472" s="19" t="n"/>
      <c r="C2472" s="18">
        <f>IF(B2472="","",IFERROR(INDEX(Jugadores!$C$2:$C$501,MATCH(B2472,Jugadores!$A$2:$A$501,0)),"⚠ ID no existe"))</f>
        <v/>
      </c>
      <c r="D2472" s="19" t="n"/>
      <c r="E2472" s="19" t="n"/>
      <c r="F2472" s="16">
        <f>IF(OR(B2472="",D2472=""),"",IFERROR(INDEX('Tabla XP'!$B$2:$B$12,MATCH(D2472,'Tabla XP'!$A$2:$A$12,0))*IF(E2472="",1,E2472),0))</f>
        <v/>
      </c>
      <c r="G2472" s="19" t="n"/>
      <c r="H2472" s="19" t="n"/>
    </row>
    <row r="2473">
      <c r="A2473" s="22" t="n"/>
      <c r="B2473" s="19" t="n"/>
      <c r="C2473" s="18">
        <f>IF(B2473="","",IFERROR(INDEX(Jugadores!$C$2:$C$501,MATCH(B2473,Jugadores!$A$2:$A$501,0)),"⚠ ID no existe"))</f>
        <v/>
      </c>
      <c r="D2473" s="19" t="n"/>
      <c r="E2473" s="19" t="n"/>
      <c r="F2473" s="16">
        <f>IF(OR(B2473="",D2473=""),"",IFERROR(INDEX('Tabla XP'!$B$2:$B$12,MATCH(D2473,'Tabla XP'!$A$2:$A$12,0))*IF(E2473="",1,E2473),0))</f>
        <v/>
      </c>
      <c r="G2473" s="19" t="n"/>
      <c r="H2473" s="19" t="n"/>
    </row>
    <row r="2474">
      <c r="A2474" s="22" t="n"/>
      <c r="B2474" s="19" t="n"/>
      <c r="C2474" s="18">
        <f>IF(B2474="","",IFERROR(INDEX(Jugadores!$C$2:$C$501,MATCH(B2474,Jugadores!$A$2:$A$501,0)),"⚠ ID no existe"))</f>
        <v/>
      </c>
      <c r="D2474" s="19" t="n"/>
      <c r="E2474" s="19" t="n"/>
      <c r="F2474" s="16">
        <f>IF(OR(B2474="",D2474=""),"",IFERROR(INDEX('Tabla XP'!$B$2:$B$12,MATCH(D2474,'Tabla XP'!$A$2:$A$12,0))*IF(E2474="",1,E2474),0))</f>
        <v/>
      </c>
      <c r="G2474" s="19" t="n"/>
      <c r="H2474" s="19" t="n"/>
    </row>
    <row r="2475">
      <c r="A2475" s="22" t="n"/>
      <c r="B2475" s="19" t="n"/>
      <c r="C2475" s="18">
        <f>IF(B2475="","",IFERROR(INDEX(Jugadores!$C$2:$C$501,MATCH(B2475,Jugadores!$A$2:$A$501,0)),"⚠ ID no existe"))</f>
        <v/>
      </c>
      <c r="D2475" s="19" t="n"/>
      <c r="E2475" s="19" t="n"/>
      <c r="F2475" s="16">
        <f>IF(OR(B2475="",D2475=""),"",IFERROR(INDEX('Tabla XP'!$B$2:$B$12,MATCH(D2475,'Tabla XP'!$A$2:$A$12,0))*IF(E2475="",1,E2475),0))</f>
        <v/>
      </c>
      <c r="G2475" s="19" t="n"/>
      <c r="H2475" s="19" t="n"/>
    </row>
    <row r="2476">
      <c r="A2476" s="22" t="n"/>
      <c r="B2476" s="19" t="n"/>
      <c r="C2476" s="18">
        <f>IF(B2476="","",IFERROR(INDEX(Jugadores!$C$2:$C$501,MATCH(B2476,Jugadores!$A$2:$A$501,0)),"⚠ ID no existe"))</f>
        <v/>
      </c>
      <c r="D2476" s="19" t="n"/>
      <c r="E2476" s="19" t="n"/>
      <c r="F2476" s="16">
        <f>IF(OR(B2476="",D2476=""),"",IFERROR(INDEX('Tabla XP'!$B$2:$B$12,MATCH(D2476,'Tabla XP'!$A$2:$A$12,0))*IF(E2476="",1,E2476),0))</f>
        <v/>
      </c>
      <c r="G2476" s="19" t="n"/>
      <c r="H2476" s="19" t="n"/>
    </row>
    <row r="2477">
      <c r="A2477" s="22" t="n"/>
      <c r="B2477" s="19" t="n"/>
      <c r="C2477" s="18">
        <f>IF(B2477="","",IFERROR(INDEX(Jugadores!$C$2:$C$501,MATCH(B2477,Jugadores!$A$2:$A$501,0)),"⚠ ID no existe"))</f>
        <v/>
      </c>
      <c r="D2477" s="19" t="n"/>
      <c r="E2477" s="19" t="n"/>
      <c r="F2477" s="16">
        <f>IF(OR(B2477="",D2477=""),"",IFERROR(INDEX('Tabla XP'!$B$2:$B$12,MATCH(D2477,'Tabla XP'!$A$2:$A$12,0))*IF(E2477="",1,E2477),0))</f>
        <v/>
      </c>
      <c r="G2477" s="19" t="n"/>
      <c r="H2477" s="19" t="n"/>
    </row>
    <row r="2478">
      <c r="A2478" s="22" t="n"/>
      <c r="B2478" s="19" t="n"/>
      <c r="C2478" s="18">
        <f>IF(B2478="","",IFERROR(INDEX(Jugadores!$C$2:$C$501,MATCH(B2478,Jugadores!$A$2:$A$501,0)),"⚠ ID no existe"))</f>
        <v/>
      </c>
      <c r="D2478" s="19" t="n"/>
      <c r="E2478" s="19" t="n"/>
      <c r="F2478" s="16">
        <f>IF(OR(B2478="",D2478=""),"",IFERROR(INDEX('Tabla XP'!$B$2:$B$12,MATCH(D2478,'Tabla XP'!$A$2:$A$12,0))*IF(E2478="",1,E2478),0))</f>
        <v/>
      </c>
      <c r="G2478" s="19" t="n"/>
      <c r="H2478" s="19" t="n"/>
    </row>
    <row r="2479">
      <c r="A2479" s="22" t="n"/>
      <c r="B2479" s="19" t="n"/>
      <c r="C2479" s="18">
        <f>IF(B2479="","",IFERROR(INDEX(Jugadores!$C$2:$C$501,MATCH(B2479,Jugadores!$A$2:$A$501,0)),"⚠ ID no existe"))</f>
        <v/>
      </c>
      <c r="D2479" s="19" t="n"/>
      <c r="E2479" s="19" t="n"/>
      <c r="F2479" s="16">
        <f>IF(OR(B2479="",D2479=""),"",IFERROR(INDEX('Tabla XP'!$B$2:$B$12,MATCH(D2479,'Tabla XP'!$A$2:$A$12,0))*IF(E2479="",1,E2479),0))</f>
        <v/>
      </c>
      <c r="G2479" s="19" t="n"/>
      <c r="H2479" s="19" t="n"/>
    </row>
    <row r="2480">
      <c r="A2480" s="22" t="n"/>
      <c r="B2480" s="19" t="n"/>
      <c r="C2480" s="18">
        <f>IF(B2480="","",IFERROR(INDEX(Jugadores!$C$2:$C$501,MATCH(B2480,Jugadores!$A$2:$A$501,0)),"⚠ ID no existe"))</f>
        <v/>
      </c>
      <c r="D2480" s="19" t="n"/>
      <c r="E2480" s="19" t="n"/>
      <c r="F2480" s="16">
        <f>IF(OR(B2480="",D2480=""),"",IFERROR(INDEX('Tabla XP'!$B$2:$B$12,MATCH(D2480,'Tabla XP'!$A$2:$A$12,0))*IF(E2480="",1,E2480),0))</f>
        <v/>
      </c>
      <c r="G2480" s="19" t="n"/>
      <c r="H2480" s="19" t="n"/>
    </row>
    <row r="2481">
      <c r="A2481" s="22" t="n"/>
      <c r="B2481" s="19" t="n"/>
      <c r="C2481" s="18">
        <f>IF(B2481="","",IFERROR(INDEX(Jugadores!$C$2:$C$501,MATCH(B2481,Jugadores!$A$2:$A$501,0)),"⚠ ID no existe"))</f>
        <v/>
      </c>
      <c r="D2481" s="19" t="n"/>
      <c r="E2481" s="19" t="n"/>
      <c r="F2481" s="16">
        <f>IF(OR(B2481="",D2481=""),"",IFERROR(INDEX('Tabla XP'!$B$2:$B$12,MATCH(D2481,'Tabla XP'!$A$2:$A$12,0))*IF(E2481="",1,E2481),0))</f>
        <v/>
      </c>
      <c r="G2481" s="19" t="n"/>
      <c r="H2481" s="19" t="n"/>
    </row>
    <row r="2482">
      <c r="A2482" s="22" t="n"/>
      <c r="B2482" s="19" t="n"/>
      <c r="C2482" s="18">
        <f>IF(B2482="","",IFERROR(INDEX(Jugadores!$C$2:$C$501,MATCH(B2482,Jugadores!$A$2:$A$501,0)),"⚠ ID no existe"))</f>
        <v/>
      </c>
      <c r="D2482" s="19" t="n"/>
      <c r="E2482" s="19" t="n"/>
      <c r="F2482" s="16">
        <f>IF(OR(B2482="",D2482=""),"",IFERROR(INDEX('Tabla XP'!$B$2:$B$12,MATCH(D2482,'Tabla XP'!$A$2:$A$12,0))*IF(E2482="",1,E2482),0))</f>
        <v/>
      </c>
      <c r="G2482" s="19" t="n"/>
      <c r="H2482" s="19" t="n"/>
    </row>
    <row r="2483">
      <c r="A2483" s="22" t="n"/>
      <c r="B2483" s="19" t="n"/>
      <c r="C2483" s="18">
        <f>IF(B2483="","",IFERROR(INDEX(Jugadores!$C$2:$C$501,MATCH(B2483,Jugadores!$A$2:$A$501,0)),"⚠ ID no existe"))</f>
        <v/>
      </c>
      <c r="D2483" s="19" t="n"/>
      <c r="E2483" s="19" t="n"/>
      <c r="F2483" s="16">
        <f>IF(OR(B2483="",D2483=""),"",IFERROR(INDEX('Tabla XP'!$B$2:$B$12,MATCH(D2483,'Tabla XP'!$A$2:$A$12,0))*IF(E2483="",1,E2483),0))</f>
        <v/>
      </c>
      <c r="G2483" s="19" t="n"/>
      <c r="H2483" s="19" t="n"/>
    </row>
    <row r="2484">
      <c r="A2484" s="22" t="n"/>
      <c r="B2484" s="19" t="n"/>
      <c r="C2484" s="18">
        <f>IF(B2484="","",IFERROR(INDEX(Jugadores!$C$2:$C$501,MATCH(B2484,Jugadores!$A$2:$A$501,0)),"⚠ ID no existe"))</f>
        <v/>
      </c>
      <c r="D2484" s="19" t="n"/>
      <c r="E2484" s="19" t="n"/>
      <c r="F2484" s="16">
        <f>IF(OR(B2484="",D2484=""),"",IFERROR(INDEX('Tabla XP'!$B$2:$B$12,MATCH(D2484,'Tabla XP'!$A$2:$A$12,0))*IF(E2484="",1,E2484),0))</f>
        <v/>
      </c>
      <c r="G2484" s="19" t="n"/>
      <c r="H2484" s="19" t="n"/>
    </row>
    <row r="2485">
      <c r="A2485" s="22" t="n"/>
      <c r="B2485" s="19" t="n"/>
      <c r="C2485" s="18">
        <f>IF(B2485="","",IFERROR(INDEX(Jugadores!$C$2:$C$501,MATCH(B2485,Jugadores!$A$2:$A$501,0)),"⚠ ID no existe"))</f>
        <v/>
      </c>
      <c r="D2485" s="19" t="n"/>
      <c r="E2485" s="19" t="n"/>
      <c r="F2485" s="16">
        <f>IF(OR(B2485="",D2485=""),"",IFERROR(INDEX('Tabla XP'!$B$2:$B$12,MATCH(D2485,'Tabla XP'!$A$2:$A$12,0))*IF(E2485="",1,E2485),0))</f>
        <v/>
      </c>
      <c r="G2485" s="19" t="n"/>
      <c r="H2485" s="19" t="n"/>
    </row>
    <row r="2486">
      <c r="A2486" s="22" t="n"/>
      <c r="B2486" s="19" t="n"/>
      <c r="C2486" s="18">
        <f>IF(B2486="","",IFERROR(INDEX(Jugadores!$C$2:$C$501,MATCH(B2486,Jugadores!$A$2:$A$501,0)),"⚠ ID no existe"))</f>
        <v/>
      </c>
      <c r="D2486" s="19" t="n"/>
      <c r="E2486" s="19" t="n"/>
      <c r="F2486" s="16">
        <f>IF(OR(B2486="",D2486=""),"",IFERROR(INDEX('Tabla XP'!$B$2:$B$12,MATCH(D2486,'Tabla XP'!$A$2:$A$12,0))*IF(E2486="",1,E2486),0))</f>
        <v/>
      </c>
      <c r="G2486" s="19" t="n"/>
      <c r="H2486" s="19" t="n"/>
    </row>
    <row r="2487">
      <c r="A2487" s="22" t="n"/>
      <c r="B2487" s="19" t="n"/>
      <c r="C2487" s="18">
        <f>IF(B2487="","",IFERROR(INDEX(Jugadores!$C$2:$C$501,MATCH(B2487,Jugadores!$A$2:$A$501,0)),"⚠ ID no existe"))</f>
        <v/>
      </c>
      <c r="D2487" s="19" t="n"/>
      <c r="E2487" s="19" t="n"/>
      <c r="F2487" s="16">
        <f>IF(OR(B2487="",D2487=""),"",IFERROR(INDEX('Tabla XP'!$B$2:$B$12,MATCH(D2487,'Tabla XP'!$A$2:$A$12,0))*IF(E2487="",1,E2487),0))</f>
        <v/>
      </c>
      <c r="G2487" s="19" t="n"/>
      <c r="H2487" s="19" t="n"/>
    </row>
    <row r="2488">
      <c r="A2488" s="22" t="n"/>
      <c r="B2488" s="19" t="n"/>
      <c r="C2488" s="18">
        <f>IF(B2488="","",IFERROR(INDEX(Jugadores!$C$2:$C$501,MATCH(B2488,Jugadores!$A$2:$A$501,0)),"⚠ ID no existe"))</f>
        <v/>
      </c>
      <c r="D2488" s="19" t="n"/>
      <c r="E2488" s="19" t="n"/>
      <c r="F2488" s="16">
        <f>IF(OR(B2488="",D2488=""),"",IFERROR(INDEX('Tabla XP'!$B$2:$B$12,MATCH(D2488,'Tabla XP'!$A$2:$A$12,0))*IF(E2488="",1,E2488),0))</f>
        <v/>
      </c>
      <c r="G2488" s="19" t="n"/>
      <c r="H2488" s="19" t="n"/>
    </row>
    <row r="2489">
      <c r="A2489" s="22" t="n"/>
      <c r="B2489" s="19" t="n"/>
      <c r="C2489" s="18">
        <f>IF(B2489="","",IFERROR(INDEX(Jugadores!$C$2:$C$501,MATCH(B2489,Jugadores!$A$2:$A$501,0)),"⚠ ID no existe"))</f>
        <v/>
      </c>
      <c r="D2489" s="19" t="n"/>
      <c r="E2489" s="19" t="n"/>
      <c r="F2489" s="16">
        <f>IF(OR(B2489="",D2489=""),"",IFERROR(INDEX('Tabla XP'!$B$2:$B$12,MATCH(D2489,'Tabla XP'!$A$2:$A$12,0))*IF(E2489="",1,E2489),0))</f>
        <v/>
      </c>
      <c r="G2489" s="19" t="n"/>
      <c r="H2489" s="19" t="n"/>
    </row>
    <row r="2490">
      <c r="A2490" s="22" t="n"/>
      <c r="B2490" s="19" t="n"/>
      <c r="C2490" s="18">
        <f>IF(B2490="","",IFERROR(INDEX(Jugadores!$C$2:$C$501,MATCH(B2490,Jugadores!$A$2:$A$501,0)),"⚠ ID no existe"))</f>
        <v/>
      </c>
      <c r="D2490" s="19" t="n"/>
      <c r="E2490" s="19" t="n"/>
      <c r="F2490" s="16">
        <f>IF(OR(B2490="",D2490=""),"",IFERROR(INDEX('Tabla XP'!$B$2:$B$12,MATCH(D2490,'Tabla XP'!$A$2:$A$12,0))*IF(E2490="",1,E2490),0))</f>
        <v/>
      </c>
      <c r="G2490" s="19" t="n"/>
      <c r="H2490" s="19" t="n"/>
    </row>
    <row r="2491">
      <c r="A2491" s="22" t="n"/>
      <c r="B2491" s="19" t="n"/>
      <c r="C2491" s="18">
        <f>IF(B2491="","",IFERROR(INDEX(Jugadores!$C$2:$C$501,MATCH(B2491,Jugadores!$A$2:$A$501,0)),"⚠ ID no existe"))</f>
        <v/>
      </c>
      <c r="D2491" s="19" t="n"/>
      <c r="E2491" s="19" t="n"/>
      <c r="F2491" s="16">
        <f>IF(OR(B2491="",D2491=""),"",IFERROR(INDEX('Tabla XP'!$B$2:$B$12,MATCH(D2491,'Tabla XP'!$A$2:$A$12,0))*IF(E2491="",1,E2491),0))</f>
        <v/>
      </c>
      <c r="G2491" s="19" t="n"/>
      <c r="H2491" s="19" t="n"/>
    </row>
    <row r="2492">
      <c r="A2492" s="22" t="n"/>
      <c r="B2492" s="19" t="n"/>
      <c r="C2492" s="18">
        <f>IF(B2492="","",IFERROR(INDEX(Jugadores!$C$2:$C$501,MATCH(B2492,Jugadores!$A$2:$A$501,0)),"⚠ ID no existe"))</f>
        <v/>
      </c>
      <c r="D2492" s="19" t="n"/>
      <c r="E2492" s="19" t="n"/>
      <c r="F2492" s="16">
        <f>IF(OR(B2492="",D2492=""),"",IFERROR(INDEX('Tabla XP'!$B$2:$B$12,MATCH(D2492,'Tabla XP'!$A$2:$A$12,0))*IF(E2492="",1,E2492),0))</f>
        <v/>
      </c>
      <c r="G2492" s="19" t="n"/>
      <c r="H2492" s="19" t="n"/>
    </row>
    <row r="2493">
      <c r="A2493" s="22" t="n"/>
      <c r="B2493" s="19" t="n"/>
      <c r="C2493" s="18">
        <f>IF(B2493="","",IFERROR(INDEX(Jugadores!$C$2:$C$501,MATCH(B2493,Jugadores!$A$2:$A$501,0)),"⚠ ID no existe"))</f>
        <v/>
      </c>
      <c r="D2493" s="19" t="n"/>
      <c r="E2493" s="19" t="n"/>
      <c r="F2493" s="16">
        <f>IF(OR(B2493="",D2493=""),"",IFERROR(INDEX('Tabla XP'!$B$2:$B$12,MATCH(D2493,'Tabla XP'!$A$2:$A$12,0))*IF(E2493="",1,E2493),0))</f>
        <v/>
      </c>
      <c r="G2493" s="19" t="n"/>
      <c r="H2493" s="19" t="n"/>
    </row>
    <row r="2494">
      <c r="A2494" s="22" t="n"/>
      <c r="B2494" s="19" t="n"/>
      <c r="C2494" s="18">
        <f>IF(B2494="","",IFERROR(INDEX(Jugadores!$C$2:$C$501,MATCH(B2494,Jugadores!$A$2:$A$501,0)),"⚠ ID no existe"))</f>
        <v/>
      </c>
      <c r="D2494" s="19" t="n"/>
      <c r="E2494" s="19" t="n"/>
      <c r="F2494" s="16">
        <f>IF(OR(B2494="",D2494=""),"",IFERROR(INDEX('Tabla XP'!$B$2:$B$12,MATCH(D2494,'Tabla XP'!$A$2:$A$12,0))*IF(E2494="",1,E2494),0))</f>
        <v/>
      </c>
      <c r="G2494" s="19" t="n"/>
      <c r="H2494" s="19" t="n"/>
    </row>
    <row r="2495">
      <c r="A2495" s="22" t="n"/>
      <c r="B2495" s="19" t="n"/>
      <c r="C2495" s="18">
        <f>IF(B2495="","",IFERROR(INDEX(Jugadores!$C$2:$C$501,MATCH(B2495,Jugadores!$A$2:$A$501,0)),"⚠ ID no existe"))</f>
        <v/>
      </c>
      <c r="D2495" s="19" t="n"/>
      <c r="E2495" s="19" t="n"/>
      <c r="F2495" s="16">
        <f>IF(OR(B2495="",D2495=""),"",IFERROR(INDEX('Tabla XP'!$B$2:$B$12,MATCH(D2495,'Tabla XP'!$A$2:$A$12,0))*IF(E2495="",1,E2495),0))</f>
        <v/>
      </c>
      <c r="G2495" s="19" t="n"/>
      <c r="H2495" s="19" t="n"/>
    </row>
    <row r="2496">
      <c r="A2496" s="22" t="n"/>
      <c r="B2496" s="19" t="n"/>
      <c r="C2496" s="18">
        <f>IF(B2496="","",IFERROR(INDEX(Jugadores!$C$2:$C$501,MATCH(B2496,Jugadores!$A$2:$A$501,0)),"⚠ ID no existe"))</f>
        <v/>
      </c>
      <c r="D2496" s="19" t="n"/>
      <c r="E2496" s="19" t="n"/>
      <c r="F2496" s="16">
        <f>IF(OR(B2496="",D2496=""),"",IFERROR(INDEX('Tabla XP'!$B$2:$B$12,MATCH(D2496,'Tabla XP'!$A$2:$A$12,0))*IF(E2496="",1,E2496),0))</f>
        <v/>
      </c>
      <c r="G2496" s="19" t="n"/>
      <c r="H2496" s="19" t="n"/>
    </row>
    <row r="2497">
      <c r="A2497" s="22" t="n"/>
      <c r="B2497" s="19" t="n"/>
      <c r="C2497" s="18">
        <f>IF(B2497="","",IFERROR(INDEX(Jugadores!$C$2:$C$501,MATCH(B2497,Jugadores!$A$2:$A$501,0)),"⚠ ID no existe"))</f>
        <v/>
      </c>
      <c r="D2497" s="19" t="n"/>
      <c r="E2497" s="19" t="n"/>
      <c r="F2497" s="16">
        <f>IF(OR(B2497="",D2497=""),"",IFERROR(INDEX('Tabla XP'!$B$2:$B$12,MATCH(D2497,'Tabla XP'!$A$2:$A$12,0))*IF(E2497="",1,E2497),0))</f>
        <v/>
      </c>
      <c r="G2497" s="19" t="n"/>
      <c r="H2497" s="19" t="n"/>
    </row>
    <row r="2498">
      <c r="A2498" s="22" t="n"/>
      <c r="B2498" s="19" t="n"/>
      <c r="C2498" s="18">
        <f>IF(B2498="","",IFERROR(INDEX(Jugadores!$C$2:$C$501,MATCH(B2498,Jugadores!$A$2:$A$501,0)),"⚠ ID no existe"))</f>
        <v/>
      </c>
      <c r="D2498" s="19" t="n"/>
      <c r="E2498" s="19" t="n"/>
      <c r="F2498" s="16">
        <f>IF(OR(B2498="",D2498=""),"",IFERROR(INDEX('Tabla XP'!$B$2:$B$12,MATCH(D2498,'Tabla XP'!$A$2:$A$12,0))*IF(E2498="",1,E2498),0))</f>
        <v/>
      </c>
      <c r="G2498" s="19" t="n"/>
      <c r="H2498" s="19" t="n"/>
    </row>
    <row r="2499">
      <c r="A2499" s="22" t="n"/>
      <c r="B2499" s="19" t="n"/>
      <c r="C2499" s="18">
        <f>IF(B2499="","",IFERROR(INDEX(Jugadores!$C$2:$C$501,MATCH(B2499,Jugadores!$A$2:$A$501,0)),"⚠ ID no existe"))</f>
        <v/>
      </c>
      <c r="D2499" s="19" t="n"/>
      <c r="E2499" s="19" t="n"/>
      <c r="F2499" s="16">
        <f>IF(OR(B2499="",D2499=""),"",IFERROR(INDEX('Tabla XP'!$B$2:$B$12,MATCH(D2499,'Tabla XP'!$A$2:$A$12,0))*IF(E2499="",1,E2499),0))</f>
        <v/>
      </c>
      <c r="G2499" s="19" t="n"/>
      <c r="H2499" s="19" t="n"/>
    </row>
    <row r="2500">
      <c r="A2500" s="22" t="n"/>
      <c r="B2500" s="19" t="n"/>
      <c r="C2500" s="18">
        <f>IF(B2500="","",IFERROR(INDEX(Jugadores!$C$2:$C$501,MATCH(B2500,Jugadores!$A$2:$A$501,0)),"⚠ ID no existe"))</f>
        <v/>
      </c>
      <c r="D2500" s="19" t="n"/>
      <c r="E2500" s="19" t="n"/>
      <c r="F2500" s="16">
        <f>IF(OR(B2500="",D2500=""),"",IFERROR(INDEX('Tabla XP'!$B$2:$B$12,MATCH(D2500,'Tabla XP'!$A$2:$A$12,0))*IF(E2500="",1,E2500),0))</f>
        <v/>
      </c>
      <c r="G2500" s="19" t="n"/>
      <c r="H2500" s="19" t="n"/>
    </row>
    <row r="2501">
      <c r="A2501" s="22" t="n"/>
      <c r="B2501" s="19" t="n"/>
      <c r="C2501" s="18">
        <f>IF(B2501="","",IFERROR(INDEX(Jugadores!$C$2:$C$501,MATCH(B2501,Jugadores!$A$2:$A$501,0)),"⚠ ID no existe"))</f>
        <v/>
      </c>
      <c r="D2501" s="19" t="n"/>
      <c r="E2501" s="19" t="n"/>
      <c r="F2501" s="16">
        <f>IF(OR(B2501="",D2501=""),"",IFERROR(INDEX('Tabla XP'!$B$2:$B$12,MATCH(D2501,'Tabla XP'!$A$2:$A$12,0))*IF(E2501="",1,E2501),0))</f>
        <v/>
      </c>
      <c r="G2501" s="19" t="n"/>
      <c r="H2501" s="19" t="n"/>
    </row>
    <row r="2502">
      <c r="A2502" s="22" t="n"/>
      <c r="B2502" s="19" t="n"/>
      <c r="C2502" s="18">
        <f>IF(B2502="","",IFERROR(INDEX(Jugadores!$C$2:$C$501,MATCH(B2502,Jugadores!$A$2:$A$501,0)),"⚠ ID no existe"))</f>
        <v/>
      </c>
      <c r="D2502" s="19" t="n"/>
      <c r="E2502" s="19" t="n"/>
      <c r="F2502" s="16">
        <f>IF(OR(B2502="",D2502=""),"",IFERROR(INDEX('Tabla XP'!$B$2:$B$12,MATCH(D2502,'Tabla XP'!$A$2:$A$12,0))*IF(E2502="",1,E2502),0))</f>
        <v/>
      </c>
      <c r="G2502" s="19" t="n"/>
      <c r="H2502" s="19" t="n"/>
    </row>
    <row r="2503">
      <c r="A2503" s="22" t="n"/>
      <c r="B2503" s="19" t="n"/>
      <c r="C2503" s="18">
        <f>IF(B2503="","",IFERROR(INDEX(Jugadores!$C$2:$C$501,MATCH(B2503,Jugadores!$A$2:$A$501,0)),"⚠ ID no existe"))</f>
        <v/>
      </c>
      <c r="D2503" s="19" t="n"/>
      <c r="E2503" s="19" t="n"/>
      <c r="F2503" s="16">
        <f>IF(OR(B2503="",D2503=""),"",IFERROR(INDEX('Tabla XP'!$B$2:$B$12,MATCH(D2503,'Tabla XP'!$A$2:$A$12,0))*IF(E2503="",1,E2503),0))</f>
        <v/>
      </c>
      <c r="G2503" s="19" t="n"/>
      <c r="H2503" s="19" t="n"/>
    </row>
    <row r="2504">
      <c r="A2504" s="22" t="n"/>
      <c r="B2504" s="19" t="n"/>
      <c r="C2504" s="18">
        <f>IF(B2504="","",IFERROR(INDEX(Jugadores!$C$2:$C$501,MATCH(B2504,Jugadores!$A$2:$A$501,0)),"⚠ ID no existe"))</f>
        <v/>
      </c>
      <c r="D2504" s="19" t="n"/>
      <c r="E2504" s="19" t="n"/>
      <c r="F2504" s="16">
        <f>IF(OR(B2504="",D2504=""),"",IFERROR(INDEX('Tabla XP'!$B$2:$B$12,MATCH(D2504,'Tabla XP'!$A$2:$A$12,0))*IF(E2504="",1,E2504),0))</f>
        <v/>
      </c>
      <c r="G2504" s="19" t="n"/>
      <c r="H2504" s="19" t="n"/>
    </row>
    <row r="2505">
      <c r="A2505" s="22" t="n"/>
      <c r="B2505" s="19" t="n"/>
      <c r="C2505" s="18">
        <f>IF(B2505="","",IFERROR(INDEX(Jugadores!$C$2:$C$501,MATCH(B2505,Jugadores!$A$2:$A$501,0)),"⚠ ID no existe"))</f>
        <v/>
      </c>
      <c r="D2505" s="19" t="n"/>
      <c r="E2505" s="19" t="n"/>
      <c r="F2505" s="16">
        <f>IF(OR(B2505="",D2505=""),"",IFERROR(INDEX('Tabla XP'!$B$2:$B$12,MATCH(D2505,'Tabla XP'!$A$2:$A$12,0))*IF(E2505="",1,E2505),0))</f>
        <v/>
      </c>
      <c r="G2505" s="19" t="n"/>
      <c r="H2505" s="19" t="n"/>
    </row>
    <row r="2506">
      <c r="A2506" s="22" t="n"/>
      <c r="B2506" s="19" t="n"/>
      <c r="C2506" s="18">
        <f>IF(B2506="","",IFERROR(INDEX(Jugadores!$C$2:$C$501,MATCH(B2506,Jugadores!$A$2:$A$501,0)),"⚠ ID no existe"))</f>
        <v/>
      </c>
      <c r="D2506" s="19" t="n"/>
      <c r="E2506" s="19" t="n"/>
      <c r="F2506" s="16">
        <f>IF(OR(B2506="",D2506=""),"",IFERROR(INDEX('Tabla XP'!$B$2:$B$12,MATCH(D2506,'Tabla XP'!$A$2:$A$12,0))*IF(E2506="",1,E2506),0))</f>
        <v/>
      </c>
      <c r="G2506" s="19" t="n"/>
      <c r="H2506" s="19" t="n"/>
    </row>
    <row r="2507">
      <c r="A2507" s="22" t="n"/>
      <c r="B2507" s="19" t="n"/>
      <c r="C2507" s="18">
        <f>IF(B2507="","",IFERROR(INDEX(Jugadores!$C$2:$C$501,MATCH(B2507,Jugadores!$A$2:$A$501,0)),"⚠ ID no existe"))</f>
        <v/>
      </c>
      <c r="D2507" s="19" t="n"/>
      <c r="E2507" s="19" t="n"/>
      <c r="F2507" s="16">
        <f>IF(OR(B2507="",D2507=""),"",IFERROR(INDEX('Tabla XP'!$B$2:$B$12,MATCH(D2507,'Tabla XP'!$A$2:$A$12,0))*IF(E2507="",1,E2507),0))</f>
        <v/>
      </c>
      <c r="G2507" s="19" t="n"/>
      <c r="H2507" s="19" t="n"/>
    </row>
    <row r="2508">
      <c r="A2508" s="22" t="n"/>
      <c r="B2508" s="19" t="n"/>
      <c r="C2508" s="18">
        <f>IF(B2508="","",IFERROR(INDEX(Jugadores!$C$2:$C$501,MATCH(B2508,Jugadores!$A$2:$A$501,0)),"⚠ ID no existe"))</f>
        <v/>
      </c>
      <c r="D2508" s="19" t="n"/>
      <c r="E2508" s="19" t="n"/>
      <c r="F2508" s="16">
        <f>IF(OR(B2508="",D2508=""),"",IFERROR(INDEX('Tabla XP'!$B$2:$B$12,MATCH(D2508,'Tabla XP'!$A$2:$A$12,0))*IF(E2508="",1,E2508),0))</f>
        <v/>
      </c>
      <c r="G2508" s="19" t="n"/>
      <c r="H2508" s="19" t="n"/>
    </row>
    <row r="2509">
      <c r="A2509" s="22" t="n"/>
      <c r="B2509" s="19" t="n"/>
      <c r="C2509" s="18">
        <f>IF(B2509="","",IFERROR(INDEX(Jugadores!$C$2:$C$501,MATCH(B2509,Jugadores!$A$2:$A$501,0)),"⚠ ID no existe"))</f>
        <v/>
      </c>
      <c r="D2509" s="19" t="n"/>
      <c r="E2509" s="19" t="n"/>
      <c r="F2509" s="16">
        <f>IF(OR(B2509="",D2509=""),"",IFERROR(INDEX('Tabla XP'!$B$2:$B$12,MATCH(D2509,'Tabla XP'!$A$2:$A$12,0))*IF(E2509="",1,E2509),0))</f>
        <v/>
      </c>
      <c r="G2509" s="19" t="n"/>
      <c r="H2509" s="19" t="n"/>
    </row>
    <row r="2510">
      <c r="A2510" s="22" t="n"/>
      <c r="B2510" s="19" t="n"/>
      <c r="C2510" s="18">
        <f>IF(B2510="","",IFERROR(INDEX(Jugadores!$C$2:$C$501,MATCH(B2510,Jugadores!$A$2:$A$501,0)),"⚠ ID no existe"))</f>
        <v/>
      </c>
      <c r="D2510" s="19" t="n"/>
      <c r="E2510" s="19" t="n"/>
      <c r="F2510" s="16">
        <f>IF(OR(B2510="",D2510=""),"",IFERROR(INDEX('Tabla XP'!$B$2:$B$12,MATCH(D2510,'Tabla XP'!$A$2:$A$12,0))*IF(E2510="",1,E2510),0))</f>
        <v/>
      </c>
      <c r="G2510" s="19" t="n"/>
      <c r="H2510" s="19" t="n"/>
    </row>
    <row r="2511">
      <c r="A2511" s="22" t="n"/>
      <c r="B2511" s="19" t="n"/>
      <c r="C2511" s="18">
        <f>IF(B2511="","",IFERROR(INDEX(Jugadores!$C$2:$C$501,MATCH(B2511,Jugadores!$A$2:$A$501,0)),"⚠ ID no existe"))</f>
        <v/>
      </c>
      <c r="D2511" s="19" t="n"/>
      <c r="E2511" s="19" t="n"/>
      <c r="F2511" s="16">
        <f>IF(OR(B2511="",D2511=""),"",IFERROR(INDEX('Tabla XP'!$B$2:$B$12,MATCH(D2511,'Tabla XP'!$A$2:$A$12,0))*IF(E2511="",1,E2511),0))</f>
        <v/>
      </c>
      <c r="G2511" s="19" t="n"/>
      <c r="H2511" s="19" t="n"/>
    </row>
    <row r="2512">
      <c r="A2512" s="22" t="n"/>
      <c r="B2512" s="19" t="n"/>
      <c r="C2512" s="18">
        <f>IF(B2512="","",IFERROR(INDEX(Jugadores!$C$2:$C$501,MATCH(B2512,Jugadores!$A$2:$A$501,0)),"⚠ ID no existe"))</f>
        <v/>
      </c>
      <c r="D2512" s="19" t="n"/>
      <c r="E2512" s="19" t="n"/>
      <c r="F2512" s="16">
        <f>IF(OR(B2512="",D2512=""),"",IFERROR(INDEX('Tabla XP'!$B$2:$B$12,MATCH(D2512,'Tabla XP'!$A$2:$A$12,0))*IF(E2512="",1,E2512),0))</f>
        <v/>
      </c>
      <c r="G2512" s="19" t="n"/>
      <c r="H2512" s="19" t="n"/>
    </row>
    <row r="2513">
      <c r="A2513" s="22" t="n"/>
      <c r="B2513" s="19" t="n"/>
      <c r="C2513" s="18">
        <f>IF(B2513="","",IFERROR(INDEX(Jugadores!$C$2:$C$501,MATCH(B2513,Jugadores!$A$2:$A$501,0)),"⚠ ID no existe"))</f>
        <v/>
      </c>
      <c r="D2513" s="19" t="n"/>
      <c r="E2513" s="19" t="n"/>
      <c r="F2513" s="16">
        <f>IF(OR(B2513="",D2513=""),"",IFERROR(INDEX('Tabla XP'!$B$2:$B$12,MATCH(D2513,'Tabla XP'!$A$2:$A$12,0))*IF(E2513="",1,E2513),0))</f>
        <v/>
      </c>
      <c r="G2513" s="19" t="n"/>
      <c r="H2513" s="19" t="n"/>
    </row>
    <row r="2514">
      <c r="A2514" s="22" t="n"/>
      <c r="B2514" s="19" t="n"/>
      <c r="C2514" s="18">
        <f>IF(B2514="","",IFERROR(INDEX(Jugadores!$C$2:$C$501,MATCH(B2514,Jugadores!$A$2:$A$501,0)),"⚠ ID no existe"))</f>
        <v/>
      </c>
      <c r="D2514" s="19" t="n"/>
      <c r="E2514" s="19" t="n"/>
      <c r="F2514" s="16">
        <f>IF(OR(B2514="",D2514=""),"",IFERROR(INDEX('Tabla XP'!$B$2:$B$12,MATCH(D2514,'Tabla XP'!$A$2:$A$12,0))*IF(E2514="",1,E2514),0))</f>
        <v/>
      </c>
      <c r="G2514" s="19" t="n"/>
      <c r="H2514" s="19" t="n"/>
    </row>
    <row r="2515">
      <c r="A2515" s="22" t="n"/>
      <c r="B2515" s="19" t="n"/>
      <c r="C2515" s="18">
        <f>IF(B2515="","",IFERROR(INDEX(Jugadores!$C$2:$C$501,MATCH(B2515,Jugadores!$A$2:$A$501,0)),"⚠ ID no existe"))</f>
        <v/>
      </c>
      <c r="D2515" s="19" t="n"/>
      <c r="E2515" s="19" t="n"/>
      <c r="F2515" s="16">
        <f>IF(OR(B2515="",D2515=""),"",IFERROR(INDEX('Tabla XP'!$B$2:$B$12,MATCH(D2515,'Tabla XP'!$A$2:$A$12,0))*IF(E2515="",1,E2515),0))</f>
        <v/>
      </c>
      <c r="G2515" s="19" t="n"/>
      <c r="H2515" s="19" t="n"/>
    </row>
    <row r="2516">
      <c r="A2516" s="22" t="n"/>
      <c r="B2516" s="19" t="n"/>
      <c r="C2516" s="18">
        <f>IF(B2516="","",IFERROR(INDEX(Jugadores!$C$2:$C$501,MATCH(B2516,Jugadores!$A$2:$A$501,0)),"⚠ ID no existe"))</f>
        <v/>
      </c>
      <c r="D2516" s="19" t="n"/>
      <c r="E2516" s="19" t="n"/>
      <c r="F2516" s="16">
        <f>IF(OR(B2516="",D2516=""),"",IFERROR(INDEX('Tabla XP'!$B$2:$B$12,MATCH(D2516,'Tabla XP'!$A$2:$A$12,0))*IF(E2516="",1,E2516),0))</f>
        <v/>
      </c>
      <c r="G2516" s="19" t="n"/>
      <c r="H2516" s="19" t="n"/>
    </row>
    <row r="2517">
      <c r="A2517" s="22" t="n"/>
      <c r="B2517" s="19" t="n"/>
      <c r="C2517" s="18">
        <f>IF(B2517="","",IFERROR(INDEX(Jugadores!$C$2:$C$501,MATCH(B2517,Jugadores!$A$2:$A$501,0)),"⚠ ID no existe"))</f>
        <v/>
      </c>
      <c r="D2517" s="19" t="n"/>
      <c r="E2517" s="19" t="n"/>
      <c r="F2517" s="16">
        <f>IF(OR(B2517="",D2517=""),"",IFERROR(INDEX('Tabla XP'!$B$2:$B$12,MATCH(D2517,'Tabla XP'!$A$2:$A$12,0))*IF(E2517="",1,E2517),0))</f>
        <v/>
      </c>
      <c r="G2517" s="19" t="n"/>
      <c r="H2517" s="19" t="n"/>
    </row>
    <row r="2518">
      <c r="A2518" s="22" t="n"/>
      <c r="B2518" s="19" t="n"/>
      <c r="C2518" s="18">
        <f>IF(B2518="","",IFERROR(INDEX(Jugadores!$C$2:$C$501,MATCH(B2518,Jugadores!$A$2:$A$501,0)),"⚠ ID no existe"))</f>
        <v/>
      </c>
      <c r="D2518" s="19" t="n"/>
      <c r="E2518" s="19" t="n"/>
      <c r="F2518" s="16">
        <f>IF(OR(B2518="",D2518=""),"",IFERROR(INDEX('Tabla XP'!$B$2:$B$12,MATCH(D2518,'Tabla XP'!$A$2:$A$12,0))*IF(E2518="",1,E2518),0))</f>
        <v/>
      </c>
      <c r="G2518" s="19" t="n"/>
      <c r="H2518" s="19" t="n"/>
    </row>
    <row r="2519">
      <c r="A2519" s="22" t="n"/>
      <c r="B2519" s="19" t="n"/>
      <c r="C2519" s="18">
        <f>IF(B2519="","",IFERROR(INDEX(Jugadores!$C$2:$C$501,MATCH(B2519,Jugadores!$A$2:$A$501,0)),"⚠ ID no existe"))</f>
        <v/>
      </c>
      <c r="D2519" s="19" t="n"/>
      <c r="E2519" s="19" t="n"/>
      <c r="F2519" s="16">
        <f>IF(OR(B2519="",D2519=""),"",IFERROR(INDEX('Tabla XP'!$B$2:$B$12,MATCH(D2519,'Tabla XP'!$A$2:$A$12,0))*IF(E2519="",1,E2519),0))</f>
        <v/>
      </c>
      <c r="G2519" s="19" t="n"/>
      <c r="H2519" s="19" t="n"/>
    </row>
    <row r="2520">
      <c r="A2520" s="22" t="n"/>
      <c r="B2520" s="19" t="n"/>
      <c r="C2520" s="18">
        <f>IF(B2520="","",IFERROR(INDEX(Jugadores!$C$2:$C$501,MATCH(B2520,Jugadores!$A$2:$A$501,0)),"⚠ ID no existe"))</f>
        <v/>
      </c>
      <c r="D2520" s="19" t="n"/>
      <c r="E2520" s="19" t="n"/>
      <c r="F2520" s="16">
        <f>IF(OR(B2520="",D2520=""),"",IFERROR(INDEX('Tabla XP'!$B$2:$B$12,MATCH(D2520,'Tabla XP'!$A$2:$A$12,0))*IF(E2520="",1,E2520),0))</f>
        <v/>
      </c>
      <c r="G2520" s="19" t="n"/>
      <c r="H2520" s="19" t="n"/>
    </row>
    <row r="2521">
      <c r="A2521" s="22" t="n"/>
      <c r="B2521" s="19" t="n"/>
      <c r="C2521" s="18">
        <f>IF(B2521="","",IFERROR(INDEX(Jugadores!$C$2:$C$501,MATCH(B2521,Jugadores!$A$2:$A$501,0)),"⚠ ID no existe"))</f>
        <v/>
      </c>
      <c r="D2521" s="19" t="n"/>
      <c r="E2521" s="19" t="n"/>
      <c r="F2521" s="16">
        <f>IF(OR(B2521="",D2521=""),"",IFERROR(INDEX('Tabla XP'!$B$2:$B$12,MATCH(D2521,'Tabla XP'!$A$2:$A$12,0))*IF(E2521="",1,E2521),0))</f>
        <v/>
      </c>
      <c r="G2521" s="19" t="n"/>
      <c r="H2521" s="19" t="n"/>
    </row>
    <row r="2522">
      <c r="A2522" s="22" t="n"/>
      <c r="B2522" s="19" t="n"/>
      <c r="C2522" s="18">
        <f>IF(B2522="","",IFERROR(INDEX(Jugadores!$C$2:$C$501,MATCH(B2522,Jugadores!$A$2:$A$501,0)),"⚠ ID no existe"))</f>
        <v/>
      </c>
      <c r="D2522" s="19" t="n"/>
      <c r="E2522" s="19" t="n"/>
      <c r="F2522" s="16">
        <f>IF(OR(B2522="",D2522=""),"",IFERROR(INDEX('Tabla XP'!$B$2:$B$12,MATCH(D2522,'Tabla XP'!$A$2:$A$12,0))*IF(E2522="",1,E2522),0))</f>
        <v/>
      </c>
      <c r="G2522" s="19" t="n"/>
      <c r="H2522" s="19" t="n"/>
    </row>
    <row r="2523">
      <c r="A2523" s="22" t="n"/>
      <c r="B2523" s="19" t="n"/>
      <c r="C2523" s="18">
        <f>IF(B2523="","",IFERROR(INDEX(Jugadores!$C$2:$C$501,MATCH(B2523,Jugadores!$A$2:$A$501,0)),"⚠ ID no existe"))</f>
        <v/>
      </c>
      <c r="D2523" s="19" t="n"/>
      <c r="E2523" s="19" t="n"/>
      <c r="F2523" s="16">
        <f>IF(OR(B2523="",D2523=""),"",IFERROR(INDEX('Tabla XP'!$B$2:$B$12,MATCH(D2523,'Tabla XP'!$A$2:$A$12,0))*IF(E2523="",1,E2523),0))</f>
        <v/>
      </c>
      <c r="G2523" s="19" t="n"/>
      <c r="H2523" s="19" t="n"/>
    </row>
    <row r="2524">
      <c r="A2524" s="22" t="n"/>
      <c r="B2524" s="19" t="n"/>
      <c r="C2524" s="18">
        <f>IF(B2524="","",IFERROR(INDEX(Jugadores!$C$2:$C$501,MATCH(B2524,Jugadores!$A$2:$A$501,0)),"⚠ ID no existe"))</f>
        <v/>
      </c>
      <c r="D2524" s="19" t="n"/>
      <c r="E2524" s="19" t="n"/>
      <c r="F2524" s="16">
        <f>IF(OR(B2524="",D2524=""),"",IFERROR(INDEX('Tabla XP'!$B$2:$B$12,MATCH(D2524,'Tabla XP'!$A$2:$A$12,0))*IF(E2524="",1,E2524),0))</f>
        <v/>
      </c>
      <c r="G2524" s="19" t="n"/>
      <c r="H2524" s="19" t="n"/>
    </row>
    <row r="2525">
      <c r="A2525" s="22" t="n"/>
      <c r="B2525" s="19" t="n"/>
      <c r="C2525" s="18">
        <f>IF(B2525="","",IFERROR(INDEX(Jugadores!$C$2:$C$501,MATCH(B2525,Jugadores!$A$2:$A$501,0)),"⚠ ID no existe"))</f>
        <v/>
      </c>
      <c r="D2525" s="19" t="n"/>
      <c r="E2525" s="19" t="n"/>
      <c r="F2525" s="16">
        <f>IF(OR(B2525="",D2525=""),"",IFERROR(INDEX('Tabla XP'!$B$2:$B$12,MATCH(D2525,'Tabla XP'!$A$2:$A$12,0))*IF(E2525="",1,E2525),0))</f>
        <v/>
      </c>
      <c r="G2525" s="19" t="n"/>
      <c r="H2525" s="19" t="n"/>
    </row>
    <row r="2526">
      <c r="A2526" s="22" t="n"/>
      <c r="B2526" s="19" t="n"/>
      <c r="C2526" s="18">
        <f>IF(B2526="","",IFERROR(INDEX(Jugadores!$C$2:$C$501,MATCH(B2526,Jugadores!$A$2:$A$501,0)),"⚠ ID no existe"))</f>
        <v/>
      </c>
      <c r="D2526" s="19" t="n"/>
      <c r="E2526" s="19" t="n"/>
      <c r="F2526" s="16">
        <f>IF(OR(B2526="",D2526=""),"",IFERROR(INDEX('Tabla XP'!$B$2:$B$12,MATCH(D2526,'Tabla XP'!$A$2:$A$12,0))*IF(E2526="",1,E2526),0))</f>
        <v/>
      </c>
      <c r="G2526" s="19" t="n"/>
      <c r="H2526" s="19" t="n"/>
    </row>
    <row r="2527">
      <c r="A2527" s="22" t="n"/>
      <c r="B2527" s="19" t="n"/>
      <c r="C2527" s="18">
        <f>IF(B2527="","",IFERROR(INDEX(Jugadores!$C$2:$C$501,MATCH(B2527,Jugadores!$A$2:$A$501,0)),"⚠ ID no existe"))</f>
        <v/>
      </c>
      <c r="D2527" s="19" t="n"/>
      <c r="E2527" s="19" t="n"/>
      <c r="F2527" s="16">
        <f>IF(OR(B2527="",D2527=""),"",IFERROR(INDEX('Tabla XP'!$B$2:$B$12,MATCH(D2527,'Tabla XP'!$A$2:$A$12,0))*IF(E2527="",1,E2527),0))</f>
        <v/>
      </c>
      <c r="G2527" s="19" t="n"/>
      <c r="H2527" s="19" t="n"/>
    </row>
    <row r="2528">
      <c r="A2528" s="22" t="n"/>
      <c r="B2528" s="19" t="n"/>
      <c r="C2528" s="18">
        <f>IF(B2528="","",IFERROR(INDEX(Jugadores!$C$2:$C$501,MATCH(B2528,Jugadores!$A$2:$A$501,0)),"⚠ ID no existe"))</f>
        <v/>
      </c>
      <c r="D2528" s="19" t="n"/>
      <c r="E2528" s="19" t="n"/>
      <c r="F2528" s="16">
        <f>IF(OR(B2528="",D2528=""),"",IFERROR(INDEX('Tabla XP'!$B$2:$B$12,MATCH(D2528,'Tabla XP'!$A$2:$A$12,0))*IF(E2528="",1,E2528),0))</f>
        <v/>
      </c>
      <c r="G2528" s="19" t="n"/>
      <c r="H2528" s="19" t="n"/>
    </row>
    <row r="2529">
      <c r="A2529" s="22" t="n"/>
      <c r="B2529" s="19" t="n"/>
      <c r="C2529" s="18">
        <f>IF(B2529="","",IFERROR(INDEX(Jugadores!$C$2:$C$501,MATCH(B2529,Jugadores!$A$2:$A$501,0)),"⚠ ID no existe"))</f>
        <v/>
      </c>
      <c r="D2529" s="19" t="n"/>
      <c r="E2529" s="19" t="n"/>
      <c r="F2529" s="16">
        <f>IF(OR(B2529="",D2529=""),"",IFERROR(INDEX('Tabla XP'!$B$2:$B$12,MATCH(D2529,'Tabla XP'!$A$2:$A$12,0))*IF(E2529="",1,E2529),0))</f>
        <v/>
      </c>
      <c r="G2529" s="19" t="n"/>
      <c r="H2529" s="19" t="n"/>
    </row>
    <row r="2530">
      <c r="A2530" s="22" t="n"/>
      <c r="B2530" s="19" t="n"/>
      <c r="C2530" s="18">
        <f>IF(B2530="","",IFERROR(INDEX(Jugadores!$C$2:$C$501,MATCH(B2530,Jugadores!$A$2:$A$501,0)),"⚠ ID no existe"))</f>
        <v/>
      </c>
      <c r="D2530" s="19" t="n"/>
      <c r="E2530" s="19" t="n"/>
      <c r="F2530" s="16">
        <f>IF(OR(B2530="",D2530=""),"",IFERROR(INDEX('Tabla XP'!$B$2:$B$12,MATCH(D2530,'Tabla XP'!$A$2:$A$12,0))*IF(E2530="",1,E2530),0))</f>
        <v/>
      </c>
      <c r="G2530" s="19" t="n"/>
      <c r="H2530" s="19" t="n"/>
    </row>
    <row r="2531">
      <c r="A2531" s="22" t="n"/>
      <c r="B2531" s="19" t="n"/>
      <c r="C2531" s="18">
        <f>IF(B2531="","",IFERROR(INDEX(Jugadores!$C$2:$C$501,MATCH(B2531,Jugadores!$A$2:$A$501,0)),"⚠ ID no existe"))</f>
        <v/>
      </c>
      <c r="D2531" s="19" t="n"/>
      <c r="E2531" s="19" t="n"/>
      <c r="F2531" s="16">
        <f>IF(OR(B2531="",D2531=""),"",IFERROR(INDEX('Tabla XP'!$B$2:$B$12,MATCH(D2531,'Tabla XP'!$A$2:$A$12,0))*IF(E2531="",1,E2531),0))</f>
        <v/>
      </c>
      <c r="G2531" s="19" t="n"/>
      <c r="H2531" s="19" t="n"/>
    </row>
    <row r="2532">
      <c r="A2532" s="22" t="n"/>
      <c r="B2532" s="19" t="n"/>
      <c r="C2532" s="18">
        <f>IF(B2532="","",IFERROR(INDEX(Jugadores!$C$2:$C$501,MATCH(B2532,Jugadores!$A$2:$A$501,0)),"⚠ ID no existe"))</f>
        <v/>
      </c>
      <c r="D2532" s="19" t="n"/>
      <c r="E2532" s="19" t="n"/>
      <c r="F2532" s="16">
        <f>IF(OR(B2532="",D2532=""),"",IFERROR(INDEX('Tabla XP'!$B$2:$B$12,MATCH(D2532,'Tabla XP'!$A$2:$A$12,0))*IF(E2532="",1,E2532),0))</f>
        <v/>
      </c>
      <c r="G2532" s="19" t="n"/>
      <c r="H2532" s="19" t="n"/>
    </row>
    <row r="2533">
      <c r="A2533" s="22" t="n"/>
      <c r="B2533" s="19" t="n"/>
      <c r="C2533" s="18">
        <f>IF(B2533="","",IFERROR(INDEX(Jugadores!$C$2:$C$501,MATCH(B2533,Jugadores!$A$2:$A$501,0)),"⚠ ID no existe"))</f>
        <v/>
      </c>
      <c r="D2533" s="19" t="n"/>
      <c r="E2533" s="19" t="n"/>
      <c r="F2533" s="16">
        <f>IF(OR(B2533="",D2533=""),"",IFERROR(INDEX('Tabla XP'!$B$2:$B$12,MATCH(D2533,'Tabla XP'!$A$2:$A$12,0))*IF(E2533="",1,E2533),0))</f>
        <v/>
      </c>
      <c r="G2533" s="19" t="n"/>
      <c r="H2533" s="19" t="n"/>
    </row>
    <row r="2534">
      <c r="A2534" s="22" t="n"/>
      <c r="B2534" s="19" t="n"/>
      <c r="C2534" s="18">
        <f>IF(B2534="","",IFERROR(INDEX(Jugadores!$C$2:$C$501,MATCH(B2534,Jugadores!$A$2:$A$501,0)),"⚠ ID no existe"))</f>
        <v/>
      </c>
      <c r="D2534" s="19" t="n"/>
      <c r="E2534" s="19" t="n"/>
      <c r="F2534" s="16">
        <f>IF(OR(B2534="",D2534=""),"",IFERROR(INDEX('Tabla XP'!$B$2:$B$12,MATCH(D2534,'Tabla XP'!$A$2:$A$12,0))*IF(E2534="",1,E2534),0))</f>
        <v/>
      </c>
      <c r="G2534" s="19" t="n"/>
      <c r="H2534" s="19" t="n"/>
    </row>
    <row r="2535">
      <c r="A2535" s="22" t="n"/>
      <c r="B2535" s="19" t="n"/>
      <c r="C2535" s="18">
        <f>IF(B2535="","",IFERROR(INDEX(Jugadores!$C$2:$C$501,MATCH(B2535,Jugadores!$A$2:$A$501,0)),"⚠ ID no existe"))</f>
        <v/>
      </c>
      <c r="D2535" s="19" t="n"/>
      <c r="E2535" s="19" t="n"/>
      <c r="F2535" s="16">
        <f>IF(OR(B2535="",D2535=""),"",IFERROR(INDEX('Tabla XP'!$B$2:$B$12,MATCH(D2535,'Tabla XP'!$A$2:$A$12,0))*IF(E2535="",1,E2535),0))</f>
        <v/>
      </c>
      <c r="G2535" s="19" t="n"/>
      <c r="H2535" s="19" t="n"/>
    </row>
    <row r="2536">
      <c r="A2536" s="22" t="n"/>
      <c r="B2536" s="19" t="n"/>
      <c r="C2536" s="18">
        <f>IF(B2536="","",IFERROR(INDEX(Jugadores!$C$2:$C$501,MATCH(B2536,Jugadores!$A$2:$A$501,0)),"⚠ ID no existe"))</f>
        <v/>
      </c>
      <c r="D2536" s="19" t="n"/>
      <c r="E2536" s="19" t="n"/>
      <c r="F2536" s="16">
        <f>IF(OR(B2536="",D2536=""),"",IFERROR(INDEX('Tabla XP'!$B$2:$B$12,MATCH(D2536,'Tabla XP'!$A$2:$A$12,0))*IF(E2536="",1,E2536),0))</f>
        <v/>
      </c>
      <c r="G2536" s="19" t="n"/>
      <c r="H2536" s="19" t="n"/>
    </row>
    <row r="2537">
      <c r="A2537" s="22" t="n"/>
      <c r="B2537" s="19" t="n"/>
      <c r="C2537" s="18">
        <f>IF(B2537="","",IFERROR(INDEX(Jugadores!$C$2:$C$501,MATCH(B2537,Jugadores!$A$2:$A$501,0)),"⚠ ID no existe"))</f>
        <v/>
      </c>
      <c r="D2537" s="19" t="n"/>
      <c r="E2537" s="19" t="n"/>
      <c r="F2537" s="16">
        <f>IF(OR(B2537="",D2537=""),"",IFERROR(INDEX('Tabla XP'!$B$2:$B$12,MATCH(D2537,'Tabla XP'!$A$2:$A$12,0))*IF(E2537="",1,E2537),0))</f>
        <v/>
      </c>
      <c r="G2537" s="19" t="n"/>
      <c r="H2537" s="19" t="n"/>
    </row>
    <row r="2538">
      <c r="A2538" s="22" t="n"/>
      <c r="B2538" s="19" t="n"/>
      <c r="C2538" s="18">
        <f>IF(B2538="","",IFERROR(INDEX(Jugadores!$C$2:$C$501,MATCH(B2538,Jugadores!$A$2:$A$501,0)),"⚠ ID no existe"))</f>
        <v/>
      </c>
      <c r="D2538" s="19" t="n"/>
      <c r="E2538" s="19" t="n"/>
      <c r="F2538" s="16">
        <f>IF(OR(B2538="",D2538=""),"",IFERROR(INDEX('Tabla XP'!$B$2:$B$12,MATCH(D2538,'Tabla XP'!$A$2:$A$12,0))*IF(E2538="",1,E2538),0))</f>
        <v/>
      </c>
      <c r="G2538" s="19" t="n"/>
      <c r="H2538" s="19" t="n"/>
    </row>
    <row r="2539">
      <c r="A2539" s="22" t="n"/>
      <c r="B2539" s="19" t="n"/>
      <c r="C2539" s="18">
        <f>IF(B2539="","",IFERROR(INDEX(Jugadores!$C$2:$C$501,MATCH(B2539,Jugadores!$A$2:$A$501,0)),"⚠ ID no existe"))</f>
        <v/>
      </c>
      <c r="D2539" s="19" t="n"/>
      <c r="E2539" s="19" t="n"/>
      <c r="F2539" s="16">
        <f>IF(OR(B2539="",D2539=""),"",IFERROR(INDEX('Tabla XP'!$B$2:$B$12,MATCH(D2539,'Tabla XP'!$A$2:$A$12,0))*IF(E2539="",1,E2539),0))</f>
        <v/>
      </c>
      <c r="G2539" s="19" t="n"/>
      <c r="H2539" s="19" t="n"/>
    </row>
    <row r="2540">
      <c r="A2540" s="22" t="n"/>
      <c r="B2540" s="19" t="n"/>
      <c r="C2540" s="18">
        <f>IF(B2540="","",IFERROR(INDEX(Jugadores!$C$2:$C$501,MATCH(B2540,Jugadores!$A$2:$A$501,0)),"⚠ ID no existe"))</f>
        <v/>
      </c>
      <c r="D2540" s="19" t="n"/>
      <c r="E2540" s="19" t="n"/>
      <c r="F2540" s="16">
        <f>IF(OR(B2540="",D2540=""),"",IFERROR(INDEX('Tabla XP'!$B$2:$B$12,MATCH(D2540,'Tabla XP'!$A$2:$A$12,0))*IF(E2540="",1,E2540),0))</f>
        <v/>
      </c>
      <c r="G2540" s="19" t="n"/>
      <c r="H2540" s="19" t="n"/>
    </row>
    <row r="2541">
      <c r="A2541" s="22" t="n"/>
      <c r="B2541" s="19" t="n"/>
      <c r="C2541" s="18">
        <f>IF(B2541="","",IFERROR(INDEX(Jugadores!$C$2:$C$501,MATCH(B2541,Jugadores!$A$2:$A$501,0)),"⚠ ID no existe"))</f>
        <v/>
      </c>
      <c r="D2541" s="19" t="n"/>
      <c r="E2541" s="19" t="n"/>
      <c r="F2541" s="16">
        <f>IF(OR(B2541="",D2541=""),"",IFERROR(INDEX('Tabla XP'!$B$2:$B$12,MATCH(D2541,'Tabla XP'!$A$2:$A$12,0))*IF(E2541="",1,E2541),0))</f>
        <v/>
      </c>
      <c r="G2541" s="19" t="n"/>
      <c r="H2541" s="19" t="n"/>
    </row>
    <row r="2542">
      <c r="A2542" s="22" t="n"/>
      <c r="B2542" s="19" t="n"/>
      <c r="C2542" s="18">
        <f>IF(B2542="","",IFERROR(INDEX(Jugadores!$C$2:$C$501,MATCH(B2542,Jugadores!$A$2:$A$501,0)),"⚠ ID no existe"))</f>
        <v/>
      </c>
      <c r="D2542" s="19" t="n"/>
      <c r="E2542" s="19" t="n"/>
      <c r="F2542" s="16">
        <f>IF(OR(B2542="",D2542=""),"",IFERROR(INDEX('Tabla XP'!$B$2:$B$12,MATCH(D2542,'Tabla XP'!$A$2:$A$12,0))*IF(E2542="",1,E2542),0))</f>
        <v/>
      </c>
      <c r="G2542" s="19" t="n"/>
      <c r="H2542" s="19" t="n"/>
    </row>
    <row r="2543">
      <c r="A2543" s="22" t="n"/>
      <c r="B2543" s="19" t="n"/>
      <c r="C2543" s="18">
        <f>IF(B2543="","",IFERROR(INDEX(Jugadores!$C$2:$C$501,MATCH(B2543,Jugadores!$A$2:$A$501,0)),"⚠ ID no existe"))</f>
        <v/>
      </c>
      <c r="D2543" s="19" t="n"/>
      <c r="E2543" s="19" t="n"/>
      <c r="F2543" s="16">
        <f>IF(OR(B2543="",D2543=""),"",IFERROR(INDEX('Tabla XP'!$B$2:$B$12,MATCH(D2543,'Tabla XP'!$A$2:$A$12,0))*IF(E2543="",1,E2543),0))</f>
        <v/>
      </c>
      <c r="G2543" s="19" t="n"/>
      <c r="H2543" s="19" t="n"/>
    </row>
    <row r="2544">
      <c r="A2544" s="22" t="n"/>
      <c r="B2544" s="19" t="n"/>
      <c r="C2544" s="18">
        <f>IF(B2544="","",IFERROR(INDEX(Jugadores!$C$2:$C$501,MATCH(B2544,Jugadores!$A$2:$A$501,0)),"⚠ ID no existe"))</f>
        <v/>
      </c>
      <c r="D2544" s="19" t="n"/>
      <c r="E2544" s="19" t="n"/>
      <c r="F2544" s="16">
        <f>IF(OR(B2544="",D2544=""),"",IFERROR(INDEX('Tabla XP'!$B$2:$B$12,MATCH(D2544,'Tabla XP'!$A$2:$A$12,0))*IF(E2544="",1,E2544),0))</f>
        <v/>
      </c>
      <c r="G2544" s="19" t="n"/>
      <c r="H2544" s="19" t="n"/>
    </row>
    <row r="2545">
      <c r="A2545" s="22" t="n"/>
      <c r="B2545" s="19" t="n"/>
      <c r="C2545" s="18">
        <f>IF(B2545="","",IFERROR(INDEX(Jugadores!$C$2:$C$501,MATCH(B2545,Jugadores!$A$2:$A$501,0)),"⚠ ID no existe"))</f>
        <v/>
      </c>
      <c r="D2545" s="19" t="n"/>
      <c r="E2545" s="19" t="n"/>
      <c r="F2545" s="16">
        <f>IF(OR(B2545="",D2545=""),"",IFERROR(INDEX('Tabla XP'!$B$2:$B$12,MATCH(D2545,'Tabla XP'!$A$2:$A$12,0))*IF(E2545="",1,E2545),0))</f>
        <v/>
      </c>
      <c r="G2545" s="19" t="n"/>
      <c r="H2545" s="19" t="n"/>
    </row>
    <row r="2546">
      <c r="A2546" s="22" t="n"/>
      <c r="B2546" s="19" t="n"/>
      <c r="C2546" s="18">
        <f>IF(B2546="","",IFERROR(INDEX(Jugadores!$C$2:$C$501,MATCH(B2546,Jugadores!$A$2:$A$501,0)),"⚠ ID no existe"))</f>
        <v/>
      </c>
      <c r="D2546" s="19" t="n"/>
      <c r="E2546" s="19" t="n"/>
      <c r="F2546" s="16">
        <f>IF(OR(B2546="",D2546=""),"",IFERROR(INDEX('Tabla XP'!$B$2:$B$12,MATCH(D2546,'Tabla XP'!$A$2:$A$12,0))*IF(E2546="",1,E2546),0))</f>
        <v/>
      </c>
      <c r="G2546" s="19" t="n"/>
      <c r="H2546" s="19" t="n"/>
    </row>
    <row r="2547">
      <c r="A2547" s="22" t="n"/>
      <c r="B2547" s="19" t="n"/>
      <c r="C2547" s="18">
        <f>IF(B2547="","",IFERROR(INDEX(Jugadores!$C$2:$C$501,MATCH(B2547,Jugadores!$A$2:$A$501,0)),"⚠ ID no existe"))</f>
        <v/>
      </c>
      <c r="D2547" s="19" t="n"/>
      <c r="E2547" s="19" t="n"/>
      <c r="F2547" s="16">
        <f>IF(OR(B2547="",D2547=""),"",IFERROR(INDEX('Tabla XP'!$B$2:$B$12,MATCH(D2547,'Tabla XP'!$A$2:$A$12,0))*IF(E2547="",1,E2547),0))</f>
        <v/>
      </c>
      <c r="G2547" s="19" t="n"/>
      <c r="H2547" s="19" t="n"/>
    </row>
    <row r="2548">
      <c r="A2548" s="22" t="n"/>
      <c r="B2548" s="19" t="n"/>
      <c r="C2548" s="18">
        <f>IF(B2548="","",IFERROR(INDEX(Jugadores!$C$2:$C$501,MATCH(B2548,Jugadores!$A$2:$A$501,0)),"⚠ ID no existe"))</f>
        <v/>
      </c>
      <c r="D2548" s="19" t="n"/>
      <c r="E2548" s="19" t="n"/>
      <c r="F2548" s="16">
        <f>IF(OR(B2548="",D2548=""),"",IFERROR(INDEX('Tabla XP'!$B$2:$B$12,MATCH(D2548,'Tabla XP'!$A$2:$A$12,0))*IF(E2548="",1,E2548),0))</f>
        <v/>
      </c>
      <c r="G2548" s="19" t="n"/>
      <c r="H2548" s="19" t="n"/>
    </row>
    <row r="2549">
      <c r="A2549" s="22" t="n"/>
      <c r="B2549" s="19" t="n"/>
      <c r="C2549" s="18">
        <f>IF(B2549="","",IFERROR(INDEX(Jugadores!$C$2:$C$501,MATCH(B2549,Jugadores!$A$2:$A$501,0)),"⚠ ID no existe"))</f>
        <v/>
      </c>
      <c r="D2549" s="19" t="n"/>
      <c r="E2549" s="19" t="n"/>
      <c r="F2549" s="16">
        <f>IF(OR(B2549="",D2549=""),"",IFERROR(INDEX('Tabla XP'!$B$2:$B$12,MATCH(D2549,'Tabla XP'!$A$2:$A$12,0))*IF(E2549="",1,E2549),0))</f>
        <v/>
      </c>
      <c r="G2549" s="19" t="n"/>
      <c r="H2549" s="19" t="n"/>
    </row>
    <row r="2550">
      <c r="A2550" s="22" t="n"/>
      <c r="B2550" s="19" t="n"/>
      <c r="C2550" s="18">
        <f>IF(B2550="","",IFERROR(INDEX(Jugadores!$C$2:$C$501,MATCH(B2550,Jugadores!$A$2:$A$501,0)),"⚠ ID no existe"))</f>
        <v/>
      </c>
      <c r="D2550" s="19" t="n"/>
      <c r="E2550" s="19" t="n"/>
      <c r="F2550" s="16">
        <f>IF(OR(B2550="",D2550=""),"",IFERROR(INDEX('Tabla XP'!$B$2:$B$12,MATCH(D2550,'Tabla XP'!$A$2:$A$12,0))*IF(E2550="",1,E2550),0))</f>
        <v/>
      </c>
      <c r="G2550" s="19" t="n"/>
      <c r="H2550" s="19" t="n"/>
    </row>
    <row r="2551">
      <c r="A2551" s="22" t="n"/>
      <c r="B2551" s="19" t="n"/>
      <c r="C2551" s="18">
        <f>IF(B2551="","",IFERROR(INDEX(Jugadores!$C$2:$C$501,MATCH(B2551,Jugadores!$A$2:$A$501,0)),"⚠ ID no existe"))</f>
        <v/>
      </c>
      <c r="D2551" s="19" t="n"/>
      <c r="E2551" s="19" t="n"/>
      <c r="F2551" s="16">
        <f>IF(OR(B2551="",D2551=""),"",IFERROR(INDEX('Tabla XP'!$B$2:$B$12,MATCH(D2551,'Tabla XP'!$A$2:$A$12,0))*IF(E2551="",1,E2551),0))</f>
        <v/>
      </c>
      <c r="G2551" s="19" t="n"/>
      <c r="H2551" s="19" t="n"/>
    </row>
    <row r="2552">
      <c r="A2552" s="22" t="n"/>
      <c r="B2552" s="19" t="n"/>
      <c r="C2552" s="18">
        <f>IF(B2552="","",IFERROR(INDEX(Jugadores!$C$2:$C$501,MATCH(B2552,Jugadores!$A$2:$A$501,0)),"⚠ ID no existe"))</f>
        <v/>
      </c>
      <c r="D2552" s="19" t="n"/>
      <c r="E2552" s="19" t="n"/>
      <c r="F2552" s="16">
        <f>IF(OR(B2552="",D2552=""),"",IFERROR(INDEX('Tabla XP'!$B$2:$B$12,MATCH(D2552,'Tabla XP'!$A$2:$A$12,0))*IF(E2552="",1,E2552),0))</f>
        <v/>
      </c>
      <c r="G2552" s="19" t="n"/>
      <c r="H2552" s="19" t="n"/>
    </row>
    <row r="2553">
      <c r="A2553" s="22" t="n"/>
      <c r="B2553" s="19" t="n"/>
      <c r="C2553" s="18">
        <f>IF(B2553="","",IFERROR(INDEX(Jugadores!$C$2:$C$501,MATCH(B2553,Jugadores!$A$2:$A$501,0)),"⚠ ID no existe"))</f>
        <v/>
      </c>
      <c r="D2553" s="19" t="n"/>
      <c r="E2553" s="19" t="n"/>
      <c r="F2553" s="16">
        <f>IF(OR(B2553="",D2553=""),"",IFERROR(INDEX('Tabla XP'!$B$2:$B$12,MATCH(D2553,'Tabla XP'!$A$2:$A$12,0))*IF(E2553="",1,E2553),0))</f>
        <v/>
      </c>
      <c r="G2553" s="19" t="n"/>
      <c r="H2553" s="19" t="n"/>
    </row>
    <row r="2554">
      <c r="A2554" s="22" t="n"/>
      <c r="B2554" s="19" t="n"/>
      <c r="C2554" s="18">
        <f>IF(B2554="","",IFERROR(INDEX(Jugadores!$C$2:$C$501,MATCH(B2554,Jugadores!$A$2:$A$501,0)),"⚠ ID no existe"))</f>
        <v/>
      </c>
      <c r="D2554" s="19" t="n"/>
      <c r="E2554" s="19" t="n"/>
      <c r="F2554" s="16">
        <f>IF(OR(B2554="",D2554=""),"",IFERROR(INDEX('Tabla XP'!$B$2:$B$12,MATCH(D2554,'Tabla XP'!$A$2:$A$12,0))*IF(E2554="",1,E2554),0))</f>
        <v/>
      </c>
      <c r="G2554" s="19" t="n"/>
      <c r="H2554" s="19" t="n"/>
    </row>
    <row r="2555">
      <c r="A2555" s="22" t="n"/>
      <c r="B2555" s="19" t="n"/>
      <c r="C2555" s="18">
        <f>IF(B2555="","",IFERROR(INDEX(Jugadores!$C$2:$C$501,MATCH(B2555,Jugadores!$A$2:$A$501,0)),"⚠ ID no existe"))</f>
        <v/>
      </c>
      <c r="D2555" s="19" t="n"/>
      <c r="E2555" s="19" t="n"/>
      <c r="F2555" s="16">
        <f>IF(OR(B2555="",D2555=""),"",IFERROR(INDEX('Tabla XP'!$B$2:$B$12,MATCH(D2555,'Tabla XP'!$A$2:$A$12,0))*IF(E2555="",1,E2555),0))</f>
        <v/>
      </c>
      <c r="G2555" s="19" t="n"/>
      <c r="H2555" s="19" t="n"/>
    </row>
    <row r="2556">
      <c r="A2556" s="22" t="n"/>
      <c r="B2556" s="19" t="n"/>
      <c r="C2556" s="18">
        <f>IF(B2556="","",IFERROR(INDEX(Jugadores!$C$2:$C$501,MATCH(B2556,Jugadores!$A$2:$A$501,0)),"⚠ ID no existe"))</f>
        <v/>
      </c>
      <c r="D2556" s="19" t="n"/>
      <c r="E2556" s="19" t="n"/>
      <c r="F2556" s="16">
        <f>IF(OR(B2556="",D2556=""),"",IFERROR(INDEX('Tabla XP'!$B$2:$B$12,MATCH(D2556,'Tabla XP'!$A$2:$A$12,0))*IF(E2556="",1,E2556),0))</f>
        <v/>
      </c>
      <c r="G2556" s="19" t="n"/>
      <c r="H2556" s="19" t="n"/>
    </row>
    <row r="2557">
      <c r="A2557" s="22" t="n"/>
      <c r="B2557" s="19" t="n"/>
      <c r="C2557" s="18">
        <f>IF(B2557="","",IFERROR(INDEX(Jugadores!$C$2:$C$501,MATCH(B2557,Jugadores!$A$2:$A$501,0)),"⚠ ID no existe"))</f>
        <v/>
      </c>
      <c r="D2557" s="19" t="n"/>
      <c r="E2557" s="19" t="n"/>
      <c r="F2557" s="16">
        <f>IF(OR(B2557="",D2557=""),"",IFERROR(INDEX('Tabla XP'!$B$2:$B$12,MATCH(D2557,'Tabla XP'!$A$2:$A$12,0))*IF(E2557="",1,E2557),0))</f>
        <v/>
      </c>
      <c r="G2557" s="19" t="n"/>
      <c r="H2557" s="19" t="n"/>
    </row>
    <row r="2558">
      <c r="A2558" s="22" t="n"/>
      <c r="B2558" s="19" t="n"/>
      <c r="C2558" s="18">
        <f>IF(B2558="","",IFERROR(INDEX(Jugadores!$C$2:$C$501,MATCH(B2558,Jugadores!$A$2:$A$501,0)),"⚠ ID no existe"))</f>
        <v/>
      </c>
      <c r="D2558" s="19" t="n"/>
      <c r="E2558" s="19" t="n"/>
      <c r="F2558" s="16">
        <f>IF(OR(B2558="",D2558=""),"",IFERROR(INDEX('Tabla XP'!$B$2:$B$12,MATCH(D2558,'Tabla XP'!$A$2:$A$12,0))*IF(E2558="",1,E2558),0))</f>
        <v/>
      </c>
      <c r="G2558" s="19" t="n"/>
      <c r="H2558" s="19" t="n"/>
    </row>
    <row r="2559">
      <c r="A2559" s="22" t="n"/>
      <c r="B2559" s="19" t="n"/>
      <c r="C2559" s="18">
        <f>IF(B2559="","",IFERROR(INDEX(Jugadores!$C$2:$C$501,MATCH(B2559,Jugadores!$A$2:$A$501,0)),"⚠ ID no existe"))</f>
        <v/>
      </c>
      <c r="D2559" s="19" t="n"/>
      <c r="E2559" s="19" t="n"/>
      <c r="F2559" s="16">
        <f>IF(OR(B2559="",D2559=""),"",IFERROR(INDEX('Tabla XP'!$B$2:$B$12,MATCH(D2559,'Tabla XP'!$A$2:$A$12,0))*IF(E2559="",1,E2559),0))</f>
        <v/>
      </c>
      <c r="G2559" s="19" t="n"/>
      <c r="H2559" s="19" t="n"/>
    </row>
    <row r="2560">
      <c r="A2560" s="22" t="n"/>
      <c r="B2560" s="19" t="n"/>
      <c r="C2560" s="18">
        <f>IF(B2560="","",IFERROR(INDEX(Jugadores!$C$2:$C$501,MATCH(B2560,Jugadores!$A$2:$A$501,0)),"⚠ ID no existe"))</f>
        <v/>
      </c>
      <c r="D2560" s="19" t="n"/>
      <c r="E2560" s="19" t="n"/>
      <c r="F2560" s="16">
        <f>IF(OR(B2560="",D2560=""),"",IFERROR(INDEX('Tabla XP'!$B$2:$B$12,MATCH(D2560,'Tabla XP'!$A$2:$A$12,0))*IF(E2560="",1,E2560),0))</f>
        <v/>
      </c>
      <c r="G2560" s="19" t="n"/>
      <c r="H2560" s="19" t="n"/>
    </row>
    <row r="2561">
      <c r="A2561" s="22" t="n"/>
      <c r="B2561" s="19" t="n"/>
      <c r="C2561" s="18">
        <f>IF(B2561="","",IFERROR(INDEX(Jugadores!$C$2:$C$501,MATCH(B2561,Jugadores!$A$2:$A$501,0)),"⚠ ID no existe"))</f>
        <v/>
      </c>
      <c r="D2561" s="19" t="n"/>
      <c r="E2561" s="19" t="n"/>
      <c r="F2561" s="16">
        <f>IF(OR(B2561="",D2561=""),"",IFERROR(INDEX('Tabla XP'!$B$2:$B$12,MATCH(D2561,'Tabla XP'!$A$2:$A$12,0))*IF(E2561="",1,E2561),0))</f>
        <v/>
      </c>
      <c r="G2561" s="19" t="n"/>
      <c r="H2561" s="19" t="n"/>
    </row>
    <row r="2562">
      <c r="A2562" s="22" t="n"/>
      <c r="B2562" s="19" t="n"/>
      <c r="C2562" s="18">
        <f>IF(B2562="","",IFERROR(INDEX(Jugadores!$C$2:$C$501,MATCH(B2562,Jugadores!$A$2:$A$501,0)),"⚠ ID no existe"))</f>
        <v/>
      </c>
      <c r="D2562" s="19" t="n"/>
      <c r="E2562" s="19" t="n"/>
      <c r="F2562" s="16">
        <f>IF(OR(B2562="",D2562=""),"",IFERROR(INDEX('Tabla XP'!$B$2:$B$12,MATCH(D2562,'Tabla XP'!$A$2:$A$12,0))*IF(E2562="",1,E2562),0))</f>
        <v/>
      </c>
      <c r="G2562" s="19" t="n"/>
      <c r="H2562" s="19" t="n"/>
    </row>
    <row r="2563">
      <c r="A2563" s="22" t="n"/>
      <c r="B2563" s="19" t="n"/>
      <c r="C2563" s="18">
        <f>IF(B2563="","",IFERROR(INDEX(Jugadores!$C$2:$C$501,MATCH(B2563,Jugadores!$A$2:$A$501,0)),"⚠ ID no existe"))</f>
        <v/>
      </c>
      <c r="D2563" s="19" t="n"/>
      <c r="E2563" s="19" t="n"/>
      <c r="F2563" s="16">
        <f>IF(OR(B2563="",D2563=""),"",IFERROR(INDEX('Tabla XP'!$B$2:$B$12,MATCH(D2563,'Tabla XP'!$A$2:$A$12,0))*IF(E2563="",1,E2563),0))</f>
        <v/>
      </c>
      <c r="G2563" s="19" t="n"/>
      <c r="H2563" s="19" t="n"/>
    </row>
    <row r="2564">
      <c r="A2564" s="22" t="n"/>
      <c r="B2564" s="19" t="n"/>
      <c r="C2564" s="18">
        <f>IF(B2564="","",IFERROR(INDEX(Jugadores!$C$2:$C$501,MATCH(B2564,Jugadores!$A$2:$A$501,0)),"⚠ ID no existe"))</f>
        <v/>
      </c>
      <c r="D2564" s="19" t="n"/>
      <c r="E2564" s="19" t="n"/>
      <c r="F2564" s="16">
        <f>IF(OR(B2564="",D2564=""),"",IFERROR(INDEX('Tabla XP'!$B$2:$B$12,MATCH(D2564,'Tabla XP'!$A$2:$A$12,0))*IF(E2564="",1,E2564),0))</f>
        <v/>
      </c>
      <c r="G2564" s="19" t="n"/>
      <c r="H2564" s="19" t="n"/>
    </row>
    <row r="2565">
      <c r="A2565" s="22" t="n"/>
      <c r="B2565" s="19" t="n"/>
      <c r="C2565" s="18">
        <f>IF(B2565="","",IFERROR(INDEX(Jugadores!$C$2:$C$501,MATCH(B2565,Jugadores!$A$2:$A$501,0)),"⚠ ID no existe"))</f>
        <v/>
      </c>
      <c r="D2565" s="19" t="n"/>
      <c r="E2565" s="19" t="n"/>
      <c r="F2565" s="16">
        <f>IF(OR(B2565="",D2565=""),"",IFERROR(INDEX('Tabla XP'!$B$2:$B$12,MATCH(D2565,'Tabla XP'!$A$2:$A$12,0))*IF(E2565="",1,E2565),0))</f>
        <v/>
      </c>
      <c r="G2565" s="19" t="n"/>
      <c r="H2565" s="19" t="n"/>
    </row>
    <row r="2566">
      <c r="A2566" s="22" t="n"/>
      <c r="B2566" s="19" t="n"/>
      <c r="C2566" s="18">
        <f>IF(B2566="","",IFERROR(INDEX(Jugadores!$C$2:$C$501,MATCH(B2566,Jugadores!$A$2:$A$501,0)),"⚠ ID no existe"))</f>
        <v/>
      </c>
      <c r="D2566" s="19" t="n"/>
      <c r="E2566" s="19" t="n"/>
      <c r="F2566" s="16">
        <f>IF(OR(B2566="",D2566=""),"",IFERROR(INDEX('Tabla XP'!$B$2:$B$12,MATCH(D2566,'Tabla XP'!$A$2:$A$12,0))*IF(E2566="",1,E2566),0))</f>
        <v/>
      </c>
      <c r="G2566" s="19" t="n"/>
      <c r="H2566" s="19" t="n"/>
    </row>
    <row r="2567">
      <c r="A2567" s="22" t="n"/>
      <c r="B2567" s="19" t="n"/>
      <c r="C2567" s="18">
        <f>IF(B2567="","",IFERROR(INDEX(Jugadores!$C$2:$C$501,MATCH(B2567,Jugadores!$A$2:$A$501,0)),"⚠ ID no existe"))</f>
        <v/>
      </c>
      <c r="D2567" s="19" t="n"/>
      <c r="E2567" s="19" t="n"/>
      <c r="F2567" s="16">
        <f>IF(OR(B2567="",D2567=""),"",IFERROR(INDEX('Tabla XP'!$B$2:$B$12,MATCH(D2567,'Tabla XP'!$A$2:$A$12,0))*IF(E2567="",1,E2567),0))</f>
        <v/>
      </c>
      <c r="G2567" s="19" t="n"/>
      <c r="H2567" s="19" t="n"/>
    </row>
    <row r="2568">
      <c r="A2568" s="22" t="n"/>
      <c r="B2568" s="19" t="n"/>
      <c r="C2568" s="18">
        <f>IF(B2568="","",IFERROR(INDEX(Jugadores!$C$2:$C$501,MATCH(B2568,Jugadores!$A$2:$A$501,0)),"⚠ ID no existe"))</f>
        <v/>
      </c>
      <c r="D2568" s="19" t="n"/>
      <c r="E2568" s="19" t="n"/>
      <c r="F2568" s="16">
        <f>IF(OR(B2568="",D2568=""),"",IFERROR(INDEX('Tabla XP'!$B$2:$B$12,MATCH(D2568,'Tabla XP'!$A$2:$A$12,0))*IF(E2568="",1,E2568),0))</f>
        <v/>
      </c>
      <c r="G2568" s="19" t="n"/>
      <c r="H2568" s="19" t="n"/>
    </row>
    <row r="2569">
      <c r="A2569" s="22" t="n"/>
      <c r="B2569" s="19" t="n"/>
      <c r="C2569" s="18">
        <f>IF(B2569="","",IFERROR(INDEX(Jugadores!$C$2:$C$501,MATCH(B2569,Jugadores!$A$2:$A$501,0)),"⚠ ID no existe"))</f>
        <v/>
      </c>
      <c r="D2569" s="19" t="n"/>
      <c r="E2569" s="19" t="n"/>
      <c r="F2569" s="16">
        <f>IF(OR(B2569="",D2569=""),"",IFERROR(INDEX('Tabla XP'!$B$2:$B$12,MATCH(D2569,'Tabla XP'!$A$2:$A$12,0))*IF(E2569="",1,E2569),0))</f>
        <v/>
      </c>
      <c r="G2569" s="19" t="n"/>
      <c r="H2569" s="19" t="n"/>
    </row>
    <row r="2570">
      <c r="A2570" s="22" t="n"/>
      <c r="B2570" s="19" t="n"/>
      <c r="C2570" s="18">
        <f>IF(B2570="","",IFERROR(INDEX(Jugadores!$C$2:$C$501,MATCH(B2570,Jugadores!$A$2:$A$501,0)),"⚠ ID no existe"))</f>
        <v/>
      </c>
      <c r="D2570" s="19" t="n"/>
      <c r="E2570" s="19" t="n"/>
      <c r="F2570" s="16">
        <f>IF(OR(B2570="",D2570=""),"",IFERROR(INDEX('Tabla XP'!$B$2:$B$12,MATCH(D2570,'Tabla XP'!$A$2:$A$12,0))*IF(E2570="",1,E2570),0))</f>
        <v/>
      </c>
      <c r="G2570" s="19" t="n"/>
      <c r="H2570" s="19" t="n"/>
    </row>
    <row r="2571">
      <c r="A2571" s="22" t="n"/>
      <c r="B2571" s="19" t="n"/>
      <c r="C2571" s="18">
        <f>IF(B2571="","",IFERROR(INDEX(Jugadores!$C$2:$C$501,MATCH(B2571,Jugadores!$A$2:$A$501,0)),"⚠ ID no existe"))</f>
        <v/>
      </c>
      <c r="D2571" s="19" t="n"/>
      <c r="E2571" s="19" t="n"/>
      <c r="F2571" s="16">
        <f>IF(OR(B2571="",D2571=""),"",IFERROR(INDEX('Tabla XP'!$B$2:$B$12,MATCH(D2571,'Tabla XP'!$A$2:$A$12,0))*IF(E2571="",1,E2571),0))</f>
        <v/>
      </c>
      <c r="G2571" s="19" t="n"/>
      <c r="H2571" s="19" t="n"/>
    </row>
    <row r="2572">
      <c r="A2572" s="22" t="n"/>
      <c r="B2572" s="19" t="n"/>
      <c r="C2572" s="18">
        <f>IF(B2572="","",IFERROR(INDEX(Jugadores!$C$2:$C$501,MATCH(B2572,Jugadores!$A$2:$A$501,0)),"⚠ ID no existe"))</f>
        <v/>
      </c>
      <c r="D2572" s="19" t="n"/>
      <c r="E2572" s="19" t="n"/>
      <c r="F2572" s="16">
        <f>IF(OR(B2572="",D2572=""),"",IFERROR(INDEX('Tabla XP'!$B$2:$B$12,MATCH(D2572,'Tabla XP'!$A$2:$A$12,0))*IF(E2572="",1,E2572),0))</f>
        <v/>
      </c>
      <c r="G2572" s="19" t="n"/>
      <c r="H2572" s="19" t="n"/>
    </row>
    <row r="2573">
      <c r="A2573" s="22" t="n"/>
      <c r="B2573" s="19" t="n"/>
      <c r="C2573" s="18">
        <f>IF(B2573="","",IFERROR(INDEX(Jugadores!$C$2:$C$501,MATCH(B2573,Jugadores!$A$2:$A$501,0)),"⚠ ID no existe"))</f>
        <v/>
      </c>
      <c r="D2573" s="19" t="n"/>
      <c r="E2573" s="19" t="n"/>
      <c r="F2573" s="16">
        <f>IF(OR(B2573="",D2573=""),"",IFERROR(INDEX('Tabla XP'!$B$2:$B$12,MATCH(D2573,'Tabla XP'!$A$2:$A$12,0))*IF(E2573="",1,E2573),0))</f>
        <v/>
      </c>
      <c r="G2573" s="19" t="n"/>
      <c r="H2573" s="19" t="n"/>
    </row>
    <row r="2574">
      <c r="A2574" s="22" t="n"/>
      <c r="B2574" s="19" t="n"/>
      <c r="C2574" s="18">
        <f>IF(B2574="","",IFERROR(INDEX(Jugadores!$C$2:$C$501,MATCH(B2574,Jugadores!$A$2:$A$501,0)),"⚠ ID no existe"))</f>
        <v/>
      </c>
      <c r="D2574" s="19" t="n"/>
      <c r="E2574" s="19" t="n"/>
      <c r="F2574" s="16">
        <f>IF(OR(B2574="",D2574=""),"",IFERROR(INDEX('Tabla XP'!$B$2:$B$12,MATCH(D2574,'Tabla XP'!$A$2:$A$12,0))*IF(E2574="",1,E2574),0))</f>
        <v/>
      </c>
      <c r="G2574" s="19" t="n"/>
      <c r="H2574" s="19" t="n"/>
    </row>
    <row r="2575">
      <c r="A2575" s="22" t="n"/>
      <c r="B2575" s="19" t="n"/>
      <c r="C2575" s="18">
        <f>IF(B2575="","",IFERROR(INDEX(Jugadores!$C$2:$C$501,MATCH(B2575,Jugadores!$A$2:$A$501,0)),"⚠ ID no existe"))</f>
        <v/>
      </c>
      <c r="D2575" s="19" t="n"/>
      <c r="E2575" s="19" t="n"/>
      <c r="F2575" s="16">
        <f>IF(OR(B2575="",D2575=""),"",IFERROR(INDEX('Tabla XP'!$B$2:$B$12,MATCH(D2575,'Tabla XP'!$A$2:$A$12,0))*IF(E2575="",1,E2575),0))</f>
        <v/>
      </c>
      <c r="G2575" s="19" t="n"/>
      <c r="H2575" s="19" t="n"/>
    </row>
    <row r="2576">
      <c r="A2576" s="22" t="n"/>
      <c r="B2576" s="19" t="n"/>
      <c r="C2576" s="18">
        <f>IF(B2576="","",IFERROR(INDEX(Jugadores!$C$2:$C$501,MATCH(B2576,Jugadores!$A$2:$A$501,0)),"⚠ ID no existe"))</f>
        <v/>
      </c>
      <c r="D2576" s="19" t="n"/>
      <c r="E2576" s="19" t="n"/>
      <c r="F2576" s="16">
        <f>IF(OR(B2576="",D2576=""),"",IFERROR(INDEX('Tabla XP'!$B$2:$B$12,MATCH(D2576,'Tabla XP'!$A$2:$A$12,0))*IF(E2576="",1,E2576),0))</f>
        <v/>
      </c>
      <c r="G2576" s="19" t="n"/>
      <c r="H2576" s="19" t="n"/>
    </row>
    <row r="2577">
      <c r="A2577" s="22" t="n"/>
      <c r="B2577" s="19" t="n"/>
      <c r="C2577" s="18">
        <f>IF(B2577="","",IFERROR(INDEX(Jugadores!$C$2:$C$501,MATCH(B2577,Jugadores!$A$2:$A$501,0)),"⚠ ID no existe"))</f>
        <v/>
      </c>
      <c r="D2577" s="19" t="n"/>
      <c r="E2577" s="19" t="n"/>
      <c r="F2577" s="16">
        <f>IF(OR(B2577="",D2577=""),"",IFERROR(INDEX('Tabla XP'!$B$2:$B$12,MATCH(D2577,'Tabla XP'!$A$2:$A$12,0))*IF(E2577="",1,E2577),0))</f>
        <v/>
      </c>
      <c r="G2577" s="19" t="n"/>
      <c r="H2577" s="19" t="n"/>
    </row>
    <row r="2578">
      <c r="A2578" s="22" t="n"/>
      <c r="B2578" s="19" t="n"/>
      <c r="C2578" s="18">
        <f>IF(B2578="","",IFERROR(INDEX(Jugadores!$C$2:$C$501,MATCH(B2578,Jugadores!$A$2:$A$501,0)),"⚠ ID no existe"))</f>
        <v/>
      </c>
      <c r="D2578" s="19" t="n"/>
      <c r="E2578" s="19" t="n"/>
      <c r="F2578" s="16">
        <f>IF(OR(B2578="",D2578=""),"",IFERROR(INDEX('Tabla XP'!$B$2:$B$12,MATCH(D2578,'Tabla XP'!$A$2:$A$12,0))*IF(E2578="",1,E2578),0))</f>
        <v/>
      </c>
      <c r="G2578" s="19" t="n"/>
      <c r="H2578" s="19" t="n"/>
    </row>
    <row r="2579">
      <c r="A2579" s="22" t="n"/>
      <c r="B2579" s="19" t="n"/>
      <c r="C2579" s="18">
        <f>IF(B2579="","",IFERROR(INDEX(Jugadores!$C$2:$C$501,MATCH(B2579,Jugadores!$A$2:$A$501,0)),"⚠ ID no existe"))</f>
        <v/>
      </c>
      <c r="D2579" s="19" t="n"/>
      <c r="E2579" s="19" t="n"/>
      <c r="F2579" s="16">
        <f>IF(OR(B2579="",D2579=""),"",IFERROR(INDEX('Tabla XP'!$B$2:$B$12,MATCH(D2579,'Tabla XP'!$A$2:$A$12,0))*IF(E2579="",1,E2579),0))</f>
        <v/>
      </c>
      <c r="G2579" s="19" t="n"/>
      <c r="H2579" s="19" t="n"/>
    </row>
    <row r="2580">
      <c r="A2580" s="22" t="n"/>
      <c r="B2580" s="19" t="n"/>
      <c r="C2580" s="18">
        <f>IF(B2580="","",IFERROR(INDEX(Jugadores!$C$2:$C$501,MATCH(B2580,Jugadores!$A$2:$A$501,0)),"⚠ ID no existe"))</f>
        <v/>
      </c>
      <c r="D2580" s="19" t="n"/>
      <c r="E2580" s="19" t="n"/>
      <c r="F2580" s="16">
        <f>IF(OR(B2580="",D2580=""),"",IFERROR(INDEX('Tabla XP'!$B$2:$B$12,MATCH(D2580,'Tabla XP'!$A$2:$A$12,0))*IF(E2580="",1,E2580),0))</f>
        <v/>
      </c>
      <c r="G2580" s="19" t="n"/>
      <c r="H2580" s="19" t="n"/>
    </row>
    <row r="2581">
      <c r="A2581" s="22" t="n"/>
      <c r="B2581" s="19" t="n"/>
      <c r="C2581" s="18">
        <f>IF(B2581="","",IFERROR(INDEX(Jugadores!$C$2:$C$501,MATCH(B2581,Jugadores!$A$2:$A$501,0)),"⚠ ID no existe"))</f>
        <v/>
      </c>
      <c r="D2581" s="19" t="n"/>
      <c r="E2581" s="19" t="n"/>
      <c r="F2581" s="16">
        <f>IF(OR(B2581="",D2581=""),"",IFERROR(INDEX('Tabla XP'!$B$2:$B$12,MATCH(D2581,'Tabla XP'!$A$2:$A$12,0))*IF(E2581="",1,E2581),0))</f>
        <v/>
      </c>
      <c r="G2581" s="19" t="n"/>
      <c r="H2581" s="19" t="n"/>
    </row>
    <row r="2582">
      <c r="A2582" s="22" t="n"/>
      <c r="B2582" s="19" t="n"/>
      <c r="C2582" s="18">
        <f>IF(B2582="","",IFERROR(INDEX(Jugadores!$C$2:$C$501,MATCH(B2582,Jugadores!$A$2:$A$501,0)),"⚠ ID no existe"))</f>
        <v/>
      </c>
      <c r="D2582" s="19" t="n"/>
      <c r="E2582" s="19" t="n"/>
      <c r="F2582" s="16">
        <f>IF(OR(B2582="",D2582=""),"",IFERROR(INDEX('Tabla XP'!$B$2:$B$12,MATCH(D2582,'Tabla XP'!$A$2:$A$12,0))*IF(E2582="",1,E2582),0))</f>
        <v/>
      </c>
      <c r="G2582" s="19" t="n"/>
      <c r="H2582" s="19" t="n"/>
    </row>
    <row r="2583">
      <c r="A2583" s="22" t="n"/>
      <c r="B2583" s="19" t="n"/>
      <c r="C2583" s="18">
        <f>IF(B2583="","",IFERROR(INDEX(Jugadores!$C$2:$C$501,MATCH(B2583,Jugadores!$A$2:$A$501,0)),"⚠ ID no existe"))</f>
        <v/>
      </c>
      <c r="D2583" s="19" t="n"/>
      <c r="E2583" s="19" t="n"/>
      <c r="F2583" s="16">
        <f>IF(OR(B2583="",D2583=""),"",IFERROR(INDEX('Tabla XP'!$B$2:$B$12,MATCH(D2583,'Tabla XP'!$A$2:$A$12,0))*IF(E2583="",1,E2583),0))</f>
        <v/>
      </c>
      <c r="G2583" s="19" t="n"/>
      <c r="H2583" s="19" t="n"/>
    </row>
    <row r="2584">
      <c r="A2584" s="22" t="n"/>
      <c r="B2584" s="19" t="n"/>
      <c r="C2584" s="18">
        <f>IF(B2584="","",IFERROR(INDEX(Jugadores!$C$2:$C$501,MATCH(B2584,Jugadores!$A$2:$A$501,0)),"⚠ ID no existe"))</f>
        <v/>
      </c>
      <c r="D2584" s="19" t="n"/>
      <c r="E2584" s="19" t="n"/>
      <c r="F2584" s="16">
        <f>IF(OR(B2584="",D2584=""),"",IFERROR(INDEX('Tabla XP'!$B$2:$B$12,MATCH(D2584,'Tabla XP'!$A$2:$A$12,0))*IF(E2584="",1,E2584),0))</f>
        <v/>
      </c>
      <c r="G2584" s="19" t="n"/>
      <c r="H2584" s="19" t="n"/>
    </row>
    <row r="2585">
      <c r="A2585" s="22" t="n"/>
      <c r="B2585" s="19" t="n"/>
      <c r="C2585" s="18">
        <f>IF(B2585="","",IFERROR(INDEX(Jugadores!$C$2:$C$501,MATCH(B2585,Jugadores!$A$2:$A$501,0)),"⚠ ID no existe"))</f>
        <v/>
      </c>
      <c r="D2585" s="19" t="n"/>
      <c r="E2585" s="19" t="n"/>
      <c r="F2585" s="16">
        <f>IF(OR(B2585="",D2585=""),"",IFERROR(INDEX('Tabla XP'!$B$2:$B$12,MATCH(D2585,'Tabla XP'!$A$2:$A$12,0))*IF(E2585="",1,E2585),0))</f>
        <v/>
      </c>
      <c r="G2585" s="19" t="n"/>
      <c r="H2585" s="19" t="n"/>
    </row>
    <row r="2586">
      <c r="A2586" s="22" t="n"/>
      <c r="B2586" s="19" t="n"/>
      <c r="C2586" s="18">
        <f>IF(B2586="","",IFERROR(INDEX(Jugadores!$C$2:$C$501,MATCH(B2586,Jugadores!$A$2:$A$501,0)),"⚠ ID no existe"))</f>
        <v/>
      </c>
      <c r="D2586" s="19" t="n"/>
      <c r="E2586" s="19" t="n"/>
      <c r="F2586" s="16">
        <f>IF(OR(B2586="",D2586=""),"",IFERROR(INDEX('Tabla XP'!$B$2:$B$12,MATCH(D2586,'Tabla XP'!$A$2:$A$12,0))*IF(E2586="",1,E2586),0))</f>
        <v/>
      </c>
      <c r="G2586" s="19" t="n"/>
      <c r="H2586" s="19" t="n"/>
    </row>
    <row r="2587">
      <c r="A2587" s="22" t="n"/>
      <c r="B2587" s="19" t="n"/>
      <c r="C2587" s="18">
        <f>IF(B2587="","",IFERROR(INDEX(Jugadores!$C$2:$C$501,MATCH(B2587,Jugadores!$A$2:$A$501,0)),"⚠ ID no existe"))</f>
        <v/>
      </c>
      <c r="D2587" s="19" t="n"/>
      <c r="E2587" s="19" t="n"/>
      <c r="F2587" s="16">
        <f>IF(OR(B2587="",D2587=""),"",IFERROR(INDEX('Tabla XP'!$B$2:$B$12,MATCH(D2587,'Tabla XP'!$A$2:$A$12,0))*IF(E2587="",1,E2587),0))</f>
        <v/>
      </c>
      <c r="G2587" s="19" t="n"/>
      <c r="H2587" s="19" t="n"/>
    </row>
    <row r="2588">
      <c r="A2588" s="22" t="n"/>
      <c r="B2588" s="19" t="n"/>
      <c r="C2588" s="18">
        <f>IF(B2588="","",IFERROR(INDEX(Jugadores!$C$2:$C$501,MATCH(B2588,Jugadores!$A$2:$A$501,0)),"⚠ ID no existe"))</f>
        <v/>
      </c>
      <c r="D2588" s="19" t="n"/>
      <c r="E2588" s="19" t="n"/>
      <c r="F2588" s="16">
        <f>IF(OR(B2588="",D2588=""),"",IFERROR(INDEX('Tabla XP'!$B$2:$B$12,MATCH(D2588,'Tabla XP'!$A$2:$A$12,0))*IF(E2588="",1,E2588),0))</f>
        <v/>
      </c>
      <c r="G2588" s="19" t="n"/>
      <c r="H2588" s="19" t="n"/>
    </row>
    <row r="2589">
      <c r="A2589" s="22" t="n"/>
      <c r="B2589" s="19" t="n"/>
      <c r="C2589" s="18">
        <f>IF(B2589="","",IFERROR(INDEX(Jugadores!$C$2:$C$501,MATCH(B2589,Jugadores!$A$2:$A$501,0)),"⚠ ID no existe"))</f>
        <v/>
      </c>
      <c r="D2589" s="19" t="n"/>
      <c r="E2589" s="19" t="n"/>
      <c r="F2589" s="16">
        <f>IF(OR(B2589="",D2589=""),"",IFERROR(INDEX('Tabla XP'!$B$2:$B$12,MATCH(D2589,'Tabla XP'!$A$2:$A$12,0))*IF(E2589="",1,E2589),0))</f>
        <v/>
      </c>
      <c r="G2589" s="19" t="n"/>
      <c r="H2589" s="19" t="n"/>
    </row>
    <row r="2590">
      <c r="A2590" s="22" t="n"/>
      <c r="B2590" s="19" t="n"/>
      <c r="C2590" s="18">
        <f>IF(B2590="","",IFERROR(INDEX(Jugadores!$C$2:$C$501,MATCH(B2590,Jugadores!$A$2:$A$501,0)),"⚠ ID no existe"))</f>
        <v/>
      </c>
      <c r="D2590" s="19" t="n"/>
      <c r="E2590" s="19" t="n"/>
      <c r="F2590" s="16">
        <f>IF(OR(B2590="",D2590=""),"",IFERROR(INDEX('Tabla XP'!$B$2:$B$12,MATCH(D2590,'Tabla XP'!$A$2:$A$12,0))*IF(E2590="",1,E2590),0))</f>
        <v/>
      </c>
      <c r="G2590" s="19" t="n"/>
      <c r="H2590" s="19" t="n"/>
    </row>
    <row r="2591">
      <c r="A2591" s="22" t="n"/>
      <c r="B2591" s="19" t="n"/>
      <c r="C2591" s="18">
        <f>IF(B2591="","",IFERROR(INDEX(Jugadores!$C$2:$C$501,MATCH(B2591,Jugadores!$A$2:$A$501,0)),"⚠ ID no existe"))</f>
        <v/>
      </c>
      <c r="D2591" s="19" t="n"/>
      <c r="E2591" s="19" t="n"/>
      <c r="F2591" s="16">
        <f>IF(OR(B2591="",D2591=""),"",IFERROR(INDEX('Tabla XP'!$B$2:$B$12,MATCH(D2591,'Tabla XP'!$A$2:$A$12,0))*IF(E2591="",1,E2591),0))</f>
        <v/>
      </c>
      <c r="G2591" s="19" t="n"/>
      <c r="H2591" s="19" t="n"/>
    </row>
    <row r="2592">
      <c r="A2592" s="22" t="n"/>
      <c r="B2592" s="19" t="n"/>
      <c r="C2592" s="18">
        <f>IF(B2592="","",IFERROR(INDEX(Jugadores!$C$2:$C$501,MATCH(B2592,Jugadores!$A$2:$A$501,0)),"⚠ ID no existe"))</f>
        <v/>
      </c>
      <c r="D2592" s="19" t="n"/>
      <c r="E2592" s="19" t="n"/>
      <c r="F2592" s="16">
        <f>IF(OR(B2592="",D2592=""),"",IFERROR(INDEX('Tabla XP'!$B$2:$B$12,MATCH(D2592,'Tabla XP'!$A$2:$A$12,0))*IF(E2592="",1,E2592),0))</f>
        <v/>
      </c>
      <c r="G2592" s="19" t="n"/>
      <c r="H2592" s="19" t="n"/>
    </row>
    <row r="2593">
      <c r="A2593" s="22" t="n"/>
      <c r="B2593" s="19" t="n"/>
      <c r="C2593" s="18">
        <f>IF(B2593="","",IFERROR(INDEX(Jugadores!$C$2:$C$501,MATCH(B2593,Jugadores!$A$2:$A$501,0)),"⚠ ID no existe"))</f>
        <v/>
      </c>
      <c r="D2593" s="19" t="n"/>
      <c r="E2593" s="19" t="n"/>
      <c r="F2593" s="16">
        <f>IF(OR(B2593="",D2593=""),"",IFERROR(INDEX('Tabla XP'!$B$2:$B$12,MATCH(D2593,'Tabla XP'!$A$2:$A$12,0))*IF(E2593="",1,E2593),0))</f>
        <v/>
      </c>
      <c r="G2593" s="19" t="n"/>
      <c r="H2593" s="19" t="n"/>
    </row>
    <row r="2594">
      <c r="A2594" s="22" t="n"/>
      <c r="B2594" s="19" t="n"/>
      <c r="C2594" s="18">
        <f>IF(B2594="","",IFERROR(INDEX(Jugadores!$C$2:$C$501,MATCH(B2594,Jugadores!$A$2:$A$501,0)),"⚠ ID no existe"))</f>
        <v/>
      </c>
      <c r="D2594" s="19" t="n"/>
      <c r="E2594" s="19" t="n"/>
      <c r="F2594" s="16">
        <f>IF(OR(B2594="",D2594=""),"",IFERROR(INDEX('Tabla XP'!$B$2:$B$12,MATCH(D2594,'Tabla XP'!$A$2:$A$12,0))*IF(E2594="",1,E2594),0))</f>
        <v/>
      </c>
      <c r="G2594" s="19" t="n"/>
      <c r="H2594" s="19" t="n"/>
    </row>
    <row r="2595">
      <c r="A2595" s="22" t="n"/>
      <c r="B2595" s="19" t="n"/>
      <c r="C2595" s="18">
        <f>IF(B2595="","",IFERROR(INDEX(Jugadores!$C$2:$C$501,MATCH(B2595,Jugadores!$A$2:$A$501,0)),"⚠ ID no existe"))</f>
        <v/>
      </c>
      <c r="D2595" s="19" t="n"/>
      <c r="E2595" s="19" t="n"/>
      <c r="F2595" s="16">
        <f>IF(OR(B2595="",D2595=""),"",IFERROR(INDEX('Tabla XP'!$B$2:$B$12,MATCH(D2595,'Tabla XP'!$A$2:$A$12,0))*IF(E2595="",1,E2595),0))</f>
        <v/>
      </c>
      <c r="G2595" s="19" t="n"/>
      <c r="H2595" s="19" t="n"/>
    </row>
    <row r="2596">
      <c r="A2596" s="22" t="n"/>
      <c r="B2596" s="19" t="n"/>
      <c r="C2596" s="18">
        <f>IF(B2596="","",IFERROR(INDEX(Jugadores!$C$2:$C$501,MATCH(B2596,Jugadores!$A$2:$A$501,0)),"⚠ ID no existe"))</f>
        <v/>
      </c>
      <c r="D2596" s="19" t="n"/>
      <c r="E2596" s="19" t="n"/>
      <c r="F2596" s="16">
        <f>IF(OR(B2596="",D2596=""),"",IFERROR(INDEX('Tabla XP'!$B$2:$B$12,MATCH(D2596,'Tabla XP'!$A$2:$A$12,0))*IF(E2596="",1,E2596),0))</f>
        <v/>
      </c>
      <c r="G2596" s="19" t="n"/>
      <c r="H2596" s="19" t="n"/>
    </row>
    <row r="2597">
      <c r="A2597" s="22" t="n"/>
      <c r="B2597" s="19" t="n"/>
      <c r="C2597" s="18">
        <f>IF(B2597="","",IFERROR(INDEX(Jugadores!$C$2:$C$501,MATCH(B2597,Jugadores!$A$2:$A$501,0)),"⚠ ID no existe"))</f>
        <v/>
      </c>
      <c r="D2597" s="19" t="n"/>
      <c r="E2597" s="19" t="n"/>
      <c r="F2597" s="16">
        <f>IF(OR(B2597="",D2597=""),"",IFERROR(INDEX('Tabla XP'!$B$2:$B$12,MATCH(D2597,'Tabla XP'!$A$2:$A$12,0))*IF(E2597="",1,E2597),0))</f>
        <v/>
      </c>
      <c r="G2597" s="19" t="n"/>
      <c r="H2597" s="19" t="n"/>
    </row>
    <row r="2598">
      <c r="A2598" s="22" t="n"/>
      <c r="B2598" s="19" t="n"/>
      <c r="C2598" s="18">
        <f>IF(B2598="","",IFERROR(INDEX(Jugadores!$C$2:$C$501,MATCH(B2598,Jugadores!$A$2:$A$501,0)),"⚠ ID no existe"))</f>
        <v/>
      </c>
      <c r="D2598" s="19" t="n"/>
      <c r="E2598" s="19" t="n"/>
      <c r="F2598" s="16">
        <f>IF(OR(B2598="",D2598=""),"",IFERROR(INDEX('Tabla XP'!$B$2:$B$12,MATCH(D2598,'Tabla XP'!$A$2:$A$12,0))*IF(E2598="",1,E2598),0))</f>
        <v/>
      </c>
      <c r="G2598" s="19" t="n"/>
      <c r="H2598" s="19" t="n"/>
    </row>
    <row r="2599">
      <c r="A2599" s="22" t="n"/>
      <c r="B2599" s="19" t="n"/>
      <c r="C2599" s="18">
        <f>IF(B2599="","",IFERROR(INDEX(Jugadores!$C$2:$C$501,MATCH(B2599,Jugadores!$A$2:$A$501,0)),"⚠ ID no existe"))</f>
        <v/>
      </c>
      <c r="D2599" s="19" t="n"/>
      <c r="E2599" s="19" t="n"/>
      <c r="F2599" s="16">
        <f>IF(OR(B2599="",D2599=""),"",IFERROR(INDEX('Tabla XP'!$B$2:$B$12,MATCH(D2599,'Tabla XP'!$A$2:$A$12,0))*IF(E2599="",1,E2599),0))</f>
        <v/>
      </c>
      <c r="G2599" s="19" t="n"/>
      <c r="H2599" s="19" t="n"/>
    </row>
    <row r="2600">
      <c r="A2600" s="22" t="n"/>
      <c r="B2600" s="19" t="n"/>
      <c r="C2600" s="18">
        <f>IF(B2600="","",IFERROR(INDEX(Jugadores!$C$2:$C$501,MATCH(B2600,Jugadores!$A$2:$A$501,0)),"⚠ ID no existe"))</f>
        <v/>
      </c>
      <c r="D2600" s="19" t="n"/>
      <c r="E2600" s="19" t="n"/>
      <c r="F2600" s="16">
        <f>IF(OR(B2600="",D2600=""),"",IFERROR(INDEX('Tabla XP'!$B$2:$B$12,MATCH(D2600,'Tabla XP'!$A$2:$A$12,0))*IF(E2600="",1,E2600),0))</f>
        <v/>
      </c>
      <c r="G2600" s="19" t="n"/>
      <c r="H2600" s="19" t="n"/>
    </row>
    <row r="2601">
      <c r="A2601" s="22" t="n"/>
      <c r="B2601" s="19" t="n"/>
      <c r="C2601" s="18">
        <f>IF(B2601="","",IFERROR(INDEX(Jugadores!$C$2:$C$501,MATCH(B2601,Jugadores!$A$2:$A$501,0)),"⚠ ID no existe"))</f>
        <v/>
      </c>
      <c r="D2601" s="19" t="n"/>
      <c r="E2601" s="19" t="n"/>
      <c r="F2601" s="16">
        <f>IF(OR(B2601="",D2601=""),"",IFERROR(INDEX('Tabla XP'!$B$2:$B$12,MATCH(D2601,'Tabla XP'!$A$2:$A$12,0))*IF(E2601="",1,E2601),0))</f>
        <v/>
      </c>
      <c r="G2601" s="19" t="n"/>
      <c r="H2601" s="19" t="n"/>
    </row>
    <row r="2602">
      <c r="A2602" s="22" t="n"/>
      <c r="B2602" s="19" t="n"/>
      <c r="C2602" s="18">
        <f>IF(B2602="","",IFERROR(INDEX(Jugadores!$C$2:$C$501,MATCH(B2602,Jugadores!$A$2:$A$501,0)),"⚠ ID no existe"))</f>
        <v/>
      </c>
      <c r="D2602" s="19" t="n"/>
      <c r="E2602" s="19" t="n"/>
      <c r="F2602" s="16">
        <f>IF(OR(B2602="",D2602=""),"",IFERROR(INDEX('Tabla XP'!$B$2:$B$12,MATCH(D2602,'Tabla XP'!$A$2:$A$12,0))*IF(E2602="",1,E2602),0))</f>
        <v/>
      </c>
      <c r="G2602" s="19" t="n"/>
      <c r="H2602" s="19" t="n"/>
    </row>
    <row r="2603">
      <c r="A2603" s="22" t="n"/>
      <c r="B2603" s="19" t="n"/>
      <c r="C2603" s="18">
        <f>IF(B2603="","",IFERROR(INDEX(Jugadores!$C$2:$C$501,MATCH(B2603,Jugadores!$A$2:$A$501,0)),"⚠ ID no existe"))</f>
        <v/>
      </c>
      <c r="D2603" s="19" t="n"/>
      <c r="E2603" s="19" t="n"/>
      <c r="F2603" s="16">
        <f>IF(OR(B2603="",D2603=""),"",IFERROR(INDEX('Tabla XP'!$B$2:$B$12,MATCH(D2603,'Tabla XP'!$A$2:$A$12,0))*IF(E2603="",1,E2603),0))</f>
        <v/>
      </c>
      <c r="G2603" s="19" t="n"/>
      <c r="H2603" s="19" t="n"/>
    </row>
    <row r="2604">
      <c r="A2604" s="22" t="n"/>
      <c r="B2604" s="19" t="n"/>
      <c r="C2604" s="18">
        <f>IF(B2604="","",IFERROR(INDEX(Jugadores!$C$2:$C$501,MATCH(B2604,Jugadores!$A$2:$A$501,0)),"⚠ ID no existe"))</f>
        <v/>
      </c>
      <c r="D2604" s="19" t="n"/>
      <c r="E2604" s="19" t="n"/>
      <c r="F2604" s="16">
        <f>IF(OR(B2604="",D2604=""),"",IFERROR(INDEX('Tabla XP'!$B$2:$B$12,MATCH(D2604,'Tabla XP'!$A$2:$A$12,0))*IF(E2604="",1,E2604),0))</f>
        <v/>
      </c>
      <c r="G2604" s="19" t="n"/>
      <c r="H2604" s="19" t="n"/>
    </row>
    <row r="2605">
      <c r="A2605" s="22" t="n"/>
      <c r="B2605" s="19" t="n"/>
      <c r="C2605" s="18">
        <f>IF(B2605="","",IFERROR(INDEX(Jugadores!$C$2:$C$501,MATCH(B2605,Jugadores!$A$2:$A$501,0)),"⚠ ID no existe"))</f>
        <v/>
      </c>
      <c r="D2605" s="19" t="n"/>
      <c r="E2605" s="19" t="n"/>
      <c r="F2605" s="16">
        <f>IF(OR(B2605="",D2605=""),"",IFERROR(INDEX('Tabla XP'!$B$2:$B$12,MATCH(D2605,'Tabla XP'!$A$2:$A$12,0))*IF(E2605="",1,E2605),0))</f>
        <v/>
      </c>
      <c r="G2605" s="19" t="n"/>
      <c r="H2605" s="19" t="n"/>
    </row>
    <row r="2606">
      <c r="A2606" s="22" t="n"/>
      <c r="B2606" s="19" t="n"/>
      <c r="C2606" s="18">
        <f>IF(B2606="","",IFERROR(INDEX(Jugadores!$C$2:$C$501,MATCH(B2606,Jugadores!$A$2:$A$501,0)),"⚠ ID no existe"))</f>
        <v/>
      </c>
      <c r="D2606" s="19" t="n"/>
      <c r="E2606" s="19" t="n"/>
      <c r="F2606" s="16">
        <f>IF(OR(B2606="",D2606=""),"",IFERROR(INDEX('Tabla XP'!$B$2:$B$12,MATCH(D2606,'Tabla XP'!$A$2:$A$12,0))*IF(E2606="",1,E2606),0))</f>
        <v/>
      </c>
      <c r="G2606" s="19" t="n"/>
      <c r="H2606" s="19" t="n"/>
    </row>
    <row r="2607">
      <c r="A2607" s="22" t="n"/>
      <c r="B2607" s="19" t="n"/>
      <c r="C2607" s="18">
        <f>IF(B2607="","",IFERROR(INDEX(Jugadores!$C$2:$C$501,MATCH(B2607,Jugadores!$A$2:$A$501,0)),"⚠ ID no existe"))</f>
        <v/>
      </c>
      <c r="D2607" s="19" t="n"/>
      <c r="E2607" s="19" t="n"/>
      <c r="F2607" s="16">
        <f>IF(OR(B2607="",D2607=""),"",IFERROR(INDEX('Tabla XP'!$B$2:$B$12,MATCH(D2607,'Tabla XP'!$A$2:$A$12,0))*IF(E2607="",1,E2607),0))</f>
        <v/>
      </c>
      <c r="G2607" s="19" t="n"/>
      <c r="H2607" s="19" t="n"/>
    </row>
    <row r="2608">
      <c r="A2608" s="22" t="n"/>
      <c r="B2608" s="19" t="n"/>
      <c r="C2608" s="18">
        <f>IF(B2608="","",IFERROR(INDEX(Jugadores!$C$2:$C$501,MATCH(B2608,Jugadores!$A$2:$A$501,0)),"⚠ ID no existe"))</f>
        <v/>
      </c>
      <c r="D2608" s="19" t="n"/>
      <c r="E2608" s="19" t="n"/>
      <c r="F2608" s="16">
        <f>IF(OR(B2608="",D2608=""),"",IFERROR(INDEX('Tabla XP'!$B$2:$B$12,MATCH(D2608,'Tabla XP'!$A$2:$A$12,0))*IF(E2608="",1,E2608),0))</f>
        <v/>
      </c>
      <c r="G2608" s="19" t="n"/>
      <c r="H2608" s="19" t="n"/>
    </row>
    <row r="2609">
      <c r="A2609" s="22" t="n"/>
      <c r="B2609" s="19" t="n"/>
      <c r="C2609" s="18">
        <f>IF(B2609="","",IFERROR(INDEX(Jugadores!$C$2:$C$501,MATCH(B2609,Jugadores!$A$2:$A$501,0)),"⚠ ID no existe"))</f>
        <v/>
      </c>
      <c r="D2609" s="19" t="n"/>
      <c r="E2609" s="19" t="n"/>
      <c r="F2609" s="16">
        <f>IF(OR(B2609="",D2609=""),"",IFERROR(INDEX('Tabla XP'!$B$2:$B$12,MATCH(D2609,'Tabla XP'!$A$2:$A$12,0))*IF(E2609="",1,E2609),0))</f>
        <v/>
      </c>
      <c r="G2609" s="19" t="n"/>
      <c r="H2609" s="19" t="n"/>
    </row>
    <row r="2610">
      <c r="A2610" s="22" t="n"/>
      <c r="B2610" s="19" t="n"/>
      <c r="C2610" s="18">
        <f>IF(B2610="","",IFERROR(INDEX(Jugadores!$C$2:$C$501,MATCH(B2610,Jugadores!$A$2:$A$501,0)),"⚠ ID no existe"))</f>
        <v/>
      </c>
      <c r="D2610" s="19" t="n"/>
      <c r="E2610" s="19" t="n"/>
      <c r="F2610" s="16">
        <f>IF(OR(B2610="",D2610=""),"",IFERROR(INDEX('Tabla XP'!$B$2:$B$12,MATCH(D2610,'Tabla XP'!$A$2:$A$12,0))*IF(E2610="",1,E2610),0))</f>
        <v/>
      </c>
      <c r="G2610" s="19" t="n"/>
      <c r="H2610" s="19" t="n"/>
    </row>
    <row r="2611">
      <c r="A2611" s="22" t="n"/>
      <c r="B2611" s="19" t="n"/>
      <c r="C2611" s="18">
        <f>IF(B2611="","",IFERROR(INDEX(Jugadores!$C$2:$C$501,MATCH(B2611,Jugadores!$A$2:$A$501,0)),"⚠ ID no existe"))</f>
        <v/>
      </c>
      <c r="D2611" s="19" t="n"/>
      <c r="E2611" s="19" t="n"/>
      <c r="F2611" s="16">
        <f>IF(OR(B2611="",D2611=""),"",IFERROR(INDEX('Tabla XP'!$B$2:$B$12,MATCH(D2611,'Tabla XP'!$A$2:$A$12,0))*IF(E2611="",1,E2611),0))</f>
        <v/>
      </c>
      <c r="G2611" s="19" t="n"/>
      <c r="H2611" s="19" t="n"/>
    </row>
    <row r="2612">
      <c r="A2612" s="22" t="n"/>
      <c r="B2612" s="19" t="n"/>
      <c r="C2612" s="18">
        <f>IF(B2612="","",IFERROR(INDEX(Jugadores!$C$2:$C$501,MATCH(B2612,Jugadores!$A$2:$A$501,0)),"⚠ ID no existe"))</f>
        <v/>
      </c>
      <c r="D2612" s="19" t="n"/>
      <c r="E2612" s="19" t="n"/>
      <c r="F2612" s="16">
        <f>IF(OR(B2612="",D2612=""),"",IFERROR(INDEX('Tabla XP'!$B$2:$B$12,MATCH(D2612,'Tabla XP'!$A$2:$A$12,0))*IF(E2612="",1,E2612),0))</f>
        <v/>
      </c>
      <c r="G2612" s="19" t="n"/>
      <c r="H2612" s="19" t="n"/>
    </row>
    <row r="2613">
      <c r="A2613" s="22" t="n"/>
      <c r="B2613" s="19" t="n"/>
      <c r="C2613" s="18">
        <f>IF(B2613="","",IFERROR(INDEX(Jugadores!$C$2:$C$501,MATCH(B2613,Jugadores!$A$2:$A$501,0)),"⚠ ID no existe"))</f>
        <v/>
      </c>
      <c r="D2613" s="19" t="n"/>
      <c r="E2613" s="19" t="n"/>
      <c r="F2613" s="16">
        <f>IF(OR(B2613="",D2613=""),"",IFERROR(INDEX('Tabla XP'!$B$2:$B$12,MATCH(D2613,'Tabla XP'!$A$2:$A$12,0))*IF(E2613="",1,E2613),0))</f>
        <v/>
      </c>
      <c r="G2613" s="19" t="n"/>
      <c r="H2613" s="19" t="n"/>
    </row>
    <row r="2614">
      <c r="A2614" s="22" t="n"/>
      <c r="B2614" s="19" t="n"/>
      <c r="C2614" s="18">
        <f>IF(B2614="","",IFERROR(INDEX(Jugadores!$C$2:$C$501,MATCH(B2614,Jugadores!$A$2:$A$501,0)),"⚠ ID no existe"))</f>
        <v/>
      </c>
      <c r="D2614" s="19" t="n"/>
      <c r="E2614" s="19" t="n"/>
      <c r="F2614" s="16">
        <f>IF(OR(B2614="",D2614=""),"",IFERROR(INDEX('Tabla XP'!$B$2:$B$12,MATCH(D2614,'Tabla XP'!$A$2:$A$12,0))*IF(E2614="",1,E2614),0))</f>
        <v/>
      </c>
      <c r="G2614" s="19" t="n"/>
      <c r="H2614" s="19" t="n"/>
    </row>
    <row r="2615">
      <c r="A2615" s="22" t="n"/>
      <c r="B2615" s="19" t="n"/>
      <c r="C2615" s="18">
        <f>IF(B2615="","",IFERROR(INDEX(Jugadores!$C$2:$C$501,MATCH(B2615,Jugadores!$A$2:$A$501,0)),"⚠ ID no existe"))</f>
        <v/>
      </c>
      <c r="D2615" s="19" t="n"/>
      <c r="E2615" s="19" t="n"/>
      <c r="F2615" s="16">
        <f>IF(OR(B2615="",D2615=""),"",IFERROR(INDEX('Tabla XP'!$B$2:$B$12,MATCH(D2615,'Tabla XP'!$A$2:$A$12,0))*IF(E2615="",1,E2615),0))</f>
        <v/>
      </c>
      <c r="G2615" s="19" t="n"/>
      <c r="H2615" s="19" t="n"/>
    </row>
    <row r="2616">
      <c r="A2616" s="22" t="n"/>
      <c r="B2616" s="19" t="n"/>
      <c r="C2616" s="18">
        <f>IF(B2616="","",IFERROR(INDEX(Jugadores!$C$2:$C$501,MATCH(B2616,Jugadores!$A$2:$A$501,0)),"⚠ ID no existe"))</f>
        <v/>
      </c>
      <c r="D2616" s="19" t="n"/>
      <c r="E2616" s="19" t="n"/>
      <c r="F2616" s="16">
        <f>IF(OR(B2616="",D2616=""),"",IFERROR(INDEX('Tabla XP'!$B$2:$B$12,MATCH(D2616,'Tabla XP'!$A$2:$A$12,0))*IF(E2616="",1,E2616),0))</f>
        <v/>
      </c>
      <c r="G2616" s="19" t="n"/>
      <c r="H2616" s="19" t="n"/>
    </row>
    <row r="2617">
      <c r="A2617" s="22" t="n"/>
      <c r="B2617" s="19" t="n"/>
      <c r="C2617" s="18">
        <f>IF(B2617="","",IFERROR(INDEX(Jugadores!$C$2:$C$501,MATCH(B2617,Jugadores!$A$2:$A$501,0)),"⚠ ID no existe"))</f>
        <v/>
      </c>
      <c r="D2617" s="19" t="n"/>
      <c r="E2617" s="19" t="n"/>
      <c r="F2617" s="16">
        <f>IF(OR(B2617="",D2617=""),"",IFERROR(INDEX('Tabla XP'!$B$2:$B$12,MATCH(D2617,'Tabla XP'!$A$2:$A$12,0))*IF(E2617="",1,E2617),0))</f>
        <v/>
      </c>
      <c r="G2617" s="19" t="n"/>
      <c r="H2617" s="19" t="n"/>
    </row>
    <row r="2618">
      <c r="A2618" s="22" t="n"/>
      <c r="B2618" s="19" t="n"/>
      <c r="C2618" s="18">
        <f>IF(B2618="","",IFERROR(INDEX(Jugadores!$C$2:$C$501,MATCH(B2618,Jugadores!$A$2:$A$501,0)),"⚠ ID no existe"))</f>
        <v/>
      </c>
      <c r="D2618" s="19" t="n"/>
      <c r="E2618" s="19" t="n"/>
      <c r="F2618" s="16">
        <f>IF(OR(B2618="",D2618=""),"",IFERROR(INDEX('Tabla XP'!$B$2:$B$12,MATCH(D2618,'Tabla XP'!$A$2:$A$12,0))*IF(E2618="",1,E2618),0))</f>
        <v/>
      </c>
      <c r="G2618" s="19" t="n"/>
      <c r="H2618" s="19" t="n"/>
    </row>
    <row r="2619">
      <c r="A2619" s="22" t="n"/>
      <c r="B2619" s="19" t="n"/>
      <c r="C2619" s="18">
        <f>IF(B2619="","",IFERROR(INDEX(Jugadores!$C$2:$C$501,MATCH(B2619,Jugadores!$A$2:$A$501,0)),"⚠ ID no existe"))</f>
        <v/>
      </c>
      <c r="D2619" s="19" t="n"/>
      <c r="E2619" s="19" t="n"/>
      <c r="F2619" s="16">
        <f>IF(OR(B2619="",D2619=""),"",IFERROR(INDEX('Tabla XP'!$B$2:$B$12,MATCH(D2619,'Tabla XP'!$A$2:$A$12,0))*IF(E2619="",1,E2619),0))</f>
        <v/>
      </c>
      <c r="G2619" s="19" t="n"/>
      <c r="H2619" s="19" t="n"/>
    </row>
    <row r="2620">
      <c r="A2620" s="22" t="n"/>
      <c r="B2620" s="19" t="n"/>
      <c r="C2620" s="18">
        <f>IF(B2620="","",IFERROR(INDEX(Jugadores!$C$2:$C$501,MATCH(B2620,Jugadores!$A$2:$A$501,0)),"⚠ ID no existe"))</f>
        <v/>
      </c>
      <c r="D2620" s="19" t="n"/>
      <c r="E2620" s="19" t="n"/>
      <c r="F2620" s="16">
        <f>IF(OR(B2620="",D2620=""),"",IFERROR(INDEX('Tabla XP'!$B$2:$B$12,MATCH(D2620,'Tabla XP'!$A$2:$A$12,0))*IF(E2620="",1,E2620),0))</f>
        <v/>
      </c>
      <c r="G2620" s="19" t="n"/>
      <c r="H2620" s="19" t="n"/>
    </row>
    <row r="2621">
      <c r="A2621" s="22" t="n"/>
      <c r="B2621" s="19" t="n"/>
      <c r="C2621" s="18">
        <f>IF(B2621="","",IFERROR(INDEX(Jugadores!$C$2:$C$501,MATCH(B2621,Jugadores!$A$2:$A$501,0)),"⚠ ID no existe"))</f>
        <v/>
      </c>
      <c r="D2621" s="19" t="n"/>
      <c r="E2621" s="19" t="n"/>
      <c r="F2621" s="16">
        <f>IF(OR(B2621="",D2621=""),"",IFERROR(INDEX('Tabla XP'!$B$2:$B$12,MATCH(D2621,'Tabla XP'!$A$2:$A$12,0))*IF(E2621="",1,E2621),0))</f>
        <v/>
      </c>
      <c r="G2621" s="19" t="n"/>
      <c r="H2621" s="19" t="n"/>
    </row>
    <row r="2622">
      <c r="A2622" s="22" t="n"/>
      <c r="B2622" s="19" t="n"/>
      <c r="C2622" s="18">
        <f>IF(B2622="","",IFERROR(INDEX(Jugadores!$C$2:$C$501,MATCH(B2622,Jugadores!$A$2:$A$501,0)),"⚠ ID no existe"))</f>
        <v/>
      </c>
      <c r="D2622" s="19" t="n"/>
      <c r="E2622" s="19" t="n"/>
      <c r="F2622" s="16">
        <f>IF(OR(B2622="",D2622=""),"",IFERROR(INDEX('Tabla XP'!$B$2:$B$12,MATCH(D2622,'Tabla XP'!$A$2:$A$12,0))*IF(E2622="",1,E2622),0))</f>
        <v/>
      </c>
      <c r="G2622" s="19" t="n"/>
      <c r="H2622" s="19" t="n"/>
    </row>
    <row r="2623">
      <c r="A2623" s="22" t="n"/>
      <c r="B2623" s="19" t="n"/>
      <c r="C2623" s="18">
        <f>IF(B2623="","",IFERROR(INDEX(Jugadores!$C$2:$C$501,MATCH(B2623,Jugadores!$A$2:$A$501,0)),"⚠ ID no existe"))</f>
        <v/>
      </c>
      <c r="D2623" s="19" t="n"/>
      <c r="E2623" s="19" t="n"/>
      <c r="F2623" s="16">
        <f>IF(OR(B2623="",D2623=""),"",IFERROR(INDEX('Tabla XP'!$B$2:$B$12,MATCH(D2623,'Tabla XP'!$A$2:$A$12,0))*IF(E2623="",1,E2623),0))</f>
        <v/>
      </c>
      <c r="G2623" s="19" t="n"/>
      <c r="H2623" s="19" t="n"/>
    </row>
    <row r="2624">
      <c r="A2624" s="22" t="n"/>
      <c r="B2624" s="19" t="n"/>
      <c r="C2624" s="18">
        <f>IF(B2624="","",IFERROR(INDEX(Jugadores!$C$2:$C$501,MATCH(B2624,Jugadores!$A$2:$A$501,0)),"⚠ ID no existe"))</f>
        <v/>
      </c>
      <c r="D2624" s="19" t="n"/>
      <c r="E2624" s="19" t="n"/>
      <c r="F2624" s="16">
        <f>IF(OR(B2624="",D2624=""),"",IFERROR(INDEX('Tabla XP'!$B$2:$B$12,MATCH(D2624,'Tabla XP'!$A$2:$A$12,0))*IF(E2624="",1,E2624),0))</f>
        <v/>
      </c>
      <c r="G2624" s="19" t="n"/>
      <c r="H2624" s="19" t="n"/>
    </row>
    <row r="2625">
      <c r="A2625" s="22" t="n"/>
      <c r="B2625" s="19" t="n"/>
      <c r="C2625" s="18">
        <f>IF(B2625="","",IFERROR(INDEX(Jugadores!$C$2:$C$501,MATCH(B2625,Jugadores!$A$2:$A$501,0)),"⚠ ID no existe"))</f>
        <v/>
      </c>
      <c r="D2625" s="19" t="n"/>
      <c r="E2625" s="19" t="n"/>
      <c r="F2625" s="16">
        <f>IF(OR(B2625="",D2625=""),"",IFERROR(INDEX('Tabla XP'!$B$2:$B$12,MATCH(D2625,'Tabla XP'!$A$2:$A$12,0))*IF(E2625="",1,E2625),0))</f>
        <v/>
      </c>
      <c r="G2625" s="19" t="n"/>
      <c r="H2625" s="19" t="n"/>
    </row>
    <row r="2626">
      <c r="A2626" s="22" t="n"/>
      <c r="B2626" s="19" t="n"/>
      <c r="C2626" s="18">
        <f>IF(B2626="","",IFERROR(INDEX(Jugadores!$C$2:$C$501,MATCH(B2626,Jugadores!$A$2:$A$501,0)),"⚠ ID no existe"))</f>
        <v/>
      </c>
      <c r="D2626" s="19" t="n"/>
      <c r="E2626" s="19" t="n"/>
      <c r="F2626" s="16">
        <f>IF(OR(B2626="",D2626=""),"",IFERROR(INDEX('Tabla XP'!$B$2:$B$12,MATCH(D2626,'Tabla XP'!$A$2:$A$12,0))*IF(E2626="",1,E2626),0))</f>
        <v/>
      </c>
      <c r="G2626" s="19" t="n"/>
      <c r="H2626" s="19" t="n"/>
    </row>
    <row r="2627">
      <c r="A2627" s="22" t="n"/>
      <c r="B2627" s="19" t="n"/>
      <c r="C2627" s="18">
        <f>IF(B2627="","",IFERROR(INDEX(Jugadores!$C$2:$C$501,MATCH(B2627,Jugadores!$A$2:$A$501,0)),"⚠ ID no existe"))</f>
        <v/>
      </c>
      <c r="D2627" s="19" t="n"/>
      <c r="E2627" s="19" t="n"/>
      <c r="F2627" s="16">
        <f>IF(OR(B2627="",D2627=""),"",IFERROR(INDEX('Tabla XP'!$B$2:$B$12,MATCH(D2627,'Tabla XP'!$A$2:$A$12,0))*IF(E2627="",1,E2627),0))</f>
        <v/>
      </c>
      <c r="G2627" s="19" t="n"/>
      <c r="H2627" s="19" t="n"/>
    </row>
    <row r="2628">
      <c r="A2628" s="22" t="n"/>
      <c r="B2628" s="19" t="n"/>
      <c r="C2628" s="18">
        <f>IF(B2628="","",IFERROR(INDEX(Jugadores!$C$2:$C$501,MATCH(B2628,Jugadores!$A$2:$A$501,0)),"⚠ ID no existe"))</f>
        <v/>
      </c>
      <c r="D2628" s="19" t="n"/>
      <c r="E2628" s="19" t="n"/>
      <c r="F2628" s="16">
        <f>IF(OR(B2628="",D2628=""),"",IFERROR(INDEX('Tabla XP'!$B$2:$B$12,MATCH(D2628,'Tabla XP'!$A$2:$A$12,0))*IF(E2628="",1,E2628),0))</f>
        <v/>
      </c>
      <c r="G2628" s="19" t="n"/>
      <c r="H2628" s="19" t="n"/>
    </row>
    <row r="2629">
      <c r="A2629" s="22" t="n"/>
      <c r="B2629" s="19" t="n"/>
      <c r="C2629" s="18">
        <f>IF(B2629="","",IFERROR(INDEX(Jugadores!$C$2:$C$501,MATCH(B2629,Jugadores!$A$2:$A$501,0)),"⚠ ID no existe"))</f>
        <v/>
      </c>
      <c r="D2629" s="19" t="n"/>
      <c r="E2629" s="19" t="n"/>
      <c r="F2629" s="16">
        <f>IF(OR(B2629="",D2629=""),"",IFERROR(INDEX('Tabla XP'!$B$2:$B$12,MATCH(D2629,'Tabla XP'!$A$2:$A$12,0))*IF(E2629="",1,E2629),0))</f>
        <v/>
      </c>
      <c r="G2629" s="19" t="n"/>
      <c r="H2629" s="19" t="n"/>
    </row>
    <row r="2630">
      <c r="A2630" s="22" t="n"/>
      <c r="B2630" s="19" t="n"/>
      <c r="C2630" s="18">
        <f>IF(B2630="","",IFERROR(INDEX(Jugadores!$C$2:$C$501,MATCH(B2630,Jugadores!$A$2:$A$501,0)),"⚠ ID no existe"))</f>
        <v/>
      </c>
      <c r="D2630" s="19" t="n"/>
      <c r="E2630" s="19" t="n"/>
      <c r="F2630" s="16">
        <f>IF(OR(B2630="",D2630=""),"",IFERROR(INDEX('Tabla XP'!$B$2:$B$12,MATCH(D2630,'Tabla XP'!$A$2:$A$12,0))*IF(E2630="",1,E2630),0))</f>
        <v/>
      </c>
      <c r="G2630" s="19" t="n"/>
      <c r="H2630" s="19" t="n"/>
    </row>
    <row r="2631">
      <c r="A2631" s="22" t="n"/>
      <c r="B2631" s="19" t="n"/>
      <c r="C2631" s="18">
        <f>IF(B2631="","",IFERROR(INDEX(Jugadores!$C$2:$C$501,MATCH(B2631,Jugadores!$A$2:$A$501,0)),"⚠ ID no existe"))</f>
        <v/>
      </c>
      <c r="D2631" s="19" t="n"/>
      <c r="E2631" s="19" t="n"/>
      <c r="F2631" s="16">
        <f>IF(OR(B2631="",D2631=""),"",IFERROR(INDEX('Tabla XP'!$B$2:$B$12,MATCH(D2631,'Tabla XP'!$A$2:$A$12,0))*IF(E2631="",1,E2631),0))</f>
        <v/>
      </c>
      <c r="G2631" s="19" t="n"/>
      <c r="H2631" s="19" t="n"/>
    </row>
    <row r="2632">
      <c r="A2632" s="22" t="n"/>
      <c r="B2632" s="19" t="n"/>
      <c r="C2632" s="18">
        <f>IF(B2632="","",IFERROR(INDEX(Jugadores!$C$2:$C$501,MATCH(B2632,Jugadores!$A$2:$A$501,0)),"⚠ ID no existe"))</f>
        <v/>
      </c>
      <c r="D2632" s="19" t="n"/>
      <c r="E2632" s="19" t="n"/>
      <c r="F2632" s="16">
        <f>IF(OR(B2632="",D2632=""),"",IFERROR(INDEX('Tabla XP'!$B$2:$B$12,MATCH(D2632,'Tabla XP'!$A$2:$A$12,0))*IF(E2632="",1,E2632),0))</f>
        <v/>
      </c>
      <c r="G2632" s="19" t="n"/>
      <c r="H2632" s="19" t="n"/>
    </row>
    <row r="2633">
      <c r="A2633" s="22" t="n"/>
      <c r="B2633" s="19" t="n"/>
      <c r="C2633" s="18">
        <f>IF(B2633="","",IFERROR(INDEX(Jugadores!$C$2:$C$501,MATCH(B2633,Jugadores!$A$2:$A$501,0)),"⚠ ID no existe"))</f>
        <v/>
      </c>
      <c r="D2633" s="19" t="n"/>
      <c r="E2633" s="19" t="n"/>
      <c r="F2633" s="16">
        <f>IF(OR(B2633="",D2633=""),"",IFERROR(INDEX('Tabla XP'!$B$2:$B$12,MATCH(D2633,'Tabla XP'!$A$2:$A$12,0))*IF(E2633="",1,E2633),0))</f>
        <v/>
      </c>
      <c r="G2633" s="19" t="n"/>
      <c r="H2633" s="19" t="n"/>
    </row>
    <row r="2634">
      <c r="A2634" s="22" t="n"/>
      <c r="B2634" s="19" t="n"/>
      <c r="C2634" s="18">
        <f>IF(B2634="","",IFERROR(INDEX(Jugadores!$C$2:$C$501,MATCH(B2634,Jugadores!$A$2:$A$501,0)),"⚠ ID no existe"))</f>
        <v/>
      </c>
      <c r="D2634" s="19" t="n"/>
      <c r="E2634" s="19" t="n"/>
      <c r="F2634" s="16">
        <f>IF(OR(B2634="",D2634=""),"",IFERROR(INDEX('Tabla XP'!$B$2:$B$12,MATCH(D2634,'Tabla XP'!$A$2:$A$12,0))*IF(E2634="",1,E2634),0))</f>
        <v/>
      </c>
      <c r="G2634" s="19" t="n"/>
      <c r="H2634" s="19" t="n"/>
    </row>
    <row r="2635">
      <c r="A2635" s="22" t="n"/>
      <c r="B2635" s="19" t="n"/>
      <c r="C2635" s="18">
        <f>IF(B2635="","",IFERROR(INDEX(Jugadores!$C$2:$C$501,MATCH(B2635,Jugadores!$A$2:$A$501,0)),"⚠ ID no existe"))</f>
        <v/>
      </c>
      <c r="D2635" s="19" t="n"/>
      <c r="E2635" s="19" t="n"/>
      <c r="F2635" s="16">
        <f>IF(OR(B2635="",D2635=""),"",IFERROR(INDEX('Tabla XP'!$B$2:$B$12,MATCH(D2635,'Tabla XP'!$A$2:$A$12,0))*IF(E2635="",1,E2635),0))</f>
        <v/>
      </c>
      <c r="G2635" s="19" t="n"/>
      <c r="H2635" s="19" t="n"/>
    </row>
    <row r="2636">
      <c r="A2636" s="22" t="n"/>
      <c r="B2636" s="19" t="n"/>
      <c r="C2636" s="18">
        <f>IF(B2636="","",IFERROR(INDEX(Jugadores!$C$2:$C$501,MATCH(B2636,Jugadores!$A$2:$A$501,0)),"⚠ ID no existe"))</f>
        <v/>
      </c>
      <c r="D2636" s="19" t="n"/>
      <c r="E2636" s="19" t="n"/>
      <c r="F2636" s="16">
        <f>IF(OR(B2636="",D2636=""),"",IFERROR(INDEX('Tabla XP'!$B$2:$B$12,MATCH(D2636,'Tabla XP'!$A$2:$A$12,0))*IF(E2636="",1,E2636),0))</f>
        <v/>
      </c>
      <c r="G2636" s="19" t="n"/>
      <c r="H2636" s="19" t="n"/>
    </row>
    <row r="2637">
      <c r="A2637" s="22" t="n"/>
      <c r="B2637" s="19" t="n"/>
      <c r="C2637" s="18">
        <f>IF(B2637="","",IFERROR(INDEX(Jugadores!$C$2:$C$501,MATCH(B2637,Jugadores!$A$2:$A$501,0)),"⚠ ID no existe"))</f>
        <v/>
      </c>
      <c r="D2637" s="19" t="n"/>
      <c r="E2637" s="19" t="n"/>
      <c r="F2637" s="16">
        <f>IF(OR(B2637="",D2637=""),"",IFERROR(INDEX('Tabla XP'!$B$2:$B$12,MATCH(D2637,'Tabla XP'!$A$2:$A$12,0))*IF(E2637="",1,E2637),0))</f>
        <v/>
      </c>
      <c r="G2637" s="19" t="n"/>
      <c r="H2637" s="19" t="n"/>
    </row>
    <row r="2638">
      <c r="A2638" s="22" t="n"/>
      <c r="B2638" s="19" t="n"/>
      <c r="C2638" s="18">
        <f>IF(B2638="","",IFERROR(INDEX(Jugadores!$C$2:$C$501,MATCH(B2638,Jugadores!$A$2:$A$501,0)),"⚠ ID no existe"))</f>
        <v/>
      </c>
      <c r="D2638" s="19" t="n"/>
      <c r="E2638" s="19" t="n"/>
      <c r="F2638" s="16">
        <f>IF(OR(B2638="",D2638=""),"",IFERROR(INDEX('Tabla XP'!$B$2:$B$12,MATCH(D2638,'Tabla XP'!$A$2:$A$12,0))*IF(E2638="",1,E2638),0))</f>
        <v/>
      </c>
      <c r="G2638" s="19" t="n"/>
      <c r="H2638" s="19" t="n"/>
    </row>
    <row r="2639">
      <c r="A2639" s="22" t="n"/>
      <c r="B2639" s="19" t="n"/>
      <c r="C2639" s="18">
        <f>IF(B2639="","",IFERROR(INDEX(Jugadores!$C$2:$C$501,MATCH(B2639,Jugadores!$A$2:$A$501,0)),"⚠ ID no existe"))</f>
        <v/>
      </c>
      <c r="D2639" s="19" t="n"/>
      <c r="E2639" s="19" t="n"/>
      <c r="F2639" s="16">
        <f>IF(OR(B2639="",D2639=""),"",IFERROR(INDEX('Tabla XP'!$B$2:$B$12,MATCH(D2639,'Tabla XP'!$A$2:$A$12,0))*IF(E2639="",1,E2639),0))</f>
        <v/>
      </c>
      <c r="G2639" s="19" t="n"/>
      <c r="H2639" s="19" t="n"/>
    </row>
    <row r="2640">
      <c r="A2640" s="22" t="n"/>
      <c r="B2640" s="19" t="n"/>
      <c r="C2640" s="18">
        <f>IF(B2640="","",IFERROR(INDEX(Jugadores!$C$2:$C$501,MATCH(B2640,Jugadores!$A$2:$A$501,0)),"⚠ ID no existe"))</f>
        <v/>
      </c>
      <c r="D2640" s="19" t="n"/>
      <c r="E2640" s="19" t="n"/>
      <c r="F2640" s="16">
        <f>IF(OR(B2640="",D2640=""),"",IFERROR(INDEX('Tabla XP'!$B$2:$B$12,MATCH(D2640,'Tabla XP'!$A$2:$A$12,0))*IF(E2640="",1,E2640),0))</f>
        <v/>
      </c>
      <c r="G2640" s="19" t="n"/>
      <c r="H2640" s="19" t="n"/>
    </row>
    <row r="2641">
      <c r="A2641" s="22" t="n"/>
      <c r="B2641" s="19" t="n"/>
      <c r="C2641" s="18">
        <f>IF(B2641="","",IFERROR(INDEX(Jugadores!$C$2:$C$501,MATCH(B2641,Jugadores!$A$2:$A$501,0)),"⚠ ID no existe"))</f>
        <v/>
      </c>
      <c r="D2641" s="19" t="n"/>
      <c r="E2641" s="19" t="n"/>
      <c r="F2641" s="16">
        <f>IF(OR(B2641="",D2641=""),"",IFERROR(INDEX('Tabla XP'!$B$2:$B$12,MATCH(D2641,'Tabla XP'!$A$2:$A$12,0))*IF(E2641="",1,E2641),0))</f>
        <v/>
      </c>
      <c r="G2641" s="19" t="n"/>
      <c r="H2641" s="19" t="n"/>
    </row>
    <row r="2642">
      <c r="A2642" s="22" t="n"/>
      <c r="B2642" s="19" t="n"/>
      <c r="C2642" s="18">
        <f>IF(B2642="","",IFERROR(INDEX(Jugadores!$C$2:$C$501,MATCH(B2642,Jugadores!$A$2:$A$501,0)),"⚠ ID no existe"))</f>
        <v/>
      </c>
      <c r="D2642" s="19" t="n"/>
      <c r="E2642" s="19" t="n"/>
      <c r="F2642" s="16">
        <f>IF(OR(B2642="",D2642=""),"",IFERROR(INDEX('Tabla XP'!$B$2:$B$12,MATCH(D2642,'Tabla XP'!$A$2:$A$12,0))*IF(E2642="",1,E2642),0))</f>
        <v/>
      </c>
      <c r="G2642" s="19" t="n"/>
      <c r="H2642" s="19" t="n"/>
    </row>
    <row r="2643">
      <c r="A2643" s="22" t="n"/>
      <c r="B2643" s="19" t="n"/>
      <c r="C2643" s="18">
        <f>IF(B2643="","",IFERROR(INDEX(Jugadores!$C$2:$C$501,MATCH(B2643,Jugadores!$A$2:$A$501,0)),"⚠ ID no existe"))</f>
        <v/>
      </c>
      <c r="D2643" s="19" t="n"/>
      <c r="E2643" s="19" t="n"/>
      <c r="F2643" s="16">
        <f>IF(OR(B2643="",D2643=""),"",IFERROR(INDEX('Tabla XP'!$B$2:$B$12,MATCH(D2643,'Tabla XP'!$A$2:$A$12,0))*IF(E2643="",1,E2643),0))</f>
        <v/>
      </c>
      <c r="G2643" s="19" t="n"/>
      <c r="H2643" s="19" t="n"/>
    </row>
    <row r="2644">
      <c r="A2644" s="22" t="n"/>
      <c r="B2644" s="19" t="n"/>
      <c r="C2644" s="18">
        <f>IF(B2644="","",IFERROR(INDEX(Jugadores!$C$2:$C$501,MATCH(B2644,Jugadores!$A$2:$A$501,0)),"⚠ ID no existe"))</f>
        <v/>
      </c>
      <c r="D2644" s="19" t="n"/>
      <c r="E2644" s="19" t="n"/>
      <c r="F2644" s="16">
        <f>IF(OR(B2644="",D2644=""),"",IFERROR(INDEX('Tabla XP'!$B$2:$B$12,MATCH(D2644,'Tabla XP'!$A$2:$A$12,0))*IF(E2644="",1,E2644),0))</f>
        <v/>
      </c>
      <c r="G2644" s="19" t="n"/>
      <c r="H2644" s="19" t="n"/>
    </row>
    <row r="2645">
      <c r="A2645" s="22" t="n"/>
      <c r="B2645" s="19" t="n"/>
      <c r="C2645" s="18">
        <f>IF(B2645="","",IFERROR(INDEX(Jugadores!$C$2:$C$501,MATCH(B2645,Jugadores!$A$2:$A$501,0)),"⚠ ID no existe"))</f>
        <v/>
      </c>
      <c r="D2645" s="19" t="n"/>
      <c r="E2645" s="19" t="n"/>
      <c r="F2645" s="16">
        <f>IF(OR(B2645="",D2645=""),"",IFERROR(INDEX('Tabla XP'!$B$2:$B$12,MATCH(D2645,'Tabla XP'!$A$2:$A$12,0))*IF(E2645="",1,E2645),0))</f>
        <v/>
      </c>
      <c r="G2645" s="19" t="n"/>
      <c r="H2645" s="19" t="n"/>
    </row>
    <row r="2646">
      <c r="A2646" s="22" t="n"/>
      <c r="B2646" s="19" t="n"/>
      <c r="C2646" s="18">
        <f>IF(B2646="","",IFERROR(INDEX(Jugadores!$C$2:$C$501,MATCH(B2646,Jugadores!$A$2:$A$501,0)),"⚠ ID no existe"))</f>
        <v/>
      </c>
      <c r="D2646" s="19" t="n"/>
      <c r="E2646" s="19" t="n"/>
      <c r="F2646" s="16">
        <f>IF(OR(B2646="",D2646=""),"",IFERROR(INDEX('Tabla XP'!$B$2:$B$12,MATCH(D2646,'Tabla XP'!$A$2:$A$12,0))*IF(E2646="",1,E2646),0))</f>
        <v/>
      </c>
      <c r="G2646" s="19" t="n"/>
      <c r="H2646" s="19" t="n"/>
    </row>
    <row r="2647">
      <c r="A2647" s="22" t="n"/>
      <c r="B2647" s="19" t="n"/>
      <c r="C2647" s="18">
        <f>IF(B2647="","",IFERROR(INDEX(Jugadores!$C$2:$C$501,MATCH(B2647,Jugadores!$A$2:$A$501,0)),"⚠ ID no existe"))</f>
        <v/>
      </c>
      <c r="D2647" s="19" t="n"/>
      <c r="E2647" s="19" t="n"/>
      <c r="F2647" s="16">
        <f>IF(OR(B2647="",D2647=""),"",IFERROR(INDEX('Tabla XP'!$B$2:$B$12,MATCH(D2647,'Tabla XP'!$A$2:$A$12,0))*IF(E2647="",1,E2647),0))</f>
        <v/>
      </c>
      <c r="G2647" s="19" t="n"/>
      <c r="H2647" s="19" t="n"/>
    </row>
    <row r="2648">
      <c r="A2648" s="22" t="n"/>
      <c r="B2648" s="19" t="n"/>
      <c r="C2648" s="18">
        <f>IF(B2648="","",IFERROR(INDEX(Jugadores!$C$2:$C$501,MATCH(B2648,Jugadores!$A$2:$A$501,0)),"⚠ ID no existe"))</f>
        <v/>
      </c>
      <c r="D2648" s="19" t="n"/>
      <c r="E2648" s="19" t="n"/>
      <c r="F2648" s="16">
        <f>IF(OR(B2648="",D2648=""),"",IFERROR(INDEX('Tabla XP'!$B$2:$B$12,MATCH(D2648,'Tabla XP'!$A$2:$A$12,0))*IF(E2648="",1,E2648),0))</f>
        <v/>
      </c>
      <c r="G2648" s="19" t="n"/>
      <c r="H2648" s="19" t="n"/>
    </row>
    <row r="2649">
      <c r="A2649" s="22" t="n"/>
      <c r="B2649" s="19" t="n"/>
      <c r="C2649" s="18">
        <f>IF(B2649="","",IFERROR(INDEX(Jugadores!$C$2:$C$501,MATCH(B2649,Jugadores!$A$2:$A$501,0)),"⚠ ID no existe"))</f>
        <v/>
      </c>
      <c r="D2649" s="19" t="n"/>
      <c r="E2649" s="19" t="n"/>
      <c r="F2649" s="16">
        <f>IF(OR(B2649="",D2649=""),"",IFERROR(INDEX('Tabla XP'!$B$2:$B$12,MATCH(D2649,'Tabla XP'!$A$2:$A$12,0))*IF(E2649="",1,E2649),0))</f>
        <v/>
      </c>
      <c r="G2649" s="19" t="n"/>
      <c r="H2649" s="19" t="n"/>
    </row>
    <row r="2650">
      <c r="A2650" s="22" t="n"/>
      <c r="B2650" s="19" t="n"/>
      <c r="C2650" s="18">
        <f>IF(B2650="","",IFERROR(INDEX(Jugadores!$C$2:$C$501,MATCH(B2650,Jugadores!$A$2:$A$501,0)),"⚠ ID no existe"))</f>
        <v/>
      </c>
      <c r="D2650" s="19" t="n"/>
      <c r="E2650" s="19" t="n"/>
      <c r="F2650" s="16">
        <f>IF(OR(B2650="",D2650=""),"",IFERROR(INDEX('Tabla XP'!$B$2:$B$12,MATCH(D2650,'Tabla XP'!$A$2:$A$12,0))*IF(E2650="",1,E2650),0))</f>
        <v/>
      </c>
      <c r="G2650" s="19" t="n"/>
      <c r="H2650" s="19" t="n"/>
    </row>
    <row r="2651">
      <c r="A2651" s="22" t="n"/>
      <c r="B2651" s="19" t="n"/>
      <c r="C2651" s="18">
        <f>IF(B2651="","",IFERROR(INDEX(Jugadores!$C$2:$C$501,MATCH(B2651,Jugadores!$A$2:$A$501,0)),"⚠ ID no existe"))</f>
        <v/>
      </c>
      <c r="D2651" s="19" t="n"/>
      <c r="E2651" s="19" t="n"/>
      <c r="F2651" s="16">
        <f>IF(OR(B2651="",D2651=""),"",IFERROR(INDEX('Tabla XP'!$B$2:$B$12,MATCH(D2651,'Tabla XP'!$A$2:$A$12,0))*IF(E2651="",1,E2651),0))</f>
        <v/>
      </c>
      <c r="G2651" s="19" t="n"/>
      <c r="H2651" s="19" t="n"/>
    </row>
    <row r="2652">
      <c r="A2652" s="22" t="n"/>
      <c r="B2652" s="19" t="n"/>
      <c r="C2652" s="18">
        <f>IF(B2652="","",IFERROR(INDEX(Jugadores!$C$2:$C$501,MATCH(B2652,Jugadores!$A$2:$A$501,0)),"⚠ ID no existe"))</f>
        <v/>
      </c>
      <c r="D2652" s="19" t="n"/>
      <c r="E2652" s="19" t="n"/>
      <c r="F2652" s="16">
        <f>IF(OR(B2652="",D2652=""),"",IFERROR(INDEX('Tabla XP'!$B$2:$B$12,MATCH(D2652,'Tabla XP'!$A$2:$A$12,0))*IF(E2652="",1,E2652),0))</f>
        <v/>
      </c>
      <c r="G2652" s="19" t="n"/>
      <c r="H2652" s="19" t="n"/>
    </row>
    <row r="2653">
      <c r="A2653" s="22" t="n"/>
      <c r="B2653" s="19" t="n"/>
      <c r="C2653" s="18">
        <f>IF(B2653="","",IFERROR(INDEX(Jugadores!$C$2:$C$501,MATCH(B2653,Jugadores!$A$2:$A$501,0)),"⚠ ID no existe"))</f>
        <v/>
      </c>
      <c r="D2653" s="19" t="n"/>
      <c r="E2653" s="19" t="n"/>
      <c r="F2653" s="16">
        <f>IF(OR(B2653="",D2653=""),"",IFERROR(INDEX('Tabla XP'!$B$2:$B$12,MATCH(D2653,'Tabla XP'!$A$2:$A$12,0))*IF(E2653="",1,E2653),0))</f>
        <v/>
      </c>
      <c r="G2653" s="19" t="n"/>
      <c r="H2653" s="19" t="n"/>
    </row>
    <row r="2654">
      <c r="A2654" s="22" t="n"/>
      <c r="B2654" s="19" t="n"/>
      <c r="C2654" s="18">
        <f>IF(B2654="","",IFERROR(INDEX(Jugadores!$C$2:$C$501,MATCH(B2654,Jugadores!$A$2:$A$501,0)),"⚠ ID no existe"))</f>
        <v/>
      </c>
      <c r="D2654" s="19" t="n"/>
      <c r="E2654" s="19" t="n"/>
      <c r="F2654" s="16">
        <f>IF(OR(B2654="",D2654=""),"",IFERROR(INDEX('Tabla XP'!$B$2:$B$12,MATCH(D2654,'Tabla XP'!$A$2:$A$12,0))*IF(E2654="",1,E2654),0))</f>
        <v/>
      </c>
      <c r="G2654" s="19" t="n"/>
      <c r="H2654" s="19" t="n"/>
    </row>
    <row r="2655">
      <c r="A2655" s="22" t="n"/>
      <c r="B2655" s="19" t="n"/>
      <c r="C2655" s="18">
        <f>IF(B2655="","",IFERROR(INDEX(Jugadores!$C$2:$C$501,MATCH(B2655,Jugadores!$A$2:$A$501,0)),"⚠ ID no existe"))</f>
        <v/>
      </c>
      <c r="D2655" s="19" t="n"/>
      <c r="E2655" s="19" t="n"/>
      <c r="F2655" s="16">
        <f>IF(OR(B2655="",D2655=""),"",IFERROR(INDEX('Tabla XP'!$B$2:$B$12,MATCH(D2655,'Tabla XP'!$A$2:$A$12,0))*IF(E2655="",1,E2655),0))</f>
        <v/>
      </c>
      <c r="G2655" s="19" t="n"/>
      <c r="H2655" s="19" t="n"/>
    </row>
    <row r="2656">
      <c r="A2656" s="22" t="n"/>
      <c r="B2656" s="19" t="n"/>
      <c r="C2656" s="18">
        <f>IF(B2656="","",IFERROR(INDEX(Jugadores!$C$2:$C$501,MATCH(B2656,Jugadores!$A$2:$A$501,0)),"⚠ ID no existe"))</f>
        <v/>
      </c>
      <c r="D2656" s="19" t="n"/>
      <c r="E2656" s="19" t="n"/>
      <c r="F2656" s="16">
        <f>IF(OR(B2656="",D2656=""),"",IFERROR(INDEX('Tabla XP'!$B$2:$B$12,MATCH(D2656,'Tabla XP'!$A$2:$A$12,0))*IF(E2656="",1,E2656),0))</f>
        <v/>
      </c>
      <c r="G2656" s="19" t="n"/>
      <c r="H2656" s="19" t="n"/>
    </row>
    <row r="2657">
      <c r="A2657" s="22" t="n"/>
      <c r="B2657" s="19" t="n"/>
      <c r="C2657" s="18">
        <f>IF(B2657="","",IFERROR(INDEX(Jugadores!$C$2:$C$501,MATCH(B2657,Jugadores!$A$2:$A$501,0)),"⚠ ID no existe"))</f>
        <v/>
      </c>
      <c r="D2657" s="19" t="n"/>
      <c r="E2657" s="19" t="n"/>
      <c r="F2657" s="16">
        <f>IF(OR(B2657="",D2657=""),"",IFERROR(INDEX('Tabla XP'!$B$2:$B$12,MATCH(D2657,'Tabla XP'!$A$2:$A$12,0))*IF(E2657="",1,E2657),0))</f>
        <v/>
      </c>
      <c r="G2657" s="19" t="n"/>
      <c r="H2657" s="19" t="n"/>
    </row>
    <row r="2658">
      <c r="A2658" s="22" t="n"/>
      <c r="B2658" s="19" t="n"/>
      <c r="C2658" s="18">
        <f>IF(B2658="","",IFERROR(INDEX(Jugadores!$C$2:$C$501,MATCH(B2658,Jugadores!$A$2:$A$501,0)),"⚠ ID no existe"))</f>
        <v/>
      </c>
      <c r="D2658" s="19" t="n"/>
      <c r="E2658" s="19" t="n"/>
      <c r="F2658" s="16">
        <f>IF(OR(B2658="",D2658=""),"",IFERROR(INDEX('Tabla XP'!$B$2:$B$12,MATCH(D2658,'Tabla XP'!$A$2:$A$12,0))*IF(E2658="",1,E2658),0))</f>
        <v/>
      </c>
      <c r="G2658" s="19" t="n"/>
      <c r="H2658" s="19" t="n"/>
    </row>
    <row r="2659">
      <c r="A2659" s="22" t="n"/>
      <c r="B2659" s="19" t="n"/>
      <c r="C2659" s="18">
        <f>IF(B2659="","",IFERROR(INDEX(Jugadores!$C$2:$C$501,MATCH(B2659,Jugadores!$A$2:$A$501,0)),"⚠ ID no existe"))</f>
        <v/>
      </c>
      <c r="D2659" s="19" t="n"/>
      <c r="E2659" s="19" t="n"/>
      <c r="F2659" s="16">
        <f>IF(OR(B2659="",D2659=""),"",IFERROR(INDEX('Tabla XP'!$B$2:$B$12,MATCH(D2659,'Tabla XP'!$A$2:$A$12,0))*IF(E2659="",1,E2659),0))</f>
        <v/>
      </c>
      <c r="G2659" s="19" t="n"/>
      <c r="H2659" s="19" t="n"/>
    </row>
    <row r="2660">
      <c r="A2660" s="22" t="n"/>
      <c r="B2660" s="19" t="n"/>
      <c r="C2660" s="18">
        <f>IF(B2660="","",IFERROR(INDEX(Jugadores!$C$2:$C$501,MATCH(B2660,Jugadores!$A$2:$A$501,0)),"⚠ ID no existe"))</f>
        <v/>
      </c>
      <c r="D2660" s="19" t="n"/>
      <c r="E2660" s="19" t="n"/>
      <c r="F2660" s="16">
        <f>IF(OR(B2660="",D2660=""),"",IFERROR(INDEX('Tabla XP'!$B$2:$B$12,MATCH(D2660,'Tabla XP'!$A$2:$A$12,0))*IF(E2660="",1,E2660),0))</f>
        <v/>
      </c>
      <c r="G2660" s="19" t="n"/>
      <c r="H2660" s="19" t="n"/>
    </row>
    <row r="2661">
      <c r="A2661" s="22" t="n"/>
      <c r="B2661" s="19" t="n"/>
      <c r="C2661" s="18">
        <f>IF(B2661="","",IFERROR(INDEX(Jugadores!$C$2:$C$501,MATCH(B2661,Jugadores!$A$2:$A$501,0)),"⚠ ID no existe"))</f>
        <v/>
      </c>
      <c r="D2661" s="19" t="n"/>
      <c r="E2661" s="19" t="n"/>
      <c r="F2661" s="16">
        <f>IF(OR(B2661="",D2661=""),"",IFERROR(INDEX('Tabla XP'!$B$2:$B$12,MATCH(D2661,'Tabla XP'!$A$2:$A$12,0))*IF(E2661="",1,E2661),0))</f>
        <v/>
      </c>
      <c r="G2661" s="19" t="n"/>
      <c r="H2661" s="19" t="n"/>
    </row>
    <row r="2662">
      <c r="A2662" s="22" t="n"/>
      <c r="B2662" s="19" t="n"/>
      <c r="C2662" s="18">
        <f>IF(B2662="","",IFERROR(INDEX(Jugadores!$C$2:$C$501,MATCH(B2662,Jugadores!$A$2:$A$501,0)),"⚠ ID no existe"))</f>
        <v/>
      </c>
      <c r="D2662" s="19" t="n"/>
      <c r="E2662" s="19" t="n"/>
      <c r="F2662" s="16">
        <f>IF(OR(B2662="",D2662=""),"",IFERROR(INDEX('Tabla XP'!$B$2:$B$12,MATCH(D2662,'Tabla XP'!$A$2:$A$12,0))*IF(E2662="",1,E2662),0))</f>
        <v/>
      </c>
      <c r="G2662" s="19" t="n"/>
      <c r="H2662" s="19" t="n"/>
    </row>
    <row r="2663">
      <c r="A2663" s="22" t="n"/>
      <c r="B2663" s="19" t="n"/>
      <c r="C2663" s="18">
        <f>IF(B2663="","",IFERROR(INDEX(Jugadores!$C$2:$C$501,MATCH(B2663,Jugadores!$A$2:$A$501,0)),"⚠ ID no existe"))</f>
        <v/>
      </c>
      <c r="D2663" s="19" t="n"/>
      <c r="E2663" s="19" t="n"/>
      <c r="F2663" s="16">
        <f>IF(OR(B2663="",D2663=""),"",IFERROR(INDEX('Tabla XP'!$B$2:$B$12,MATCH(D2663,'Tabla XP'!$A$2:$A$12,0))*IF(E2663="",1,E2663),0))</f>
        <v/>
      </c>
      <c r="G2663" s="19" t="n"/>
      <c r="H2663" s="19" t="n"/>
    </row>
    <row r="2664">
      <c r="A2664" s="22" t="n"/>
      <c r="B2664" s="19" t="n"/>
      <c r="C2664" s="18">
        <f>IF(B2664="","",IFERROR(INDEX(Jugadores!$C$2:$C$501,MATCH(B2664,Jugadores!$A$2:$A$501,0)),"⚠ ID no existe"))</f>
        <v/>
      </c>
      <c r="D2664" s="19" t="n"/>
      <c r="E2664" s="19" t="n"/>
      <c r="F2664" s="16">
        <f>IF(OR(B2664="",D2664=""),"",IFERROR(INDEX('Tabla XP'!$B$2:$B$12,MATCH(D2664,'Tabla XP'!$A$2:$A$12,0))*IF(E2664="",1,E2664),0))</f>
        <v/>
      </c>
      <c r="G2664" s="19" t="n"/>
      <c r="H2664" s="19" t="n"/>
    </row>
    <row r="2665">
      <c r="A2665" s="22" t="n"/>
      <c r="B2665" s="19" t="n"/>
      <c r="C2665" s="18">
        <f>IF(B2665="","",IFERROR(INDEX(Jugadores!$C$2:$C$501,MATCH(B2665,Jugadores!$A$2:$A$501,0)),"⚠ ID no existe"))</f>
        <v/>
      </c>
      <c r="D2665" s="19" t="n"/>
      <c r="E2665" s="19" t="n"/>
      <c r="F2665" s="16">
        <f>IF(OR(B2665="",D2665=""),"",IFERROR(INDEX('Tabla XP'!$B$2:$B$12,MATCH(D2665,'Tabla XP'!$A$2:$A$12,0))*IF(E2665="",1,E2665),0))</f>
        <v/>
      </c>
      <c r="G2665" s="19" t="n"/>
      <c r="H2665" s="19" t="n"/>
    </row>
    <row r="2666">
      <c r="A2666" s="22" t="n"/>
      <c r="B2666" s="19" t="n"/>
      <c r="C2666" s="18">
        <f>IF(B2666="","",IFERROR(INDEX(Jugadores!$C$2:$C$501,MATCH(B2666,Jugadores!$A$2:$A$501,0)),"⚠ ID no existe"))</f>
        <v/>
      </c>
      <c r="D2666" s="19" t="n"/>
      <c r="E2666" s="19" t="n"/>
      <c r="F2666" s="16">
        <f>IF(OR(B2666="",D2666=""),"",IFERROR(INDEX('Tabla XP'!$B$2:$B$12,MATCH(D2666,'Tabla XP'!$A$2:$A$12,0))*IF(E2666="",1,E2666),0))</f>
        <v/>
      </c>
      <c r="G2666" s="19" t="n"/>
      <c r="H2666" s="19" t="n"/>
    </row>
    <row r="2667">
      <c r="A2667" s="22" t="n"/>
      <c r="B2667" s="19" t="n"/>
      <c r="C2667" s="18">
        <f>IF(B2667="","",IFERROR(INDEX(Jugadores!$C$2:$C$501,MATCH(B2667,Jugadores!$A$2:$A$501,0)),"⚠ ID no existe"))</f>
        <v/>
      </c>
      <c r="D2667" s="19" t="n"/>
      <c r="E2667" s="19" t="n"/>
      <c r="F2667" s="16">
        <f>IF(OR(B2667="",D2667=""),"",IFERROR(INDEX('Tabla XP'!$B$2:$B$12,MATCH(D2667,'Tabla XP'!$A$2:$A$12,0))*IF(E2667="",1,E2667),0))</f>
        <v/>
      </c>
      <c r="G2667" s="19" t="n"/>
      <c r="H2667" s="19" t="n"/>
    </row>
    <row r="2668">
      <c r="A2668" s="22" t="n"/>
      <c r="B2668" s="19" t="n"/>
      <c r="C2668" s="18">
        <f>IF(B2668="","",IFERROR(INDEX(Jugadores!$C$2:$C$501,MATCH(B2668,Jugadores!$A$2:$A$501,0)),"⚠ ID no existe"))</f>
        <v/>
      </c>
      <c r="D2668" s="19" t="n"/>
      <c r="E2668" s="19" t="n"/>
      <c r="F2668" s="16">
        <f>IF(OR(B2668="",D2668=""),"",IFERROR(INDEX('Tabla XP'!$B$2:$B$12,MATCH(D2668,'Tabla XP'!$A$2:$A$12,0))*IF(E2668="",1,E2668),0))</f>
        <v/>
      </c>
      <c r="G2668" s="19" t="n"/>
      <c r="H2668" s="19" t="n"/>
    </row>
    <row r="2669">
      <c r="A2669" s="22" t="n"/>
      <c r="B2669" s="19" t="n"/>
      <c r="C2669" s="18">
        <f>IF(B2669="","",IFERROR(INDEX(Jugadores!$C$2:$C$501,MATCH(B2669,Jugadores!$A$2:$A$501,0)),"⚠ ID no existe"))</f>
        <v/>
      </c>
      <c r="D2669" s="19" t="n"/>
      <c r="E2669" s="19" t="n"/>
      <c r="F2669" s="16">
        <f>IF(OR(B2669="",D2669=""),"",IFERROR(INDEX('Tabla XP'!$B$2:$B$12,MATCH(D2669,'Tabla XP'!$A$2:$A$12,0))*IF(E2669="",1,E2669),0))</f>
        <v/>
      </c>
      <c r="G2669" s="19" t="n"/>
      <c r="H2669" s="19" t="n"/>
    </row>
    <row r="2670">
      <c r="A2670" s="22" t="n"/>
      <c r="B2670" s="19" t="n"/>
      <c r="C2670" s="18">
        <f>IF(B2670="","",IFERROR(INDEX(Jugadores!$C$2:$C$501,MATCH(B2670,Jugadores!$A$2:$A$501,0)),"⚠ ID no existe"))</f>
        <v/>
      </c>
      <c r="D2670" s="19" t="n"/>
      <c r="E2670" s="19" t="n"/>
      <c r="F2670" s="16">
        <f>IF(OR(B2670="",D2670=""),"",IFERROR(INDEX('Tabla XP'!$B$2:$B$12,MATCH(D2670,'Tabla XP'!$A$2:$A$12,0))*IF(E2670="",1,E2670),0))</f>
        <v/>
      </c>
      <c r="G2670" s="19" t="n"/>
      <c r="H2670" s="19" t="n"/>
    </row>
    <row r="2671">
      <c r="A2671" s="22" t="n"/>
      <c r="B2671" s="19" t="n"/>
      <c r="C2671" s="18">
        <f>IF(B2671="","",IFERROR(INDEX(Jugadores!$C$2:$C$501,MATCH(B2671,Jugadores!$A$2:$A$501,0)),"⚠ ID no existe"))</f>
        <v/>
      </c>
      <c r="D2671" s="19" t="n"/>
      <c r="E2671" s="19" t="n"/>
      <c r="F2671" s="16">
        <f>IF(OR(B2671="",D2671=""),"",IFERROR(INDEX('Tabla XP'!$B$2:$B$12,MATCH(D2671,'Tabla XP'!$A$2:$A$12,0))*IF(E2671="",1,E2671),0))</f>
        <v/>
      </c>
      <c r="G2671" s="19" t="n"/>
      <c r="H2671" s="19" t="n"/>
    </row>
    <row r="2672">
      <c r="A2672" s="22" t="n"/>
      <c r="B2672" s="19" t="n"/>
      <c r="C2672" s="18">
        <f>IF(B2672="","",IFERROR(INDEX(Jugadores!$C$2:$C$501,MATCH(B2672,Jugadores!$A$2:$A$501,0)),"⚠ ID no existe"))</f>
        <v/>
      </c>
      <c r="D2672" s="19" t="n"/>
      <c r="E2672" s="19" t="n"/>
      <c r="F2672" s="16">
        <f>IF(OR(B2672="",D2672=""),"",IFERROR(INDEX('Tabla XP'!$B$2:$B$12,MATCH(D2672,'Tabla XP'!$A$2:$A$12,0))*IF(E2672="",1,E2672),0))</f>
        <v/>
      </c>
      <c r="G2672" s="19" t="n"/>
      <c r="H2672" s="19" t="n"/>
    </row>
    <row r="2673">
      <c r="A2673" s="22" t="n"/>
      <c r="B2673" s="19" t="n"/>
      <c r="C2673" s="18">
        <f>IF(B2673="","",IFERROR(INDEX(Jugadores!$C$2:$C$501,MATCH(B2673,Jugadores!$A$2:$A$501,0)),"⚠ ID no existe"))</f>
        <v/>
      </c>
      <c r="D2673" s="19" t="n"/>
      <c r="E2673" s="19" t="n"/>
      <c r="F2673" s="16">
        <f>IF(OR(B2673="",D2673=""),"",IFERROR(INDEX('Tabla XP'!$B$2:$B$12,MATCH(D2673,'Tabla XP'!$A$2:$A$12,0))*IF(E2673="",1,E2673),0))</f>
        <v/>
      </c>
      <c r="G2673" s="19" t="n"/>
      <c r="H2673" s="19" t="n"/>
    </row>
    <row r="2674">
      <c r="A2674" s="22" t="n"/>
      <c r="B2674" s="19" t="n"/>
      <c r="C2674" s="18">
        <f>IF(B2674="","",IFERROR(INDEX(Jugadores!$C$2:$C$501,MATCH(B2674,Jugadores!$A$2:$A$501,0)),"⚠ ID no existe"))</f>
        <v/>
      </c>
      <c r="D2674" s="19" t="n"/>
      <c r="E2674" s="19" t="n"/>
      <c r="F2674" s="16">
        <f>IF(OR(B2674="",D2674=""),"",IFERROR(INDEX('Tabla XP'!$B$2:$B$12,MATCH(D2674,'Tabla XP'!$A$2:$A$12,0))*IF(E2674="",1,E2674),0))</f>
        <v/>
      </c>
      <c r="G2674" s="19" t="n"/>
      <c r="H2674" s="19" t="n"/>
    </row>
    <row r="2675">
      <c r="A2675" s="22" t="n"/>
      <c r="B2675" s="19" t="n"/>
      <c r="C2675" s="18">
        <f>IF(B2675="","",IFERROR(INDEX(Jugadores!$C$2:$C$501,MATCH(B2675,Jugadores!$A$2:$A$501,0)),"⚠ ID no existe"))</f>
        <v/>
      </c>
      <c r="D2675" s="19" t="n"/>
      <c r="E2675" s="19" t="n"/>
      <c r="F2675" s="16">
        <f>IF(OR(B2675="",D2675=""),"",IFERROR(INDEX('Tabla XP'!$B$2:$B$12,MATCH(D2675,'Tabla XP'!$A$2:$A$12,0))*IF(E2675="",1,E2675),0))</f>
        <v/>
      </c>
      <c r="G2675" s="19" t="n"/>
      <c r="H2675" s="19" t="n"/>
    </row>
    <row r="2676">
      <c r="A2676" s="22" t="n"/>
      <c r="B2676" s="19" t="n"/>
      <c r="C2676" s="18">
        <f>IF(B2676="","",IFERROR(INDEX(Jugadores!$C$2:$C$501,MATCH(B2676,Jugadores!$A$2:$A$501,0)),"⚠ ID no existe"))</f>
        <v/>
      </c>
      <c r="D2676" s="19" t="n"/>
      <c r="E2676" s="19" t="n"/>
      <c r="F2676" s="16">
        <f>IF(OR(B2676="",D2676=""),"",IFERROR(INDEX('Tabla XP'!$B$2:$B$12,MATCH(D2676,'Tabla XP'!$A$2:$A$12,0))*IF(E2676="",1,E2676),0))</f>
        <v/>
      </c>
      <c r="G2676" s="19" t="n"/>
      <c r="H2676" s="19" t="n"/>
    </row>
    <row r="2677">
      <c r="A2677" s="22" t="n"/>
      <c r="B2677" s="19" t="n"/>
      <c r="C2677" s="18">
        <f>IF(B2677="","",IFERROR(INDEX(Jugadores!$C$2:$C$501,MATCH(B2677,Jugadores!$A$2:$A$501,0)),"⚠ ID no existe"))</f>
        <v/>
      </c>
      <c r="D2677" s="19" t="n"/>
      <c r="E2677" s="19" t="n"/>
      <c r="F2677" s="16">
        <f>IF(OR(B2677="",D2677=""),"",IFERROR(INDEX('Tabla XP'!$B$2:$B$12,MATCH(D2677,'Tabla XP'!$A$2:$A$12,0))*IF(E2677="",1,E2677),0))</f>
        <v/>
      </c>
      <c r="G2677" s="19" t="n"/>
      <c r="H2677" s="19" t="n"/>
    </row>
    <row r="2678">
      <c r="A2678" s="22" t="n"/>
      <c r="B2678" s="19" t="n"/>
      <c r="C2678" s="18">
        <f>IF(B2678="","",IFERROR(INDEX(Jugadores!$C$2:$C$501,MATCH(B2678,Jugadores!$A$2:$A$501,0)),"⚠ ID no existe"))</f>
        <v/>
      </c>
      <c r="D2678" s="19" t="n"/>
      <c r="E2678" s="19" t="n"/>
      <c r="F2678" s="16">
        <f>IF(OR(B2678="",D2678=""),"",IFERROR(INDEX('Tabla XP'!$B$2:$B$12,MATCH(D2678,'Tabla XP'!$A$2:$A$12,0))*IF(E2678="",1,E2678),0))</f>
        <v/>
      </c>
      <c r="G2678" s="19" t="n"/>
      <c r="H2678" s="19" t="n"/>
    </row>
    <row r="2679">
      <c r="A2679" s="22" t="n"/>
      <c r="B2679" s="19" t="n"/>
      <c r="C2679" s="18">
        <f>IF(B2679="","",IFERROR(INDEX(Jugadores!$C$2:$C$501,MATCH(B2679,Jugadores!$A$2:$A$501,0)),"⚠ ID no existe"))</f>
        <v/>
      </c>
      <c r="D2679" s="19" t="n"/>
      <c r="E2679" s="19" t="n"/>
      <c r="F2679" s="16">
        <f>IF(OR(B2679="",D2679=""),"",IFERROR(INDEX('Tabla XP'!$B$2:$B$12,MATCH(D2679,'Tabla XP'!$A$2:$A$12,0))*IF(E2679="",1,E2679),0))</f>
        <v/>
      </c>
      <c r="G2679" s="19" t="n"/>
      <c r="H2679" s="19" t="n"/>
    </row>
    <row r="2680">
      <c r="A2680" s="22" t="n"/>
      <c r="B2680" s="19" t="n"/>
      <c r="C2680" s="18">
        <f>IF(B2680="","",IFERROR(INDEX(Jugadores!$C$2:$C$501,MATCH(B2680,Jugadores!$A$2:$A$501,0)),"⚠ ID no existe"))</f>
        <v/>
      </c>
      <c r="D2680" s="19" t="n"/>
      <c r="E2680" s="19" t="n"/>
      <c r="F2680" s="16">
        <f>IF(OR(B2680="",D2680=""),"",IFERROR(INDEX('Tabla XP'!$B$2:$B$12,MATCH(D2680,'Tabla XP'!$A$2:$A$12,0))*IF(E2680="",1,E2680),0))</f>
        <v/>
      </c>
      <c r="G2680" s="19" t="n"/>
      <c r="H2680" s="19" t="n"/>
    </row>
    <row r="2681">
      <c r="A2681" s="22" t="n"/>
      <c r="B2681" s="19" t="n"/>
      <c r="C2681" s="18">
        <f>IF(B2681="","",IFERROR(INDEX(Jugadores!$C$2:$C$501,MATCH(B2681,Jugadores!$A$2:$A$501,0)),"⚠ ID no existe"))</f>
        <v/>
      </c>
      <c r="D2681" s="19" t="n"/>
      <c r="E2681" s="19" t="n"/>
      <c r="F2681" s="16">
        <f>IF(OR(B2681="",D2681=""),"",IFERROR(INDEX('Tabla XP'!$B$2:$B$12,MATCH(D2681,'Tabla XP'!$A$2:$A$12,0))*IF(E2681="",1,E2681),0))</f>
        <v/>
      </c>
      <c r="G2681" s="19" t="n"/>
      <c r="H2681" s="19" t="n"/>
    </row>
    <row r="2682">
      <c r="A2682" s="22" t="n"/>
      <c r="B2682" s="19" t="n"/>
      <c r="C2682" s="18">
        <f>IF(B2682="","",IFERROR(INDEX(Jugadores!$C$2:$C$501,MATCH(B2682,Jugadores!$A$2:$A$501,0)),"⚠ ID no existe"))</f>
        <v/>
      </c>
      <c r="D2682" s="19" t="n"/>
      <c r="E2682" s="19" t="n"/>
      <c r="F2682" s="16">
        <f>IF(OR(B2682="",D2682=""),"",IFERROR(INDEX('Tabla XP'!$B$2:$B$12,MATCH(D2682,'Tabla XP'!$A$2:$A$12,0))*IF(E2682="",1,E2682),0))</f>
        <v/>
      </c>
      <c r="G2682" s="19" t="n"/>
      <c r="H2682" s="19" t="n"/>
    </row>
    <row r="2683">
      <c r="A2683" s="22" t="n"/>
      <c r="B2683" s="19" t="n"/>
      <c r="C2683" s="18">
        <f>IF(B2683="","",IFERROR(INDEX(Jugadores!$C$2:$C$501,MATCH(B2683,Jugadores!$A$2:$A$501,0)),"⚠ ID no existe"))</f>
        <v/>
      </c>
      <c r="D2683" s="19" t="n"/>
      <c r="E2683" s="19" t="n"/>
      <c r="F2683" s="16">
        <f>IF(OR(B2683="",D2683=""),"",IFERROR(INDEX('Tabla XP'!$B$2:$B$12,MATCH(D2683,'Tabla XP'!$A$2:$A$12,0))*IF(E2683="",1,E2683),0))</f>
        <v/>
      </c>
      <c r="G2683" s="19" t="n"/>
      <c r="H2683" s="19" t="n"/>
    </row>
    <row r="2684">
      <c r="A2684" s="22" t="n"/>
      <c r="B2684" s="19" t="n"/>
      <c r="C2684" s="18">
        <f>IF(B2684="","",IFERROR(INDEX(Jugadores!$C$2:$C$501,MATCH(B2684,Jugadores!$A$2:$A$501,0)),"⚠ ID no existe"))</f>
        <v/>
      </c>
      <c r="D2684" s="19" t="n"/>
      <c r="E2684" s="19" t="n"/>
      <c r="F2684" s="16">
        <f>IF(OR(B2684="",D2684=""),"",IFERROR(INDEX('Tabla XP'!$B$2:$B$12,MATCH(D2684,'Tabla XP'!$A$2:$A$12,0))*IF(E2684="",1,E2684),0))</f>
        <v/>
      </c>
      <c r="G2684" s="19" t="n"/>
      <c r="H2684" s="19" t="n"/>
    </row>
    <row r="2685">
      <c r="A2685" s="22" t="n"/>
      <c r="B2685" s="19" t="n"/>
      <c r="C2685" s="18">
        <f>IF(B2685="","",IFERROR(INDEX(Jugadores!$C$2:$C$501,MATCH(B2685,Jugadores!$A$2:$A$501,0)),"⚠ ID no existe"))</f>
        <v/>
      </c>
      <c r="D2685" s="19" t="n"/>
      <c r="E2685" s="19" t="n"/>
      <c r="F2685" s="16">
        <f>IF(OR(B2685="",D2685=""),"",IFERROR(INDEX('Tabla XP'!$B$2:$B$12,MATCH(D2685,'Tabla XP'!$A$2:$A$12,0))*IF(E2685="",1,E2685),0))</f>
        <v/>
      </c>
      <c r="G2685" s="19" t="n"/>
      <c r="H2685" s="19" t="n"/>
    </row>
    <row r="2686">
      <c r="A2686" s="22" t="n"/>
      <c r="B2686" s="19" t="n"/>
      <c r="C2686" s="18">
        <f>IF(B2686="","",IFERROR(INDEX(Jugadores!$C$2:$C$501,MATCH(B2686,Jugadores!$A$2:$A$501,0)),"⚠ ID no existe"))</f>
        <v/>
      </c>
      <c r="D2686" s="19" t="n"/>
      <c r="E2686" s="19" t="n"/>
      <c r="F2686" s="16">
        <f>IF(OR(B2686="",D2686=""),"",IFERROR(INDEX('Tabla XP'!$B$2:$B$12,MATCH(D2686,'Tabla XP'!$A$2:$A$12,0))*IF(E2686="",1,E2686),0))</f>
        <v/>
      </c>
      <c r="G2686" s="19" t="n"/>
      <c r="H2686" s="19" t="n"/>
    </row>
    <row r="2687">
      <c r="A2687" s="22" t="n"/>
      <c r="B2687" s="19" t="n"/>
      <c r="C2687" s="18">
        <f>IF(B2687="","",IFERROR(INDEX(Jugadores!$C$2:$C$501,MATCH(B2687,Jugadores!$A$2:$A$501,0)),"⚠ ID no existe"))</f>
        <v/>
      </c>
      <c r="D2687" s="19" t="n"/>
      <c r="E2687" s="19" t="n"/>
      <c r="F2687" s="16">
        <f>IF(OR(B2687="",D2687=""),"",IFERROR(INDEX('Tabla XP'!$B$2:$B$12,MATCH(D2687,'Tabla XP'!$A$2:$A$12,0))*IF(E2687="",1,E2687),0))</f>
        <v/>
      </c>
      <c r="G2687" s="19" t="n"/>
      <c r="H2687" s="19" t="n"/>
    </row>
    <row r="2688">
      <c r="A2688" s="22" t="n"/>
      <c r="B2688" s="19" t="n"/>
      <c r="C2688" s="18">
        <f>IF(B2688="","",IFERROR(INDEX(Jugadores!$C$2:$C$501,MATCH(B2688,Jugadores!$A$2:$A$501,0)),"⚠ ID no existe"))</f>
        <v/>
      </c>
      <c r="D2688" s="19" t="n"/>
      <c r="E2688" s="19" t="n"/>
      <c r="F2688" s="16">
        <f>IF(OR(B2688="",D2688=""),"",IFERROR(INDEX('Tabla XP'!$B$2:$B$12,MATCH(D2688,'Tabla XP'!$A$2:$A$12,0))*IF(E2688="",1,E2688),0))</f>
        <v/>
      </c>
      <c r="G2688" s="19" t="n"/>
      <c r="H2688" s="19" t="n"/>
    </row>
    <row r="2689">
      <c r="A2689" s="22" t="n"/>
      <c r="B2689" s="19" t="n"/>
      <c r="C2689" s="18">
        <f>IF(B2689="","",IFERROR(INDEX(Jugadores!$C$2:$C$501,MATCH(B2689,Jugadores!$A$2:$A$501,0)),"⚠ ID no existe"))</f>
        <v/>
      </c>
      <c r="D2689" s="19" t="n"/>
      <c r="E2689" s="19" t="n"/>
      <c r="F2689" s="16">
        <f>IF(OR(B2689="",D2689=""),"",IFERROR(INDEX('Tabla XP'!$B$2:$B$12,MATCH(D2689,'Tabla XP'!$A$2:$A$12,0))*IF(E2689="",1,E2689),0))</f>
        <v/>
      </c>
      <c r="G2689" s="19" t="n"/>
      <c r="H2689" s="19" t="n"/>
    </row>
    <row r="2690">
      <c r="A2690" s="22" t="n"/>
      <c r="B2690" s="19" t="n"/>
      <c r="C2690" s="18">
        <f>IF(B2690="","",IFERROR(INDEX(Jugadores!$C$2:$C$501,MATCH(B2690,Jugadores!$A$2:$A$501,0)),"⚠ ID no existe"))</f>
        <v/>
      </c>
      <c r="D2690" s="19" t="n"/>
      <c r="E2690" s="19" t="n"/>
      <c r="F2690" s="16">
        <f>IF(OR(B2690="",D2690=""),"",IFERROR(INDEX('Tabla XP'!$B$2:$B$12,MATCH(D2690,'Tabla XP'!$A$2:$A$12,0))*IF(E2690="",1,E2690),0))</f>
        <v/>
      </c>
      <c r="G2690" s="19" t="n"/>
      <c r="H2690" s="19" t="n"/>
    </row>
    <row r="2691">
      <c r="A2691" s="22" t="n"/>
      <c r="B2691" s="19" t="n"/>
      <c r="C2691" s="18">
        <f>IF(B2691="","",IFERROR(INDEX(Jugadores!$C$2:$C$501,MATCH(B2691,Jugadores!$A$2:$A$501,0)),"⚠ ID no existe"))</f>
        <v/>
      </c>
      <c r="D2691" s="19" t="n"/>
      <c r="E2691" s="19" t="n"/>
      <c r="F2691" s="16">
        <f>IF(OR(B2691="",D2691=""),"",IFERROR(INDEX('Tabla XP'!$B$2:$B$12,MATCH(D2691,'Tabla XP'!$A$2:$A$12,0))*IF(E2691="",1,E2691),0))</f>
        <v/>
      </c>
      <c r="G2691" s="19" t="n"/>
      <c r="H2691" s="19" t="n"/>
    </row>
    <row r="2692">
      <c r="A2692" s="22" t="n"/>
      <c r="B2692" s="19" t="n"/>
      <c r="C2692" s="18">
        <f>IF(B2692="","",IFERROR(INDEX(Jugadores!$C$2:$C$501,MATCH(B2692,Jugadores!$A$2:$A$501,0)),"⚠ ID no existe"))</f>
        <v/>
      </c>
      <c r="D2692" s="19" t="n"/>
      <c r="E2692" s="19" t="n"/>
      <c r="F2692" s="16">
        <f>IF(OR(B2692="",D2692=""),"",IFERROR(INDEX('Tabla XP'!$B$2:$B$12,MATCH(D2692,'Tabla XP'!$A$2:$A$12,0))*IF(E2692="",1,E2692),0))</f>
        <v/>
      </c>
      <c r="G2692" s="19" t="n"/>
      <c r="H2692" s="19" t="n"/>
    </row>
    <row r="2693">
      <c r="A2693" s="22" t="n"/>
      <c r="B2693" s="19" t="n"/>
      <c r="C2693" s="18">
        <f>IF(B2693="","",IFERROR(INDEX(Jugadores!$C$2:$C$501,MATCH(B2693,Jugadores!$A$2:$A$501,0)),"⚠ ID no existe"))</f>
        <v/>
      </c>
      <c r="D2693" s="19" t="n"/>
      <c r="E2693" s="19" t="n"/>
      <c r="F2693" s="16">
        <f>IF(OR(B2693="",D2693=""),"",IFERROR(INDEX('Tabla XP'!$B$2:$B$12,MATCH(D2693,'Tabla XP'!$A$2:$A$12,0))*IF(E2693="",1,E2693),0))</f>
        <v/>
      </c>
      <c r="G2693" s="19" t="n"/>
      <c r="H2693" s="19" t="n"/>
    </row>
    <row r="2694">
      <c r="A2694" s="22" t="n"/>
      <c r="B2694" s="19" t="n"/>
      <c r="C2694" s="18">
        <f>IF(B2694="","",IFERROR(INDEX(Jugadores!$C$2:$C$501,MATCH(B2694,Jugadores!$A$2:$A$501,0)),"⚠ ID no existe"))</f>
        <v/>
      </c>
      <c r="D2694" s="19" t="n"/>
      <c r="E2694" s="19" t="n"/>
      <c r="F2694" s="16">
        <f>IF(OR(B2694="",D2694=""),"",IFERROR(INDEX('Tabla XP'!$B$2:$B$12,MATCH(D2694,'Tabla XP'!$A$2:$A$12,0))*IF(E2694="",1,E2694),0))</f>
        <v/>
      </c>
      <c r="G2694" s="19" t="n"/>
      <c r="H2694" s="19" t="n"/>
    </row>
    <row r="2695">
      <c r="A2695" s="22" t="n"/>
      <c r="B2695" s="19" t="n"/>
      <c r="C2695" s="18">
        <f>IF(B2695="","",IFERROR(INDEX(Jugadores!$C$2:$C$501,MATCH(B2695,Jugadores!$A$2:$A$501,0)),"⚠ ID no existe"))</f>
        <v/>
      </c>
      <c r="D2695" s="19" t="n"/>
      <c r="E2695" s="19" t="n"/>
      <c r="F2695" s="16">
        <f>IF(OR(B2695="",D2695=""),"",IFERROR(INDEX('Tabla XP'!$B$2:$B$12,MATCH(D2695,'Tabla XP'!$A$2:$A$12,0))*IF(E2695="",1,E2695),0))</f>
        <v/>
      </c>
      <c r="G2695" s="19" t="n"/>
      <c r="H2695" s="19" t="n"/>
    </row>
    <row r="2696">
      <c r="A2696" s="22" t="n"/>
      <c r="B2696" s="19" t="n"/>
      <c r="C2696" s="18">
        <f>IF(B2696="","",IFERROR(INDEX(Jugadores!$C$2:$C$501,MATCH(B2696,Jugadores!$A$2:$A$501,0)),"⚠ ID no existe"))</f>
        <v/>
      </c>
      <c r="D2696" s="19" t="n"/>
      <c r="E2696" s="19" t="n"/>
      <c r="F2696" s="16">
        <f>IF(OR(B2696="",D2696=""),"",IFERROR(INDEX('Tabla XP'!$B$2:$B$12,MATCH(D2696,'Tabla XP'!$A$2:$A$12,0))*IF(E2696="",1,E2696),0))</f>
        <v/>
      </c>
      <c r="G2696" s="19" t="n"/>
      <c r="H2696" s="19" t="n"/>
    </row>
    <row r="2697">
      <c r="A2697" s="22" t="n"/>
      <c r="B2697" s="19" t="n"/>
      <c r="C2697" s="18">
        <f>IF(B2697="","",IFERROR(INDEX(Jugadores!$C$2:$C$501,MATCH(B2697,Jugadores!$A$2:$A$501,0)),"⚠ ID no existe"))</f>
        <v/>
      </c>
      <c r="D2697" s="19" t="n"/>
      <c r="E2697" s="19" t="n"/>
      <c r="F2697" s="16">
        <f>IF(OR(B2697="",D2697=""),"",IFERROR(INDEX('Tabla XP'!$B$2:$B$12,MATCH(D2697,'Tabla XP'!$A$2:$A$12,0))*IF(E2697="",1,E2697),0))</f>
        <v/>
      </c>
      <c r="G2697" s="19" t="n"/>
      <c r="H2697" s="19" t="n"/>
    </row>
    <row r="2698">
      <c r="A2698" s="22" t="n"/>
      <c r="B2698" s="19" t="n"/>
      <c r="C2698" s="18">
        <f>IF(B2698="","",IFERROR(INDEX(Jugadores!$C$2:$C$501,MATCH(B2698,Jugadores!$A$2:$A$501,0)),"⚠ ID no existe"))</f>
        <v/>
      </c>
      <c r="D2698" s="19" t="n"/>
      <c r="E2698" s="19" t="n"/>
      <c r="F2698" s="16">
        <f>IF(OR(B2698="",D2698=""),"",IFERROR(INDEX('Tabla XP'!$B$2:$B$12,MATCH(D2698,'Tabla XP'!$A$2:$A$12,0))*IF(E2698="",1,E2698),0))</f>
        <v/>
      </c>
      <c r="G2698" s="19" t="n"/>
      <c r="H2698" s="19" t="n"/>
    </row>
    <row r="2699">
      <c r="A2699" s="22" t="n"/>
      <c r="B2699" s="19" t="n"/>
      <c r="C2699" s="18">
        <f>IF(B2699="","",IFERROR(INDEX(Jugadores!$C$2:$C$501,MATCH(B2699,Jugadores!$A$2:$A$501,0)),"⚠ ID no existe"))</f>
        <v/>
      </c>
      <c r="D2699" s="19" t="n"/>
      <c r="E2699" s="19" t="n"/>
      <c r="F2699" s="16">
        <f>IF(OR(B2699="",D2699=""),"",IFERROR(INDEX('Tabla XP'!$B$2:$B$12,MATCH(D2699,'Tabla XP'!$A$2:$A$12,0))*IF(E2699="",1,E2699),0))</f>
        <v/>
      </c>
      <c r="G2699" s="19" t="n"/>
      <c r="H2699" s="19" t="n"/>
    </row>
    <row r="2700">
      <c r="A2700" s="22" t="n"/>
      <c r="B2700" s="19" t="n"/>
      <c r="C2700" s="18">
        <f>IF(B2700="","",IFERROR(INDEX(Jugadores!$C$2:$C$501,MATCH(B2700,Jugadores!$A$2:$A$501,0)),"⚠ ID no existe"))</f>
        <v/>
      </c>
      <c r="D2700" s="19" t="n"/>
      <c r="E2700" s="19" t="n"/>
      <c r="F2700" s="16">
        <f>IF(OR(B2700="",D2700=""),"",IFERROR(INDEX('Tabla XP'!$B$2:$B$12,MATCH(D2700,'Tabla XP'!$A$2:$A$12,0))*IF(E2700="",1,E2700),0))</f>
        <v/>
      </c>
      <c r="G2700" s="19" t="n"/>
      <c r="H2700" s="19" t="n"/>
    </row>
    <row r="2701">
      <c r="A2701" s="22" t="n"/>
      <c r="B2701" s="19" t="n"/>
      <c r="C2701" s="18">
        <f>IF(B2701="","",IFERROR(INDEX(Jugadores!$C$2:$C$501,MATCH(B2701,Jugadores!$A$2:$A$501,0)),"⚠ ID no existe"))</f>
        <v/>
      </c>
      <c r="D2701" s="19" t="n"/>
      <c r="E2701" s="19" t="n"/>
      <c r="F2701" s="16">
        <f>IF(OR(B2701="",D2701=""),"",IFERROR(INDEX('Tabla XP'!$B$2:$B$12,MATCH(D2701,'Tabla XP'!$A$2:$A$12,0))*IF(E2701="",1,E2701),0))</f>
        <v/>
      </c>
      <c r="G2701" s="19" t="n"/>
      <c r="H2701" s="19" t="n"/>
    </row>
    <row r="2702">
      <c r="A2702" s="22" t="n"/>
      <c r="B2702" s="19" t="n"/>
      <c r="C2702" s="18">
        <f>IF(B2702="","",IFERROR(INDEX(Jugadores!$C$2:$C$501,MATCH(B2702,Jugadores!$A$2:$A$501,0)),"⚠ ID no existe"))</f>
        <v/>
      </c>
      <c r="D2702" s="19" t="n"/>
      <c r="E2702" s="19" t="n"/>
      <c r="F2702" s="16">
        <f>IF(OR(B2702="",D2702=""),"",IFERROR(INDEX('Tabla XP'!$B$2:$B$12,MATCH(D2702,'Tabla XP'!$A$2:$A$12,0))*IF(E2702="",1,E2702),0))</f>
        <v/>
      </c>
      <c r="G2702" s="19" t="n"/>
      <c r="H2702" s="19" t="n"/>
    </row>
    <row r="2703">
      <c r="A2703" s="22" t="n"/>
      <c r="B2703" s="19" t="n"/>
      <c r="C2703" s="18">
        <f>IF(B2703="","",IFERROR(INDEX(Jugadores!$C$2:$C$501,MATCH(B2703,Jugadores!$A$2:$A$501,0)),"⚠ ID no existe"))</f>
        <v/>
      </c>
      <c r="D2703" s="19" t="n"/>
      <c r="E2703" s="19" t="n"/>
      <c r="F2703" s="16">
        <f>IF(OR(B2703="",D2703=""),"",IFERROR(INDEX('Tabla XP'!$B$2:$B$12,MATCH(D2703,'Tabla XP'!$A$2:$A$12,0))*IF(E2703="",1,E2703),0))</f>
        <v/>
      </c>
      <c r="G2703" s="19" t="n"/>
      <c r="H2703" s="19" t="n"/>
    </row>
    <row r="2704">
      <c r="A2704" s="22" t="n"/>
      <c r="B2704" s="19" t="n"/>
      <c r="C2704" s="18">
        <f>IF(B2704="","",IFERROR(INDEX(Jugadores!$C$2:$C$501,MATCH(B2704,Jugadores!$A$2:$A$501,0)),"⚠ ID no existe"))</f>
        <v/>
      </c>
      <c r="D2704" s="19" t="n"/>
      <c r="E2704" s="19" t="n"/>
      <c r="F2704" s="16">
        <f>IF(OR(B2704="",D2704=""),"",IFERROR(INDEX('Tabla XP'!$B$2:$B$12,MATCH(D2704,'Tabla XP'!$A$2:$A$12,0))*IF(E2704="",1,E2704),0))</f>
        <v/>
      </c>
      <c r="G2704" s="19" t="n"/>
      <c r="H2704" s="19" t="n"/>
    </row>
    <row r="2705">
      <c r="A2705" s="22" t="n"/>
      <c r="B2705" s="19" t="n"/>
      <c r="C2705" s="18">
        <f>IF(B2705="","",IFERROR(INDEX(Jugadores!$C$2:$C$501,MATCH(B2705,Jugadores!$A$2:$A$501,0)),"⚠ ID no existe"))</f>
        <v/>
      </c>
      <c r="D2705" s="19" t="n"/>
      <c r="E2705" s="19" t="n"/>
      <c r="F2705" s="16">
        <f>IF(OR(B2705="",D2705=""),"",IFERROR(INDEX('Tabla XP'!$B$2:$B$12,MATCH(D2705,'Tabla XP'!$A$2:$A$12,0))*IF(E2705="",1,E2705),0))</f>
        <v/>
      </c>
      <c r="G2705" s="19" t="n"/>
      <c r="H2705" s="19" t="n"/>
    </row>
    <row r="2706">
      <c r="A2706" s="22" t="n"/>
      <c r="B2706" s="19" t="n"/>
      <c r="C2706" s="18">
        <f>IF(B2706="","",IFERROR(INDEX(Jugadores!$C$2:$C$501,MATCH(B2706,Jugadores!$A$2:$A$501,0)),"⚠ ID no existe"))</f>
        <v/>
      </c>
      <c r="D2706" s="19" t="n"/>
      <c r="E2706" s="19" t="n"/>
      <c r="F2706" s="16">
        <f>IF(OR(B2706="",D2706=""),"",IFERROR(INDEX('Tabla XP'!$B$2:$B$12,MATCH(D2706,'Tabla XP'!$A$2:$A$12,0))*IF(E2706="",1,E2706),0))</f>
        <v/>
      </c>
      <c r="G2706" s="19" t="n"/>
      <c r="H2706" s="19" t="n"/>
    </row>
    <row r="2707">
      <c r="A2707" s="22" t="n"/>
      <c r="B2707" s="19" t="n"/>
      <c r="C2707" s="18">
        <f>IF(B2707="","",IFERROR(INDEX(Jugadores!$C$2:$C$501,MATCH(B2707,Jugadores!$A$2:$A$501,0)),"⚠ ID no existe"))</f>
        <v/>
      </c>
      <c r="D2707" s="19" t="n"/>
      <c r="E2707" s="19" t="n"/>
      <c r="F2707" s="16">
        <f>IF(OR(B2707="",D2707=""),"",IFERROR(INDEX('Tabla XP'!$B$2:$B$12,MATCH(D2707,'Tabla XP'!$A$2:$A$12,0))*IF(E2707="",1,E2707),0))</f>
        <v/>
      </c>
      <c r="G2707" s="19" t="n"/>
      <c r="H2707" s="19" t="n"/>
    </row>
    <row r="2708">
      <c r="A2708" s="22" t="n"/>
      <c r="B2708" s="19" t="n"/>
      <c r="C2708" s="18">
        <f>IF(B2708="","",IFERROR(INDEX(Jugadores!$C$2:$C$501,MATCH(B2708,Jugadores!$A$2:$A$501,0)),"⚠ ID no existe"))</f>
        <v/>
      </c>
      <c r="D2708" s="19" t="n"/>
      <c r="E2708" s="19" t="n"/>
      <c r="F2708" s="16">
        <f>IF(OR(B2708="",D2708=""),"",IFERROR(INDEX('Tabla XP'!$B$2:$B$12,MATCH(D2708,'Tabla XP'!$A$2:$A$12,0))*IF(E2708="",1,E2708),0))</f>
        <v/>
      </c>
      <c r="G2708" s="19" t="n"/>
      <c r="H2708" s="19" t="n"/>
    </row>
    <row r="2709">
      <c r="A2709" s="22" t="n"/>
      <c r="B2709" s="19" t="n"/>
      <c r="C2709" s="18">
        <f>IF(B2709="","",IFERROR(INDEX(Jugadores!$C$2:$C$501,MATCH(B2709,Jugadores!$A$2:$A$501,0)),"⚠ ID no existe"))</f>
        <v/>
      </c>
      <c r="D2709" s="19" t="n"/>
      <c r="E2709" s="19" t="n"/>
      <c r="F2709" s="16">
        <f>IF(OR(B2709="",D2709=""),"",IFERROR(INDEX('Tabla XP'!$B$2:$B$12,MATCH(D2709,'Tabla XP'!$A$2:$A$12,0))*IF(E2709="",1,E2709),0))</f>
        <v/>
      </c>
      <c r="G2709" s="19" t="n"/>
      <c r="H2709" s="19" t="n"/>
    </row>
    <row r="2710">
      <c r="A2710" s="22" t="n"/>
      <c r="B2710" s="19" t="n"/>
      <c r="C2710" s="18">
        <f>IF(B2710="","",IFERROR(INDEX(Jugadores!$C$2:$C$501,MATCH(B2710,Jugadores!$A$2:$A$501,0)),"⚠ ID no existe"))</f>
        <v/>
      </c>
      <c r="D2710" s="19" t="n"/>
      <c r="E2710" s="19" t="n"/>
      <c r="F2710" s="16">
        <f>IF(OR(B2710="",D2710=""),"",IFERROR(INDEX('Tabla XP'!$B$2:$B$12,MATCH(D2710,'Tabla XP'!$A$2:$A$12,0))*IF(E2710="",1,E2710),0))</f>
        <v/>
      </c>
      <c r="G2710" s="19" t="n"/>
      <c r="H2710" s="19" t="n"/>
    </row>
    <row r="2711">
      <c r="A2711" s="22" t="n"/>
      <c r="B2711" s="19" t="n"/>
      <c r="C2711" s="18">
        <f>IF(B2711="","",IFERROR(INDEX(Jugadores!$C$2:$C$501,MATCH(B2711,Jugadores!$A$2:$A$501,0)),"⚠ ID no existe"))</f>
        <v/>
      </c>
      <c r="D2711" s="19" t="n"/>
      <c r="E2711" s="19" t="n"/>
      <c r="F2711" s="16">
        <f>IF(OR(B2711="",D2711=""),"",IFERROR(INDEX('Tabla XP'!$B$2:$B$12,MATCH(D2711,'Tabla XP'!$A$2:$A$12,0))*IF(E2711="",1,E2711),0))</f>
        <v/>
      </c>
      <c r="G2711" s="19" t="n"/>
      <c r="H2711" s="19" t="n"/>
    </row>
    <row r="2712">
      <c r="A2712" s="22" t="n"/>
      <c r="B2712" s="19" t="n"/>
      <c r="C2712" s="18">
        <f>IF(B2712="","",IFERROR(INDEX(Jugadores!$C$2:$C$501,MATCH(B2712,Jugadores!$A$2:$A$501,0)),"⚠ ID no existe"))</f>
        <v/>
      </c>
      <c r="D2712" s="19" t="n"/>
      <c r="E2712" s="19" t="n"/>
      <c r="F2712" s="16">
        <f>IF(OR(B2712="",D2712=""),"",IFERROR(INDEX('Tabla XP'!$B$2:$B$12,MATCH(D2712,'Tabla XP'!$A$2:$A$12,0))*IF(E2712="",1,E2712),0))</f>
        <v/>
      </c>
      <c r="G2712" s="19" t="n"/>
      <c r="H2712" s="19" t="n"/>
    </row>
    <row r="2713">
      <c r="A2713" s="22" t="n"/>
      <c r="B2713" s="19" t="n"/>
      <c r="C2713" s="18">
        <f>IF(B2713="","",IFERROR(INDEX(Jugadores!$C$2:$C$501,MATCH(B2713,Jugadores!$A$2:$A$501,0)),"⚠ ID no existe"))</f>
        <v/>
      </c>
      <c r="D2713" s="19" t="n"/>
      <c r="E2713" s="19" t="n"/>
      <c r="F2713" s="16">
        <f>IF(OR(B2713="",D2713=""),"",IFERROR(INDEX('Tabla XP'!$B$2:$B$12,MATCH(D2713,'Tabla XP'!$A$2:$A$12,0))*IF(E2713="",1,E2713),0))</f>
        <v/>
      </c>
      <c r="G2713" s="19" t="n"/>
      <c r="H2713" s="19" t="n"/>
    </row>
    <row r="2714">
      <c r="A2714" s="22" t="n"/>
      <c r="B2714" s="19" t="n"/>
      <c r="C2714" s="18">
        <f>IF(B2714="","",IFERROR(INDEX(Jugadores!$C$2:$C$501,MATCH(B2714,Jugadores!$A$2:$A$501,0)),"⚠ ID no existe"))</f>
        <v/>
      </c>
      <c r="D2714" s="19" t="n"/>
      <c r="E2714" s="19" t="n"/>
      <c r="F2714" s="16">
        <f>IF(OR(B2714="",D2714=""),"",IFERROR(INDEX('Tabla XP'!$B$2:$B$12,MATCH(D2714,'Tabla XP'!$A$2:$A$12,0))*IF(E2714="",1,E2714),0))</f>
        <v/>
      </c>
      <c r="G2714" s="19" t="n"/>
      <c r="H2714" s="19" t="n"/>
    </row>
    <row r="2715">
      <c r="A2715" s="22" t="n"/>
      <c r="B2715" s="19" t="n"/>
      <c r="C2715" s="18">
        <f>IF(B2715="","",IFERROR(INDEX(Jugadores!$C$2:$C$501,MATCH(B2715,Jugadores!$A$2:$A$501,0)),"⚠ ID no existe"))</f>
        <v/>
      </c>
      <c r="D2715" s="19" t="n"/>
      <c r="E2715" s="19" t="n"/>
      <c r="F2715" s="16">
        <f>IF(OR(B2715="",D2715=""),"",IFERROR(INDEX('Tabla XP'!$B$2:$B$12,MATCH(D2715,'Tabla XP'!$A$2:$A$12,0))*IF(E2715="",1,E2715),0))</f>
        <v/>
      </c>
      <c r="G2715" s="19" t="n"/>
      <c r="H2715" s="19" t="n"/>
    </row>
    <row r="2716">
      <c r="A2716" s="22" t="n"/>
      <c r="B2716" s="19" t="n"/>
      <c r="C2716" s="18">
        <f>IF(B2716="","",IFERROR(INDEX(Jugadores!$C$2:$C$501,MATCH(B2716,Jugadores!$A$2:$A$501,0)),"⚠ ID no existe"))</f>
        <v/>
      </c>
      <c r="D2716" s="19" t="n"/>
      <c r="E2716" s="19" t="n"/>
      <c r="F2716" s="16">
        <f>IF(OR(B2716="",D2716=""),"",IFERROR(INDEX('Tabla XP'!$B$2:$B$12,MATCH(D2716,'Tabla XP'!$A$2:$A$12,0))*IF(E2716="",1,E2716),0))</f>
        <v/>
      </c>
      <c r="G2716" s="19" t="n"/>
      <c r="H2716" s="19" t="n"/>
    </row>
    <row r="2717">
      <c r="A2717" s="22" t="n"/>
      <c r="B2717" s="19" t="n"/>
      <c r="C2717" s="18">
        <f>IF(B2717="","",IFERROR(INDEX(Jugadores!$C$2:$C$501,MATCH(B2717,Jugadores!$A$2:$A$501,0)),"⚠ ID no existe"))</f>
        <v/>
      </c>
      <c r="D2717" s="19" t="n"/>
      <c r="E2717" s="19" t="n"/>
      <c r="F2717" s="16">
        <f>IF(OR(B2717="",D2717=""),"",IFERROR(INDEX('Tabla XP'!$B$2:$B$12,MATCH(D2717,'Tabla XP'!$A$2:$A$12,0))*IF(E2717="",1,E2717),0))</f>
        <v/>
      </c>
      <c r="G2717" s="19" t="n"/>
      <c r="H2717" s="19" t="n"/>
    </row>
    <row r="2718">
      <c r="A2718" s="22" t="n"/>
      <c r="B2718" s="19" t="n"/>
      <c r="C2718" s="18">
        <f>IF(B2718="","",IFERROR(INDEX(Jugadores!$C$2:$C$501,MATCH(B2718,Jugadores!$A$2:$A$501,0)),"⚠ ID no existe"))</f>
        <v/>
      </c>
      <c r="D2718" s="19" t="n"/>
      <c r="E2718" s="19" t="n"/>
      <c r="F2718" s="16">
        <f>IF(OR(B2718="",D2718=""),"",IFERROR(INDEX('Tabla XP'!$B$2:$B$12,MATCH(D2718,'Tabla XP'!$A$2:$A$12,0))*IF(E2718="",1,E2718),0))</f>
        <v/>
      </c>
      <c r="G2718" s="19" t="n"/>
      <c r="H2718" s="19" t="n"/>
    </row>
    <row r="2719">
      <c r="A2719" s="22" t="n"/>
      <c r="B2719" s="19" t="n"/>
      <c r="C2719" s="18">
        <f>IF(B2719="","",IFERROR(INDEX(Jugadores!$C$2:$C$501,MATCH(B2719,Jugadores!$A$2:$A$501,0)),"⚠ ID no existe"))</f>
        <v/>
      </c>
      <c r="D2719" s="19" t="n"/>
      <c r="E2719" s="19" t="n"/>
      <c r="F2719" s="16">
        <f>IF(OR(B2719="",D2719=""),"",IFERROR(INDEX('Tabla XP'!$B$2:$B$12,MATCH(D2719,'Tabla XP'!$A$2:$A$12,0))*IF(E2719="",1,E2719),0))</f>
        <v/>
      </c>
      <c r="G2719" s="19" t="n"/>
      <c r="H2719" s="19" t="n"/>
    </row>
    <row r="2720">
      <c r="A2720" s="22" t="n"/>
      <c r="B2720" s="19" t="n"/>
      <c r="C2720" s="18">
        <f>IF(B2720="","",IFERROR(INDEX(Jugadores!$C$2:$C$501,MATCH(B2720,Jugadores!$A$2:$A$501,0)),"⚠ ID no existe"))</f>
        <v/>
      </c>
      <c r="D2720" s="19" t="n"/>
      <c r="E2720" s="19" t="n"/>
      <c r="F2720" s="16">
        <f>IF(OR(B2720="",D2720=""),"",IFERROR(INDEX('Tabla XP'!$B$2:$B$12,MATCH(D2720,'Tabla XP'!$A$2:$A$12,0))*IF(E2720="",1,E2720),0))</f>
        <v/>
      </c>
      <c r="G2720" s="19" t="n"/>
      <c r="H2720" s="19" t="n"/>
    </row>
    <row r="2721">
      <c r="A2721" s="22" t="n"/>
      <c r="B2721" s="19" t="n"/>
      <c r="C2721" s="18">
        <f>IF(B2721="","",IFERROR(INDEX(Jugadores!$C$2:$C$501,MATCH(B2721,Jugadores!$A$2:$A$501,0)),"⚠ ID no existe"))</f>
        <v/>
      </c>
      <c r="D2721" s="19" t="n"/>
      <c r="E2721" s="19" t="n"/>
      <c r="F2721" s="16">
        <f>IF(OR(B2721="",D2721=""),"",IFERROR(INDEX('Tabla XP'!$B$2:$B$12,MATCH(D2721,'Tabla XP'!$A$2:$A$12,0))*IF(E2721="",1,E2721),0))</f>
        <v/>
      </c>
      <c r="G2721" s="19" t="n"/>
      <c r="H2721" s="19" t="n"/>
    </row>
    <row r="2722">
      <c r="A2722" s="22" t="n"/>
      <c r="B2722" s="19" t="n"/>
      <c r="C2722" s="18">
        <f>IF(B2722="","",IFERROR(INDEX(Jugadores!$C$2:$C$501,MATCH(B2722,Jugadores!$A$2:$A$501,0)),"⚠ ID no existe"))</f>
        <v/>
      </c>
      <c r="D2722" s="19" t="n"/>
      <c r="E2722" s="19" t="n"/>
      <c r="F2722" s="16">
        <f>IF(OR(B2722="",D2722=""),"",IFERROR(INDEX('Tabla XP'!$B$2:$B$12,MATCH(D2722,'Tabla XP'!$A$2:$A$12,0))*IF(E2722="",1,E2722),0))</f>
        <v/>
      </c>
      <c r="G2722" s="19" t="n"/>
      <c r="H2722" s="19" t="n"/>
    </row>
    <row r="2723">
      <c r="A2723" s="22" t="n"/>
      <c r="B2723" s="19" t="n"/>
      <c r="C2723" s="18">
        <f>IF(B2723="","",IFERROR(INDEX(Jugadores!$C$2:$C$501,MATCH(B2723,Jugadores!$A$2:$A$501,0)),"⚠ ID no existe"))</f>
        <v/>
      </c>
      <c r="D2723" s="19" t="n"/>
      <c r="E2723" s="19" t="n"/>
      <c r="F2723" s="16">
        <f>IF(OR(B2723="",D2723=""),"",IFERROR(INDEX('Tabla XP'!$B$2:$B$12,MATCH(D2723,'Tabla XP'!$A$2:$A$12,0))*IF(E2723="",1,E2723),0))</f>
        <v/>
      </c>
      <c r="G2723" s="19" t="n"/>
      <c r="H2723" s="19" t="n"/>
    </row>
    <row r="2724">
      <c r="A2724" s="22" t="n"/>
      <c r="B2724" s="19" t="n"/>
      <c r="C2724" s="18">
        <f>IF(B2724="","",IFERROR(INDEX(Jugadores!$C$2:$C$501,MATCH(B2724,Jugadores!$A$2:$A$501,0)),"⚠ ID no existe"))</f>
        <v/>
      </c>
      <c r="D2724" s="19" t="n"/>
      <c r="E2724" s="19" t="n"/>
      <c r="F2724" s="16">
        <f>IF(OR(B2724="",D2724=""),"",IFERROR(INDEX('Tabla XP'!$B$2:$B$12,MATCH(D2724,'Tabla XP'!$A$2:$A$12,0))*IF(E2724="",1,E2724),0))</f>
        <v/>
      </c>
      <c r="G2724" s="19" t="n"/>
      <c r="H2724" s="19" t="n"/>
    </row>
    <row r="2725">
      <c r="A2725" s="22" t="n"/>
      <c r="B2725" s="19" t="n"/>
      <c r="C2725" s="18">
        <f>IF(B2725="","",IFERROR(INDEX(Jugadores!$C$2:$C$501,MATCH(B2725,Jugadores!$A$2:$A$501,0)),"⚠ ID no existe"))</f>
        <v/>
      </c>
      <c r="D2725" s="19" t="n"/>
      <c r="E2725" s="19" t="n"/>
      <c r="F2725" s="16">
        <f>IF(OR(B2725="",D2725=""),"",IFERROR(INDEX('Tabla XP'!$B$2:$B$12,MATCH(D2725,'Tabla XP'!$A$2:$A$12,0))*IF(E2725="",1,E2725),0))</f>
        <v/>
      </c>
      <c r="G2725" s="19" t="n"/>
      <c r="H2725" s="19" t="n"/>
    </row>
    <row r="2726">
      <c r="A2726" s="22" t="n"/>
      <c r="B2726" s="19" t="n"/>
      <c r="C2726" s="18">
        <f>IF(B2726="","",IFERROR(INDEX(Jugadores!$C$2:$C$501,MATCH(B2726,Jugadores!$A$2:$A$501,0)),"⚠ ID no existe"))</f>
        <v/>
      </c>
      <c r="D2726" s="19" t="n"/>
      <c r="E2726" s="19" t="n"/>
      <c r="F2726" s="16">
        <f>IF(OR(B2726="",D2726=""),"",IFERROR(INDEX('Tabla XP'!$B$2:$B$12,MATCH(D2726,'Tabla XP'!$A$2:$A$12,0))*IF(E2726="",1,E2726),0))</f>
        <v/>
      </c>
      <c r="G2726" s="19" t="n"/>
      <c r="H2726" s="19" t="n"/>
    </row>
    <row r="2727">
      <c r="A2727" s="22" t="n"/>
      <c r="B2727" s="19" t="n"/>
      <c r="C2727" s="18">
        <f>IF(B2727="","",IFERROR(INDEX(Jugadores!$C$2:$C$501,MATCH(B2727,Jugadores!$A$2:$A$501,0)),"⚠ ID no existe"))</f>
        <v/>
      </c>
      <c r="D2727" s="19" t="n"/>
      <c r="E2727" s="19" t="n"/>
      <c r="F2727" s="16">
        <f>IF(OR(B2727="",D2727=""),"",IFERROR(INDEX('Tabla XP'!$B$2:$B$12,MATCH(D2727,'Tabla XP'!$A$2:$A$12,0))*IF(E2727="",1,E2727),0))</f>
        <v/>
      </c>
      <c r="G2727" s="19" t="n"/>
      <c r="H2727" s="19" t="n"/>
    </row>
    <row r="2728">
      <c r="A2728" s="22" t="n"/>
      <c r="B2728" s="19" t="n"/>
      <c r="C2728" s="18">
        <f>IF(B2728="","",IFERROR(INDEX(Jugadores!$C$2:$C$501,MATCH(B2728,Jugadores!$A$2:$A$501,0)),"⚠ ID no existe"))</f>
        <v/>
      </c>
      <c r="D2728" s="19" t="n"/>
      <c r="E2728" s="19" t="n"/>
      <c r="F2728" s="16">
        <f>IF(OR(B2728="",D2728=""),"",IFERROR(INDEX('Tabla XP'!$B$2:$B$12,MATCH(D2728,'Tabla XP'!$A$2:$A$12,0))*IF(E2728="",1,E2728),0))</f>
        <v/>
      </c>
      <c r="G2728" s="19" t="n"/>
      <c r="H2728" s="19" t="n"/>
    </row>
    <row r="2729">
      <c r="A2729" s="22" t="n"/>
      <c r="B2729" s="19" t="n"/>
      <c r="C2729" s="18">
        <f>IF(B2729="","",IFERROR(INDEX(Jugadores!$C$2:$C$501,MATCH(B2729,Jugadores!$A$2:$A$501,0)),"⚠ ID no existe"))</f>
        <v/>
      </c>
      <c r="D2729" s="19" t="n"/>
      <c r="E2729" s="19" t="n"/>
      <c r="F2729" s="16">
        <f>IF(OR(B2729="",D2729=""),"",IFERROR(INDEX('Tabla XP'!$B$2:$B$12,MATCH(D2729,'Tabla XP'!$A$2:$A$12,0))*IF(E2729="",1,E2729),0))</f>
        <v/>
      </c>
      <c r="G2729" s="19" t="n"/>
      <c r="H2729" s="19" t="n"/>
    </row>
    <row r="2730">
      <c r="A2730" s="22" t="n"/>
      <c r="B2730" s="19" t="n"/>
      <c r="C2730" s="18">
        <f>IF(B2730="","",IFERROR(INDEX(Jugadores!$C$2:$C$501,MATCH(B2730,Jugadores!$A$2:$A$501,0)),"⚠ ID no existe"))</f>
        <v/>
      </c>
      <c r="D2730" s="19" t="n"/>
      <c r="E2730" s="19" t="n"/>
      <c r="F2730" s="16">
        <f>IF(OR(B2730="",D2730=""),"",IFERROR(INDEX('Tabla XP'!$B$2:$B$12,MATCH(D2730,'Tabla XP'!$A$2:$A$12,0))*IF(E2730="",1,E2730),0))</f>
        <v/>
      </c>
      <c r="G2730" s="19" t="n"/>
      <c r="H2730" s="19" t="n"/>
    </row>
    <row r="2731">
      <c r="A2731" s="22" t="n"/>
      <c r="B2731" s="19" t="n"/>
      <c r="C2731" s="18">
        <f>IF(B2731="","",IFERROR(INDEX(Jugadores!$C$2:$C$501,MATCH(B2731,Jugadores!$A$2:$A$501,0)),"⚠ ID no existe"))</f>
        <v/>
      </c>
      <c r="D2731" s="19" t="n"/>
      <c r="E2731" s="19" t="n"/>
      <c r="F2731" s="16">
        <f>IF(OR(B2731="",D2731=""),"",IFERROR(INDEX('Tabla XP'!$B$2:$B$12,MATCH(D2731,'Tabla XP'!$A$2:$A$12,0))*IF(E2731="",1,E2731),0))</f>
        <v/>
      </c>
      <c r="G2731" s="19" t="n"/>
      <c r="H2731" s="19" t="n"/>
    </row>
    <row r="2732">
      <c r="A2732" s="22" t="n"/>
      <c r="B2732" s="19" t="n"/>
      <c r="C2732" s="18">
        <f>IF(B2732="","",IFERROR(INDEX(Jugadores!$C$2:$C$501,MATCH(B2732,Jugadores!$A$2:$A$501,0)),"⚠ ID no existe"))</f>
        <v/>
      </c>
      <c r="D2732" s="19" t="n"/>
      <c r="E2732" s="19" t="n"/>
      <c r="F2732" s="16">
        <f>IF(OR(B2732="",D2732=""),"",IFERROR(INDEX('Tabla XP'!$B$2:$B$12,MATCH(D2732,'Tabla XP'!$A$2:$A$12,0))*IF(E2732="",1,E2732),0))</f>
        <v/>
      </c>
      <c r="G2732" s="19" t="n"/>
      <c r="H2732" s="19" t="n"/>
    </row>
    <row r="2733">
      <c r="A2733" s="22" t="n"/>
      <c r="B2733" s="19" t="n"/>
      <c r="C2733" s="18">
        <f>IF(B2733="","",IFERROR(INDEX(Jugadores!$C$2:$C$501,MATCH(B2733,Jugadores!$A$2:$A$501,0)),"⚠ ID no existe"))</f>
        <v/>
      </c>
      <c r="D2733" s="19" t="n"/>
      <c r="E2733" s="19" t="n"/>
      <c r="F2733" s="16">
        <f>IF(OR(B2733="",D2733=""),"",IFERROR(INDEX('Tabla XP'!$B$2:$B$12,MATCH(D2733,'Tabla XP'!$A$2:$A$12,0))*IF(E2733="",1,E2733),0))</f>
        <v/>
      </c>
      <c r="G2733" s="19" t="n"/>
      <c r="H2733" s="19" t="n"/>
    </row>
    <row r="2734">
      <c r="A2734" s="22" t="n"/>
      <c r="B2734" s="19" t="n"/>
      <c r="C2734" s="18">
        <f>IF(B2734="","",IFERROR(INDEX(Jugadores!$C$2:$C$501,MATCH(B2734,Jugadores!$A$2:$A$501,0)),"⚠ ID no existe"))</f>
        <v/>
      </c>
      <c r="D2734" s="19" t="n"/>
      <c r="E2734" s="19" t="n"/>
      <c r="F2734" s="16">
        <f>IF(OR(B2734="",D2734=""),"",IFERROR(INDEX('Tabla XP'!$B$2:$B$12,MATCH(D2734,'Tabla XP'!$A$2:$A$12,0))*IF(E2734="",1,E2734),0))</f>
        <v/>
      </c>
      <c r="G2734" s="19" t="n"/>
      <c r="H2734" s="19" t="n"/>
    </row>
    <row r="2735">
      <c r="A2735" s="22" t="n"/>
      <c r="B2735" s="19" t="n"/>
      <c r="C2735" s="18">
        <f>IF(B2735="","",IFERROR(INDEX(Jugadores!$C$2:$C$501,MATCH(B2735,Jugadores!$A$2:$A$501,0)),"⚠ ID no existe"))</f>
        <v/>
      </c>
      <c r="D2735" s="19" t="n"/>
      <c r="E2735" s="19" t="n"/>
      <c r="F2735" s="16">
        <f>IF(OR(B2735="",D2735=""),"",IFERROR(INDEX('Tabla XP'!$B$2:$B$12,MATCH(D2735,'Tabla XP'!$A$2:$A$12,0))*IF(E2735="",1,E2735),0))</f>
        <v/>
      </c>
      <c r="G2735" s="19" t="n"/>
      <c r="H2735" s="19" t="n"/>
    </row>
    <row r="2736">
      <c r="A2736" s="22" t="n"/>
      <c r="B2736" s="19" t="n"/>
      <c r="C2736" s="18">
        <f>IF(B2736="","",IFERROR(INDEX(Jugadores!$C$2:$C$501,MATCH(B2736,Jugadores!$A$2:$A$501,0)),"⚠ ID no existe"))</f>
        <v/>
      </c>
      <c r="D2736" s="19" t="n"/>
      <c r="E2736" s="19" t="n"/>
      <c r="F2736" s="16">
        <f>IF(OR(B2736="",D2736=""),"",IFERROR(INDEX('Tabla XP'!$B$2:$B$12,MATCH(D2736,'Tabla XP'!$A$2:$A$12,0))*IF(E2736="",1,E2736),0))</f>
        <v/>
      </c>
      <c r="G2736" s="19" t="n"/>
      <c r="H2736" s="19" t="n"/>
    </row>
    <row r="2737">
      <c r="A2737" s="22" t="n"/>
      <c r="B2737" s="19" t="n"/>
      <c r="C2737" s="18">
        <f>IF(B2737="","",IFERROR(INDEX(Jugadores!$C$2:$C$501,MATCH(B2737,Jugadores!$A$2:$A$501,0)),"⚠ ID no existe"))</f>
        <v/>
      </c>
      <c r="D2737" s="19" t="n"/>
      <c r="E2737" s="19" t="n"/>
      <c r="F2737" s="16">
        <f>IF(OR(B2737="",D2737=""),"",IFERROR(INDEX('Tabla XP'!$B$2:$B$12,MATCH(D2737,'Tabla XP'!$A$2:$A$12,0))*IF(E2737="",1,E2737),0))</f>
        <v/>
      </c>
      <c r="G2737" s="19" t="n"/>
      <c r="H2737" s="19" t="n"/>
    </row>
    <row r="2738">
      <c r="A2738" s="22" t="n"/>
      <c r="B2738" s="19" t="n"/>
      <c r="C2738" s="18">
        <f>IF(B2738="","",IFERROR(INDEX(Jugadores!$C$2:$C$501,MATCH(B2738,Jugadores!$A$2:$A$501,0)),"⚠ ID no existe"))</f>
        <v/>
      </c>
      <c r="D2738" s="19" t="n"/>
      <c r="E2738" s="19" t="n"/>
      <c r="F2738" s="16">
        <f>IF(OR(B2738="",D2738=""),"",IFERROR(INDEX('Tabla XP'!$B$2:$B$12,MATCH(D2738,'Tabla XP'!$A$2:$A$12,0))*IF(E2738="",1,E2738),0))</f>
        <v/>
      </c>
      <c r="G2738" s="19" t="n"/>
      <c r="H2738" s="19" t="n"/>
    </row>
    <row r="2739">
      <c r="A2739" s="22" t="n"/>
      <c r="B2739" s="19" t="n"/>
      <c r="C2739" s="18">
        <f>IF(B2739="","",IFERROR(INDEX(Jugadores!$C$2:$C$501,MATCH(B2739,Jugadores!$A$2:$A$501,0)),"⚠ ID no existe"))</f>
        <v/>
      </c>
      <c r="D2739" s="19" t="n"/>
      <c r="E2739" s="19" t="n"/>
      <c r="F2739" s="16">
        <f>IF(OR(B2739="",D2739=""),"",IFERROR(INDEX('Tabla XP'!$B$2:$B$12,MATCH(D2739,'Tabla XP'!$A$2:$A$12,0))*IF(E2739="",1,E2739),0))</f>
        <v/>
      </c>
      <c r="G2739" s="19" t="n"/>
      <c r="H2739" s="19" t="n"/>
    </row>
    <row r="2740">
      <c r="A2740" s="22" t="n"/>
      <c r="B2740" s="19" t="n"/>
      <c r="C2740" s="18">
        <f>IF(B2740="","",IFERROR(INDEX(Jugadores!$C$2:$C$501,MATCH(B2740,Jugadores!$A$2:$A$501,0)),"⚠ ID no existe"))</f>
        <v/>
      </c>
      <c r="D2740" s="19" t="n"/>
      <c r="E2740" s="19" t="n"/>
      <c r="F2740" s="16">
        <f>IF(OR(B2740="",D2740=""),"",IFERROR(INDEX('Tabla XP'!$B$2:$B$12,MATCH(D2740,'Tabla XP'!$A$2:$A$12,0))*IF(E2740="",1,E2740),0))</f>
        <v/>
      </c>
      <c r="G2740" s="19" t="n"/>
      <c r="H2740" s="19" t="n"/>
    </row>
    <row r="2741">
      <c r="A2741" s="22" t="n"/>
      <c r="B2741" s="19" t="n"/>
      <c r="C2741" s="18">
        <f>IF(B2741="","",IFERROR(INDEX(Jugadores!$C$2:$C$501,MATCH(B2741,Jugadores!$A$2:$A$501,0)),"⚠ ID no existe"))</f>
        <v/>
      </c>
      <c r="D2741" s="19" t="n"/>
      <c r="E2741" s="19" t="n"/>
      <c r="F2741" s="16">
        <f>IF(OR(B2741="",D2741=""),"",IFERROR(INDEX('Tabla XP'!$B$2:$B$12,MATCH(D2741,'Tabla XP'!$A$2:$A$12,0))*IF(E2741="",1,E2741),0))</f>
        <v/>
      </c>
      <c r="G2741" s="19" t="n"/>
      <c r="H2741" s="19" t="n"/>
    </row>
    <row r="2742">
      <c r="A2742" s="22" t="n"/>
      <c r="B2742" s="19" t="n"/>
      <c r="C2742" s="18">
        <f>IF(B2742="","",IFERROR(INDEX(Jugadores!$C$2:$C$501,MATCH(B2742,Jugadores!$A$2:$A$501,0)),"⚠ ID no existe"))</f>
        <v/>
      </c>
      <c r="D2742" s="19" t="n"/>
      <c r="E2742" s="19" t="n"/>
      <c r="F2742" s="16">
        <f>IF(OR(B2742="",D2742=""),"",IFERROR(INDEX('Tabla XP'!$B$2:$B$12,MATCH(D2742,'Tabla XP'!$A$2:$A$12,0))*IF(E2742="",1,E2742),0))</f>
        <v/>
      </c>
      <c r="G2742" s="19" t="n"/>
      <c r="H2742" s="19" t="n"/>
    </row>
    <row r="2743">
      <c r="A2743" s="22" t="n"/>
      <c r="B2743" s="19" t="n"/>
      <c r="C2743" s="18">
        <f>IF(B2743="","",IFERROR(INDEX(Jugadores!$C$2:$C$501,MATCH(B2743,Jugadores!$A$2:$A$501,0)),"⚠ ID no existe"))</f>
        <v/>
      </c>
      <c r="D2743" s="19" t="n"/>
      <c r="E2743" s="19" t="n"/>
      <c r="F2743" s="16">
        <f>IF(OR(B2743="",D2743=""),"",IFERROR(INDEX('Tabla XP'!$B$2:$B$12,MATCH(D2743,'Tabla XP'!$A$2:$A$12,0))*IF(E2743="",1,E2743),0))</f>
        <v/>
      </c>
      <c r="G2743" s="19" t="n"/>
      <c r="H2743" s="19" t="n"/>
    </row>
    <row r="2744">
      <c r="A2744" s="22" t="n"/>
      <c r="B2744" s="19" t="n"/>
      <c r="C2744" s="18">
        <f>IF(B2744="","",IFERROR(INDEX(Jugadores!$C$2:$C$501,MATCH(B2744,Jugadores!$A$2:$A$501,0)),"⚠ ID no existe"))</f>
        <v/>
      </c>
      <c r="D2744" s="19" t="n"/>
      <c r="E2744" s="19" t="n"/>
      <c r="F2744" s="16">
        <f>IF(OR(B2744="",D2744=""),"",IFERROR(INDEX('Tabla XP'!$B$2:$B$12,MATCH(D2744,'Tabla XP'!$A$2:$A$12,0))*IF(E2744="",1,E2744),0))</f>
        <v/>
      </c>
      <c r="G2744" s="19" t="n"/>
      <c r="H2744" s="19" t="n"/>
    </row>
    <row r="2745">
      <c r="A2745" s="22" t="n"/>
      <c r="B2745" s="19" t="n"/>
      <c r="C2745" s="18">
        <f>IF(B2745="","",IFERROR(INDEX(Jugadores!$C$2:$C$501,MATCH(B2745,Jugadores!$A$2:$A$501,0)),"⚠ ID no existe"))</f>
        <v/>
      </c>
      <c r="D2745" s="19" t="n"/>
      <c r="E2745" s="19" t="n"/>
      <c r="F2745" s="16">
        <f>IF(OR(B2745="",D2745=""),"",IFERROR(INDEX('Tabla XP'!$B$2:$B$12,MATCH(D2745,'Tabla XP'!$A$2:$A$12,0))*IF(E2745="",1,E2745),0))</f>
        <v/>
      </c>
      <c r="G2745" s="19" t="n"/>
      <c r="H2745" s="19" t="n"/>
    </row>
    <row r="2746">
      <c r="A2746" s="22" t="n"/>
      <c r="B2746" s="19" t="n"/>
      <c r="C2746" s="18">
        <f>IF(B2746="","",IFERROR(INDEX(Jugadores!$C$2:$C$501,MATCH(B2746,Jugadores!$A$2:$A$501,0)),"⚠ ID no existe"))</f>
        <v/>
      </c>
      <c r="D2746" s="19" t="n"/>
      <c r="E2746" s="19" t="n"/>
      <c r="F2746" s="16">
        <f>IF(OR(B2746="",D2746=""),"",IFERROR(INDEX('Tabla XP'!$B$2:$B$12,MATCH(D2746,'Tabla XP'!$A$2:$A$12,0))*IF(E2746="",1,E2746),0))</f>
        <v/>
      </c>
      <c r="G2746" s="19" t="n"/>
      <c r="H2746" s="19" t="n"/>
    </row>
    <row r="2747">
      <c r="A2747" s="22" t="n"/>
      <c r="B2747" s="19" t="n"/>
      <c r="C2747" s="18">
        <f>IF(B2747="","",IFERROR(INDEX(Jugadores!$C$2:$C$501,MATCH(B2747,Jugadores!$A$2:$A$501,0)),"⚠ ID no existe"))</f>
        <v/>
      </c>
      <c r="D2747" s="19" t="n"/>
      <c r="E2747" s="19" t="n"/>
      <c r="F2747" s="16">
        <f>IF(OR(B2747="",D2747=""),"",IFERROR(INDEX('Tabla XP'!$B$2:$B$12,MATCH(D2747,'Tabla XP'!$A$2:$A$12,0))*IF(E2747="",1,E2747),0))</f>
        <v/>
      </c>
      <c r="G2747" s="19" t="n"/>
      <c r="H2747" s="19" t="n"/>
    </row>
    <row r="2748">
      <c r="A2748" s="22" t="n"/>
      <c r="B2748" s="19" t="n"/>
      <c r="C2748" s="18">
        <f>IF(B2748="","",IFERROR(INDEX(Jugadores!$C$2:$C$501,MATCH(B2748,Jugadores!$A$2:$A$501,0)),"⚠ ID no existe"))</f>
        <v/>
      </c>
      <c r="D2748" s="19" t="n"/>
      <c r="E2748" s="19" t="n"/>
      <c r="F2748" s="16">
        <f>IF(OR(B2748="",D2748=""),"",IFERROR(INDEX('Tabla XP'!$B$2:$B$12,MATCH(D2748,'Tabla XP'!$A$2:$A$12,0))*IF(E2748="",1,E2748),0))</f>
        <v/>
      </c>
      <c r="G2748" s="19" t="n"/>
      <c r="H2748" s="19" t="n"/>
    </row>
    <row r="2749">
      <c r="A2749" s="22" t="n"/>
      <c r="B2749" s="19" t="n"/>
      <c r="C2749" s="18">
        <f>IF(B2749="","",IFERROR(INDEX(Jugadores!$C$2:$C$501,MATCH(B2749,Jugadores!$A$2:$A$501,0)),"⚠ ID no existe"))</f>
        <v/>
      </c>
      <c r="D2749" s="19" t="n"/>
      <c r="E2749" s="19" t="n"/>
      <c r="F2749" s="16">
        <f>IF(OR(B2749="",D2749=""),"",IFERROR(INDEX('Tabla XP'!$B$2:$B$12,MATCH(D2749,'Tabla XP'!$A$2:$A$12,0))*IF(E2749="",1,E2749),0))</f>
        <v/>
      </c>
      <c r="G2749" s="19" t="n"/>
      <c r="H2749" s="19" t="n"/>
    </row>
    <row r="2750">
      <c r="A2750" s="22" t="n"/>
      <c r="B2750" s="19" t="n"/>
      <c r="C2750" s="18">
        <f>IF(B2750="","",IFERROR(INDEX(Jugadores!$C$2:$C$501,MATCH(B2750,Jugadores!$A$2:$A$501,0)),"⚠ ID no existe"))</f>
        <v/>
      </c>
      <c r="D2750" s="19" t="n"/>
      <c r="E2750" s="19" t="n"/>
      <c r="F2750" s="16">
        <f>IF(OR(B2750="",D2750=""),"",IFERROR(INDEX('Tabla XP'!$B$2:$B$12,MATCH(D2750,'Tabla XP'!$A$2:$A$12,0))*IF(E2750="",1,E2750),0))</f>
        <v/>
      </c>
      <c r="G2750" s="19" t="n"/>
      <c r="H2750" s="19" t="n"/>
    </row>
    <row r="2751">
      <c r="A2751" s="22" t="n"/>
      <c r="B2751" s="19" t="n"/>
      <c r="C2751" s="18">
        <f>IF(B2751="","",IFERROR(INDEX(Jugadores!$C$2:$C$501,MATCH(B2751,Jugadores!$A$2:$A$501,0)),"⚠ ID no existe"))</f>
        <v/>
      </c>
      <c r="D2751" s="19" t="n"/>
      <c r="E2751" s="19" t="n"/>
      <c r="F2751" s="16">
        <f>IF(OR(B2751="",D2751=""),"",IFERROR(INDEX('Tabla XP'!$B$2:$B$12,MATCH(D2751,'Tabla XP'!$A$2:$A$12,0))*IF(E2751="",1,E2751),0))</f>
        <v/>
      </c>
      <c r="G2751" s="19" t="n"/>
      <c r="H2751" s="19" t="n"/>
    </row>
    <row r="2752">
      <c r="A2752" s="22" t="n"/>
      <c r="B2752" s="19" t="n"/>
      <c r="C2752" s="18">
        <f>IF(B2752="","",IFERROR(INDEX(Jugadores!$C$2:$C$501,MATCH(B2752,Jugadores!$A$2:$A$501,0)),"⚠ ID no existe"))</f>
        <v/>
      </c>
      <c r="D2752" s="19" t="n"/>
      <c r="E2752" s="19" t="n"/>
      <c r="F2752" s="16">
        <f>IF(OR(B2752="",D2752=""),"",IFERROR(INDEX('Tabla XP'!$B$2:$B$12,MATCH(D2752,'Tabla XP'!$A$2:$A$12,0))*IF(E2752="",1,E2752),0))</f>
        <v/>
      </c>
      <c r="G2752" s="19" t="n"/>
      <c r="H2752" s="19" t="n"/>
    </row>
    <row r="2753">
      <c r="A2753" s="22" t="n"/>
      <c r="B2753" s="19" t="n"/>
      <c r="C2753" s="18">
        <f>IF(B2753="","",IFERROR(INDEX(Jugadores!$C$2:$C$501,MATCH(B2753,Jugadores!$A$2:$A$501,0)),"⚠ ID no existe"))</f>
        <v/>
      </c>
      <c r="D2753" s="19" t="n"/>
      <c r="E2753" s="19" t="n"/>
      <c r="F2753" s="16">
        <f>IF(OR(B2753="",D2753=""),"",IFERROR(INDEX('Tabla XP'!$B$2:$B$12,MATCH(D2753,'Tabla XP'!$A$2:$A$12,0))*IF(E2753="",1,E2753),0))</f>
        <v/>
      </c>
      <c r="G2753" s="19" t="n"/>
      <c r="H2753" s="19" t="n"/>
    </row>
    <row r="2754">
      <c r="A2754" s="22" t="n"/>
      <c r="B2754" s="19" t="n"/>
      <c r="C2754" s="18">
        <f>IF(B2754="","",IFERROR(INDEX(Jugadores!$C$2:$C$501,MATCH(B2754,Jugadores!$A$2:$A$501,0)),"⚠ ID no existe"))</f>
        <v/>
      </c>
      <c r="D2754" s="19" t="n"/>
      <c r="E2754" s="19" t="n"/>
      <c r="F2754" s="16">
        <f>IF(OR(B2754="",D2754=""),"",IFERROR(INDEX('Tabla XP'!$B$2:$B$12,MATCH(D2754,'Tabla XP'!$A$2:$A$12,0))*IF(E2754="",1,E2754),0))</f>
        <v/>
      </c>
      <c r="G2754" s="19" t="n"/>
      <c r="H2754" s="19" t="n"/>
    </row>
    <row r="2755">
      <c r="A2755" s="22" t="n"/>
      <c r="B2755" s="19" t="n"/>
      <c r="C2755" s="18">
        <f>IF(B2755="","",IFERROR(INDEX(Jugadores!$C$2:$C$501,MATCH(B2755,Jugadores!$A$2:$A$501,0)),"⚠ ID no existe"))</f>
        <v/>
      </c>
      <c r="D2755" s="19" t="n"/>
      <c r="E2755" s="19" t="n"/>
      <c r="F2755" s="16">
        <f>IF(OR(B2755="",D2755=""),"",IFERROR(INDEX('Tabla XP'!$B$2:$B$12,MATCH(D2755,'Tabla XP'!$A$2:$A$12,0))*IF(E2755="",1,E2755),0))</f>
        <v/>
      </c>
      <c r="G2755" s="19" t="n"/>
      <c r="H2755" s="19" t="n"/>
    </row>
    <row r="2756">
      <c r="A2756" s="22" t="n"/>
      <c r="B2756" s="19" t="n"/>
      <c r="C2756" s="18">
        <f>IF(B2756="","",IFERROR(INDEX(Jugadores!$C$2:$C$501,MATCH(B2756,Jugadores!$A$2:$A$501,0)),"⚠ ID no existe"))</f>
        <v/>
      </c>
      <c r="D2756" s="19" t="n"/>
      <c r="E2756" s="19" t="n"/>
      <c r="F2756" s="16">
        <f>IF(OR(B2756="",D2756=""),"",IFERROR(INDEX('Tabla XP'!$B$2:$B$12,MATCH(D2756,'Tabla XP'!$A$2:$A$12,0))*IF(E2756="",1,E2756),0))</f>
        <v/>
      </c>
      <c r="G2756" s="19" t="n"/>
      <c r="H2756" s="19" t="n"/>
    </row>
    <row r="2757">
      <c r="A2757" s="22" t="n"/>
      <c r="B2757" s="19" t="n"/>
      <c r="C2757" s="18">
        <f>IF(B2757="","",IFERROR(INDEX(Jugadores!$C$2:$C$501,MATCH(B2757,Jugadores!$A$2:$A$501,0)),"⚠ ID no existe"))</f>
        <v/>
      </c>
      <c r="D2757" s="19" t="n"/>
      <c r="E2757" s="19" t="n"/>
      <c r="F2757" s="16">
        <f>IF(OR(B2757="",D2757=""),"",IFERROR(INDEX('Tabla XP'!$B$2:$B$12,MATCH(D2757,'Tabla XP'!$A$2:$A$12,0))*IF(E2757="",1,E2757),0))</f>
        <v/>
      </c>
      <c r="G2757" s="19" t="n"/>
      <c r="H2757" s="19" t="n"/>
    </row>
    <row r="2758">
      <c r="A2758" s="22" t="n"/>
      <c r="B2758" s="19" t="n"/>
      <c r="C2758" s="18">
        <f>IF(B2758="","",IFERROR(INDEX(Jugadores!$C$2:$C$501,MATCH(B2758,Jugadores!$A$2:$A$501,0)),"⚠ ID no existe"))</f>
        <v/>
      </c>
      <c r="D2758" s="19" t="n"/>
      <c r="E2758" s="19" t="n"/>
      <c r="F2758" s="16">
        <f>IF(OR(B2758="",D2758=""),"",IFERROR(INDEX('Tabla XP'!$B$2:$B$12,MATCH(D2758,'Tabla XP'!$A$2:$A$12,0))*IF(E2758="",1,E2758),0))</f>
        <v/>
      </c>
      <c r="G2758" s="19" t="n"/>
      <c r="H2758" s="19" t="n"/>
    </row>
    <row r="2759">
      <c r="A2759" s="22" t="n"/>
      <c r="B2759" s="19" t="n"/>
      <c r="C2759" s="18">
        <f>IF(B2759="","",IFERROR(INDEX(Jugadores!$C$2:$C$501,MATCH(B2759,Jugadores!$A$2:$A$501,0)),"⚠ ID no existe"))</f>
        <v/>
      </c>
      <c r="D2759" s="19" t="n"/>
      <c r="E2759" s="19" t="n"/>
      <c r="F2759" s="16">
        <f>IF(OR(B2759="",D2759=""),"",IFERROR(INDEX('Tabla XP'!$B$2:$B$12,MATCH(D2759,'Tabla XP'!$A$2:$A$12,0))*IF(E2759="",1,E2759),0))</f>
        <v/>
      </c>
      <c r="G2759" s="19" t="n"/>
      <c r="H2759" s="19" t="n"/>
    </row>
    <row r="2760">
      <c r="A2760" s="22" t="n"/>
      <c r="B2760" s="19" t="n"/>
      <c r="C2760" s="18">
        <f>IF(B2760="","",IFERROR(INDEX(Jugadores!$C$2:$C$501,MATCH(B2760,Jugadores!$A$2:$A$501,0)),"⚠ ID no existe"))</f>
        <v/>
      </c>
      <c r="D2760" s="19" t="n"/>
      <c r="E2760" s="19" t="n"/>
      <c r="F2760" s="16">
        <f>IF(OR(B2760="",D2760=""),"",IFERROR(INDEX('Tabla XP'!$B$2:$B$12,MATCH(D2760,'Tabla XP'!$A$2:$A$12,0))*IF(E2760="",1,E2760),0))</f>
        <v/>
      </c>
      <c r="G2760" s="19" t="n"/>
      <c r="H2760" s="19" t="n"/>
    </row>
    <row r="2761">
      <c r="A2761" s="22" t="n"/>
      <c r="B2761" s="19" t="n"/>
      <c r="C2761" s="18">
        <f>IF(B2761="","",IFERROR(INDEX(Jugadores!$C$2:$C$501,MATCH(B2761,Jugadores!$A$2:$A$501,0)),"⚠ ID no existe"))</f>
        <v/>
      </c>
      <c r="D2761" s="19" t="n"/>
      <c r="E2761" s="19" t="n"/>
      <c r="F2761" s="16">
        <f>IF(OR(B2761="",D2761=""),"",IFERROR(INDEX('Tabla XP'!$B$2:$B$12,MATCH(D2761,'Tabla XP'!$A$2:$A$12,0))*IF(E2761="",1,E2761),0))</f>
        <v/>
      </c>
      <c r="G2761" s="19" t="n"/>
      <c r="H2761" s="19" t="n"/>
    </row>
    <row r="2762">
      <c r="A2762" s="22" t="n"/>
      <c r="B2762" s="19" t="n"/>
      <c r="C2762" s="18">
        <f>IF(B2762="","",IFERROR(INDEX(Jugadores!$C$2:$C$501,MATCH(B2762,Jugadores!$A$2:$A$501,0)),"⚠ ID no existe"))</f>
        <v/>
      </c>
      <c r="D2762" s="19" t="n"/>
      <c r="E2762" s="19" t="n"/>
      <c r="F2762" s="16">
        <f>IF(OR(B2762="",D2762=""),"",IFERROR(INDEX('Tabla XP'!$B$2:$B$12,MATCH(D2762,'Tabla XP'!$A$2:$A$12,0))*IF(E2762="",1,E2762),0))</f>
        <v/>
      </c>
      <c r="G2762" s="19" t="n"/>
      <c r="H2762" s="19" t="n"/>
    </row>
    <row r="2763">
      <c r="A2763" s="22" t="n"/>
      <c r="B2763" s="19" t="n"/>
      <c r="C2763" s="18">
        <f>IF(B2763="","",IFERROR(INDEX(Jugadores!$C$2:$C$501,MATCH(B2763,Jugadores!$A$2:$A$501,0)),"⚠ ID no existe"))</f>
        <v/>
      </c>
      <c r="D2763" s="19" t="n"/>
      <c r="E2763" s="19" t="n"/>
      <c r="F2763" s="16">
        <f>IF(OR(B2763="",D2763=""),"",IFERROR(INDEX('Tabla XP'!$B$2:$B$12,MATCH(D2763,'Tabla XP'!$A$2:$A$12,0))*IF(E2763="",1,E2763),0))</f>
        <v/>
      </c>
      <c r="G2763" s="19" t="n"/>
      <c r="H2763" s="19" t="n"/>
    </row>
    <row r="2764">
      <c r="A2764" s="22" t="n"/>
      <c r="B2764" s="19" t="n"/>
      <c r="C2764" s="18">
        <f>IF(B2764="","",IFERROR(INDEX(Jugadores!$C$2:$C$501,MATCH(B2764,Jugadores!$A$2:$A$501,0)),"⚠ ID no existe"))</f>
        <v/>
      </c>
      <c r="D2764" s="19" t="n"/>
      <c r="E2764" s="19" t="n"/>
      <c r="F2764" s="16">
        <f>IF(OR(B2764="",D2764=""),"",IFERROR(INDEX('Tabla XP'!$B$2:$B$12,MATCH(D2764,'Tabla XP'!$A$2:$A$12,0))*IF(E2764="",1,E2764),0))</f>
        <v/>
      </c>
      <c r="G2764" s="19" t="n"/>
      <c r="H2764" s="19" t="n"/>
    </row>
    <row r="2765">
      <c r="A2765" s="22" t="n"/>
      <c r="B2765" s="19" t="n"/>
      <c r="C2765" s="18">
        <f>IF(B2765="","",IFERROR(INDEX(Jugadores!$C$2:$C$501,MATCH(B2765,Jugadores!$A$2:$A$501,0)),"⚠ ID no existe"))</f>
        <v/>
      </c>
      <c r="D2765" s="19" t="n"/>
      <c r="E2765" s="19" t="n"/>
      <c r="F2765" s="16">
        <f>IF(OR(B2765="",D2765=""),"",IFERROR(INDEX('Tabla XP'!$B$2:$B$12,MATCH(D2765,'Tabla XP'!$A$2:$A$12,0))*IF(E2765="",1,E2765),0))</f>
        <v/>
      </c>
      <c r="G2765" s="19" t="n"/>
      <c r="H2765" s="19" t="n"/>
    </row>
    <row r="2766">
      <c r="A2766" s="22" t="n"/>
      <c r="B2766" s="19" t="n"/>
      <c r="C2766" s="18">
        <f>IF(B2766="","",IFERROR(INDEX(Jugadores!$C$2:$C$501,MATCH(B2766,Jugadores!$A$2:$A$501,0)),"⚠ ID no existe"))</f>
        <v/>
      </c>
      <c r="D2766" s="19" t="n"/>
      <c r="E2766" s="19" t="n"/>
      <c r="F2766" s="16">
        <f>IF(OR(B2766="",D2766=""),"",IFERROR(INDEX('Tabla XP'!$B$2:$B$12,MATCH(D2766,'Tabla XP'!$A$2:$A$12,0))*IF(E2766="",1,E2766),0))</f>
        <v/>
      </c>
      <c r="G2766" s="19" t="n"/>
      <c r="H2766" s="19" t="n"/>
    </row>
    <row r="2767">
      <c r="A2767" s="22" t="n"/>
      <c r="B2767" s="19" t="n"/>
      <c r="C2767" s="18">
        <f>IF(B2767="","",IFERROR(INDEX(Jugadores!$C$2:$C$501,MATCH(B2767,Jugadores!$A$2:$A$501,0)),"⚠ ID no existe"))</f>
        <v/>
      </c>
      <c r="D2767" s="19" t="n"/>
      <c r="E2767" s="19" t="n"/>
      <c r="F2767" s="16">
        <f>IF(OR(B2767="",D2767=""),"",IFERROR(INDEX('Tabla XP'!$B$2:$B$12,MATCH(D2767,'Tabla XP'!$A$2:$A$12,0))*IF(E2767="",1,E2767),0))</f>
        <v/>
      </c>
      <c r="G2767" s="19" t="n"/>
      <c r="H2767" s="19" t="n"/>
    </row>
    <row r="2768">
      <c r="A2768" s="22" t="n"/>
      <c r="B2768" s="19" t="n"/>
      <c r="C2768" s="18">
        <f>IF(B2768="","",IFERROR(INDEX(Jugadores!$C$2:$C$501,MATCH(B2768,Jugadores!$A$2:$A$501,0)),"⚠ ID no existe"))</f>
        <v/>
      </c>
      <c r="D2768" s="19" t="n"/>
      <c r="E2768" s="19" t="n"/>
      <c r="F2768" s="16">
        <f>IF(OR(B2768="",D2768=""),"",IFERROR(INDEX('Tabla XP'!$B$2:$B$12,MATCH(D2768,'Tabla XP'!$A$2:$A$12,0))*IF(E2768="",1,E2768),0))</f>
        <v/>
      </c>
      <c r="G2768" s="19" t="n"/>
      <c r="H2768" s="19" t="n"/>
    </row>
    <row r="2769">
      <c r="A2769" s="22" t="n"/>
      <c r="B2769" s="19" t="n"/>
      <c r="C2769" s="18">
        <f>IF(B2769="","",IFERROR(INDEX(Jugadores!$C$2:$C$501,MATCH(B2769,Jugadores!$A$2:$A$501,0)),"⚠ ID no existe"))</f>
        <v/>
      </c>
      <c r="D2769" s="19" t="n"/>
      <c r="E2769" s="19" t="n"/>
      <c r="F2769" s="16">
        <f>IF(OR(B2769="",D2769=""),"",IFERROR(INDEX('Tabla XP'!$B$2:$B$12,MATCH(D2769,'Tabla XP'!$A$2:$A$12,0))*IF(E2769="",1,E2769),0))</f>
        <v/>
      </c>
      <c r="G2769" s="19" t="n"/>
      <c r="H2769" s="19" t="n"/>
    </row>
    <row r="2770">
      <c r="A2770" s="22" t="n"/>
      <c r="B2770" s="19" t="n"/>
      <c r="C2770" s="18">
        <f>IF(B2770="","",IFERROR(INDEX(Jugadores!$C$2:$C$501,MATCH(B2770,Jugadores!$A$2:$A$501,0)),"⚠ ID no existe"))</f>
        <v/>
      </c>
      <c r="D2770" s="19" t="n"/>
      <c r="E2770" s="19" t="n"/>
      <c r="F2770" s="16">
        <f>IF(OR(B2770="",D2770=""),"",IFERROR(INDEX('Tabla XP'!$B$2:$B$12,MATCH(D2770,'Tabla XP'!$A$2:$A$12,0))*IF(E2770="",1,E2770),0))</f>
        <v/>
      </c>
      <c r="G2770" s="19" t="n"/>
      <c r="H2770" s="19" t="n"/>
    </row>
    <row r="2771">
      <c r="A2771" s="22" t="n"/>
      <c r="B2771" s="19" t="n"/>
      <c r="C2771" s="18">
        <f>IF(B2771="","",IFERROR(INDEX(Jugadores!$C$2:$C$501,MATCH(B2771,Jugadores!$A$2:$A$501,0)),"⚠ ID no existe"))</f>
        <v/>
      </c>
      <c r="D2771" s="19" t="n"/>
      <c r="E2771" s="19" t="n"/>
      <c r="F2771" s="16">
        <f>IF(OR(B2771="",D2771=""),"",IFERROR(INDEX('Tabla XP'!$B$2:$B$12,MATCH(D2771,'Tabla XP'!$A$2:$A$12,0))*IF(E2771="",1,E2771),0))</f>
        <v/>
      </c>
      <c r="G2771" s="19" t="n"/>
      <c r="H2771" s="19" t="n"/>
    </row>
    <row r="2772">
      <c r="A2772" s="22" t="n"/>
      <c r="B2772" s="19" t="n"/>
      <c r="C2772" s="18">
        <f>IF(B2772="","",IFERROR(INDEX(Jugadores!$C$2:$C$501,MATCH(B2772,Jugadores!$A$2:$A$501,0)),"⚠ ID no existe"))</f>
        <v/>
      </c>
      <c r="D2772" s="19" t="n"/>
      <c r="E2772" s="19" t="n"/>
      <c r="F2772" s="16">
        <f>IF(OR(B2772="",D2772=""),"",IFERROR(INDEX('Tabla XP'!$B$2:$B$12,MATCH(D2772,'Tabla XP'!$A$2:$A$12,0))*IF(E2772="",1,E2772),0))</f>
        <v/>
      </c>
      <c r="G2772" s="19" t="n"/>
      <c r="H2772" s="19" t="n"/>
    </row>
    <row r="2773">
      <c r="A2773" s="22" t="n"/>
      <c r="B2773" s="19" t="n"/>
      <c r="C2773" s="18">
        <f>IF(B2773="","",IFERROR(INDEX(Jugadores!$C$2:$C$501,MATCH(B2773,Jugadores!$A$2:$A$501,0)),"⚠ ID no existe"))</f>
        <v/>
      </c>
      <c r="D2773" s="19" t="n"/>
      <c r="E2773" s="19" t="n"/>
      <c r="F2773" s="16">
        <f>IF(OR(B2773="",D2773=""),"",IFERROR(INDEX('Tabla XP'!$B$2:$B$12,MATCH(D2773,'Tabla XP'!$A$2:$A$12,0))*IF(E2773="",1,E2773),0))</f>
        <v/>
      </c>
      <c r="G2773" s="19" t="n"/>
      <c r="H2773" s="19" t="n"/>
    </row>
    <row r="2774">
      <c r="A2774" s="22" t="n"/>
      <c r="B2774" s="19" t="n"/>
      <c r="C2774" s="18">
        <f>IF(B2774="","",IFERROR(INDEX(Jugadores!$C$2:$C$501,MATCH(B2774,Jugadores!$A$2:$A$501,0)),"⚠ ID no existe"))</f>
        <v/>
      </c>
      <c r="D2774" s="19" t="n"/>
      <c r="E2774" s="19" t="n"/>
      <c r="F2774" s="16">
        <f>IF(OR(B2774="",D2774=""),"",IFERROR(INDEX('Tabla XP'!$B$2:$B$12,MATCH(D2774,'Tabla XP'!$A$2:$A$12,0))*IF(E2774="",1,E2774),0))</f>
        <v/>
      </c>
      <c r="G2774" s="19" t="n"/>
      <c r="H2774" s="19" t="n"/>
    </row>
    <row r="2775">
      <c r="A2775" s="22" t="n"/>
      <c r="B2775" s="19" t="n"/>
      <c r="C2775" s="18">
        <f>IF(B2775="","",IFERROR(INDEX(Jugadores!$C$2:$C$501,MATCH(B2775,Jugadores!$A$2:$A$501,0)),"⚠ ID no existe"))</f>
        <v/>
      </c>
      <c r="D2775" s="19" t="n"/>
      <c r="E2775" s="19" t="n"/>
      <c r="F2775" s="16">
        <f>IF(OR(B2775="",D2775=""),"",IFERROR(INDEX('Tabla XP'!$B$2:$B$12,MATCH(D2775,'Tabla XP'!$A$2:$A$12,0))*IF(E2775="",1,E2775),0))</f>
        <v/>
      </c>
      <c r="G2775" s="19" t="n"/>
      <c r="H2775" s="19" t="n"/>
    </row>
    <row r="2776">
      <c r="A2776" s="22" t="n"/>
      <c r="B2776" s="19" t="n"/>
      <c r="C2776" s="18">
        <f>IF(B2776="","",IFERROR(INDEX(Jugadores!$C$2:$C$501,MATCH(B2776,Jugadores!$A$2:$A$501,0)),"⚠ ID no existe"))</f>
        <v/>
      </c>
      <c r="D2776" s="19" t="n"/>
      <c r="E2776" s="19" t="n"/>
      <c r="F2776" s="16">
        <f>IF(OR(B2776="",D2776=""),"",IFERROR(INDEX('Tabla XP'!$B$2:$B$12,MATCH(D2776,'Tabla XP'!$A$2:$A$12,0))*IF(E2776="",1,E2776),0))</f>
        <v/>
      </c>
      <c r="G2776" s="19" t="n"/>
      <c r="H2776" s="19" t="n"/>
    </row>
    <row r="2777">
      <c r="A2777" s="22" t="n"/>
      <c r="B2777" s="19" t="n"/>
      <c r="C2777" s="18">
        <f>IF(B2777="","",IFERROR(INDEX(Jugadores!$C$2:$C$501,MATCH(B2777,Jugadores!$A$2:$A$501,0)),"⚠ ID no existe"))</f>
        <v/>
      </c>
      <c r="D2777" s="19" t="n"/>
      <c r="E2777" s="19" t="n"/>
      <c r="F2777" s="16">
        <f>IF(OR(B2777="",D2777=""),"",IFERROR(INDEX('Tabla XP'!$B$2:$B$12,MATCH(D2777,'Tabla XP'!$A$2:$A$12,0))*IF(E2777="",1,E2777),0))</f>
        <v/>
      </c>
      <c r="G2777" s="19" t="n"/>
      <c r="H2777" s="19" t="n"/>
    </row>
    <row r="2778">
      <c r="A2778" s="22" t="n"/>
      <c r="B2778" s="19" t="n"/>
      <c r="C2778" s="18">
        <f>IF(B2778="","",IFERROR(INDEX(Jugadores!$C$2:$C$501,MATCH(B2778,Jugadores!$A$2:$A$501,0)),"⚠ ID no existe"))</f>
        <v/>
      </c>
      <c r="D2778" s="19" t="n"/>
      <c r="E2778" s="19" t="n"/>
      <c r="F2778" s="16">
        <f>IF(OR(B2778="",D2778=""),"",IFERROR(INDEX('Tabla XP'!$B$2:$B$12,MATCH(D2778,'Tabla XP'!$A$2:$A$12,0))*IF(E2778="",1,E2778),0))</f>
        <v/>
      </c>
      <c r="G2778" s="19" t="n"/>
      <c r="H2778" s="19" t="n"/>
    </row>
    <row r="2779">
      <c r="A2779" s="22" t="n"/>
      <c r="B2779" s="19" t="n"/>
      <c r="C2779" s="18">
        <f>IF(B2779="","",IFERROR(INDEX(Jugadores!$C$2:$C$501,MATCH(B2779,Jugadores!$A$2:$A$501,0)),"⚠ ID no existe"))</f>
        <v/>
      </c>
      <c r="D2779" s="19" t="n"/>
      <c r="E2779" s="19" t="n"/>
      <c r="F2779" s="16">
        <f>IF(OR(B2779="",D2779=""),"",IFERROR(INDEX('Tabla XP'!$B$2:$B$12,MATCH(D2779,'Tabla XP'!$A$2:$A$12,0))*IF(E2779="",1,E2779),0))</f>
        <v/>
      </c>
      <c r="G2779" s="19" t="n"/>
      <c r="H2779" s="19" t="n"/>
    </row>
    <row r="2780">
      <c r="A2780" s="22" t="n"/>
      <c r="B2780" s="19" t="n"/>
      <c r="C2780" s="18">
        <f>IF(B2780="","",IFERROR(INDEX(Jugadores!$C$2:$C$501,MATCH(B2780,Jugadores!$A$2:$A$501,0)),"⚠ ID no existe"))</f>
        <v/>
      </c>
      <c r="D2780" s="19" t="n"/>
      <c r="E2780" s="19" t="n"/>
      <c r="F2780" s="16">
        <f>IF(OR(B2780="",D2780=""),"",IFERROR(INDEX('Tabla XP'!$B$2:$B$12,MATCH(D2780,'Tabla XP'!$A$2:$A$12,0))*IF(E2780="",1,E2780),0))</f>
        <v/>
      </c>
      <c r="G2780" s="19" t="n"/>
      <c r="H2780" s="19" t="n"/>
    </row>
    <row r="2781">
      <c r="A2781" s="22" t="n"/>
      <c r="B2781" s="19" t="n"/>
      <c r="C2781" s="18">
        <f>IF(B2781="","",IFERROR(INDEX(Jugadores!$C$2:$C$501,MATCH(B2781,Jugadores!$A$2:$A$501,0)),"⚠ ID no existe"))</f>
        <v/>
      </c>
      <c r="D2781" s="19" t="n"/>
      <c r="E2781" s="19" t="n"/>
      <c r="F2781" s="16">
        <f>IF(OR(B2781="",D2781=""),"",IFERROR(INDEX('Tabla XP'!$B$2:$B$12,MATCH(D2781,'Tabla XP'!$A$2:$A$12,0))*IF(E2781="",1,E2781),0))</f>
        <v/>
      </c>
      <c r="G2781" s="19" t="n"/>
      <c r="H2781" s="19" t="n"/>
    </row>
    <row r="2782">
      <c r="A2782" s="22" t="n"/>
      <c r="B2782" s="19" t="n"/>
      <c r="C2782" s="18">
        <f>IF(B2782="","",IFERROR(INDEX(Jugadores!$C$2:$C$501,MATCH(B2782,Jugadores!$A$2:$A$501,0)),"⚠ ID no existe"))</f>
        <v/>
      </c>
      <c r="D2782" s="19" t="n"/>
      <c r="E2782" s="19" t="n"/>
      <c r="F2782" s="16">
        <f>IF(OR(B2782="",D2782=""),"",IFERROR(INDEX('Tabla XP'!$B$2:$B$12,MATCH(D2782,'Tabla XP'!$A$2:$A$12,0))*IF(E2782="",1,E2782),0))</f>
        <v/>
      </c>
      <c r="G2782" s="19" t="n"/>
      <c r="H2782" s="19" t="n"/>
    </row>
    <row r="2783">
      <c r="A2783" s="22" t="n"/>
      <c r="B2783" s="19" t="n"/>
      <c r="C2783" s="18">
        <f>IF(B2783="","",IFERROR(INDEX(Jugadores!$C$2:$C$501,MATCH(B2783,Jugadores!$A$2:$A$501,0)),"⚠ ID no existe"))</f>
        <v/>
      </c>
      <c r="D2783" s="19" t="n"/>
      <c r="E2783" s="19" t="n"/>
      <c r="F2783" s="16">
        <f>IF(OR(B2783="",D2783=""),"",IFERROR(INDEX('Tabla XP'!$B$2:$B$12,MATCH(D2783,'Tabla XP'!$A$2:$A$12,0))*IF(E2783="",1,E2783),0))</f>
        <v/>
      </c>
      <c r="G2783" s="19" t="n"/>
      <c r="H2783" s="19" t="n"/>
    </row>
    <row r="2784">
      <c r="A2784" s="22" t="n"/>
      <c r="B2784" s="19" t="n"/>
      <c r="C2784" s="18">
        <f>IF(B2784="","",IFERROR(INDEX(Jugadores!$C$2:$C$501,MATCH(B2784,Jugadores!$A$2:$A$501,0)),"⚠ ID no existe"))</f>
        <v/>
      </c>
      <c r="D2784" s="19" t="n"/>
      <c r="E2784" s="19" t="n"/>
      <c r="F2784" s="16">
        <f>IF(OR(B2784="",D2784=""),"",IFERROR(INDEX('Tabla XP'!$B$2:$B$12,MATCH(D2784,'Tabla XP'!$A$2:$A$12,0))*IF(E2784="",1,E2784),0))</f>
        <v/>
      </c>
      <c r="G2784" s="19" t="n"/>
      <c r="H2784" s="19" t="n"/>
    </row>
    <row r="2785">
      <c r="A2785" s="22" t="n"/>
      <c r="B2785" s="19" t="n"/>
      <c r="C2785" s="18">
        <f>IF(B2785="","",IFERROR(INDEX(Jugadores!$C$2:$C$501,MATCH(B2785,Jugadores!$A$2:$A$501,0)),"⚠ ID no existe"))</f>
        <v/>
      </c>
      <c r="D2785" s="19" t="n"/>
      <c r="E2785" s="19" t="n"/>
      <c r="F2785" s="16">
        <f>IF(OR(B2785="",D2785=""),"",IFERROR(INDEX('Tabla XP'!$B$2:$B$12,MATCH(D2785,'Tabla XP'!$A$2:$A$12,0))*IF(E2785="",1,E2785),0))</f>
        <v/>
      </c>
      <c r="G2785" s="19" t="n"/>
      <c r="H2785" s="19" t="n"/>
    </row>
    <row r="2786">
      <c r="A2786" s="22" t="n"/>
      <c r="B2786" s="19" t="n"/>
      <c r="C2786" s="18">
        <f>IF(B2786="","",IFERROR(INDEX(Jugadores!$C$2:$C$501,MATCH(B2786,Jugadores!$A$2:$A$501,0)),"⚠ ID no existe"))</f>
        <v/>
      </c>
      <c r="D2786" s="19" t="n"/>
      <c r="E2786" s="19" t="n"/>
      <c r="F2786" s="16">
        <f>IF(OR(B2786="",D2786=""),"",IFERROR(INDEX('Tabla XP'!$B$2:$B$12,MATCH(D2786,'Tabla XP'!$A$2:$A$12,0))*IF(E2786="",1,E2786),0))</f>
        <v/>
      </c>
      <c r="G2786" s="19" t="n"/>
      <c r="H2786" s="19" t="n"/>
    </row>
    <row r="2787">
      <c r="A2787" s="22" t="n"/>
      <c r="B2787" s="19" t="n"/>
      <c r="C2787" s="18">
        <f>IF(B2787="","",IFERROR(INDEX(Jugadores!$C$2:$C$501,MATCH(B2787,Jugadores!$A$2:$A$501,0)),"⚠ ID no existe"))</f>
        <v/>
      </c>
      <c r="D2787" s="19" t="n"/>
      <c r="E2787" s="19" t="n"/>
      <c r="F2787" s="16">
        <f>IF(OR(B2787="",D2787=""),"",IFERROR(INDEX('Tabla XP'!$B$2:$B$12,MATCH(D2787,'Tabla XP'!$A$2:$A$12,0))*IF(E2787="",1,E2787),0))</f>
        <v/>
      </c>
      <c r="G2787" s="19" t="n"/>
      <c r="H2787" s="19" t="n"/>
    </row>
    <row r="2788">
      <c r="A2788" s="22" t="n"/>
      <c r="B2788" s="19" t="n"/>
      <c r="C2788" s="18">
        <f>IF(B2788="","",IFERROR(INDEX(Jugadores!$C$2:$C$501,MATCH(B2788,Jugadores!$A$2:$A$501,0)),"⚠ ID no existe"))</f>
        <v/>
      </c>
      <c r="D2788" s="19" t="n"/>
      <c r="E2788" s="19" t="n"/>
      <c r="F2788" s="16">
        <f>IF(OR(B2788="",D2788=""),"",IFERROR(INDEX('Tabla XP'!$B$2:$B$12,MATCH(D2788,'Tabla XP'!$A$2:$A$12,0))*IF(E2788="",1,E2788),0))</f>
        <v/>
      </c>
      <c r="G2788" s="19" t="n"/>
      <c r="H2788" s="19" t="n"/>
    </row>
    <row r="2789">
      <c r="A2789" s="22" t="n"/>
      <c r="B2789" s="19" t="n"/>
      <c r="C2789" s="18">
        <f>IF(B2789="","",IFERROR(INDEX(Jugadores!$C$2:$C$501,MATCH(B2789,Jugadores!$A$2:$A$501,0)),"⚠ ID no existe"))</f>
        <v/>
      </c>
      <c r="D2789" s="19" t="n"/>
      <c r="E2789" s="19" t="n"/>
      <c r="F2789" s="16">
        <f>IF(OR(B2789="",D2789=""),"",IFERROR(INDEX('Tabla XP'!$B$2:$B$12,MATCH(D2789,'Tabla XP'!$A$2:$A$12,0))*IF(E2789="",1,E2789),0))</f>
        <v/>
      </c>
      <c r="G2789" s="19" t="n"/>
      <c r="H2789" s="19" t="n"/>
    </row>
    <row r="2790">
      <c r="A2790" s="22" t="n"/>
      <c r="B2790" s="19" t="n"/>
      <c r="C2790" s="18">
        <f>IF(B2790="","",IFERROR(INDEX(Jugadores!$C$2:$C$501,MATCH(B2790,Jugadores!$A$2:$A$501,0)),"⚠ ID no existe"))</f>
        <v/>
      </c>
      <c r="D2790" s="19" t="n"/>
      <c r="E2790" s="19" t="n"/>
      <c r="F2790" s="16">
        <f>IF(OR(B2790="",D2790=""),"",IFERROR(INDEX('Tabla XP'!$B$2:$B$12,MATCH(D2790,'Tabla XP'!$A$2:$A$12,0))*IF(E2790="",1,E2790),0))</f>
        <v/>
      </c>
      <c r="G2790" s="19" t="n"/>
      <c r="H2790" s="19" t="n"/>
    </row>
    <row r="2791">
      <c r="A2791" s="22" t="n"/>
      <c r="B2791" s="19" t="n"/>
      <c r="C2791" s="18">
        <f>IF(B2791="","",IFERROR(INDEX(Jugadores!$C$2:$C$501,MATCH(B2791,Jugadores!$A$2:$A$501,0)),"⚠ ID no existe"))</f>
        <v/>
      </c>
      <c r="D2791" s="19" t="n"/>
      <c r="E2791" s="19" t="n"/>
      <c r="F2791" s="16">
        <f>IF(OR(B2791="",D2791=""),"",IFERROR(INDEX('Tabla XP'!$B$2:$B$12,MATCH(D2791,'Tabla XP'!$A$2:$A$12,0))*IF(E2791="",1,E2791),0))</f>
        <v/>
      </c>
      <c r="G2791" s="19" t="n"/>
      <c r="H2791" s="19" t="n"/>
    </row>
    <row r="2792">
      <c r="A2792" s="22" t="n"/>
      <c r="B2792" s="19" t="n"/>
      <c r="C2792" s="18">
        <f>IF(B2792="","",IFERROR(INDEX(Jugadores!$C$2:$C$501,MATCH(B2792,Jugadores!$A$2:$A$501,0)),"⚠ ID no existe"))</f>
        <v/>
      </c>
      <c r="D2792" s="19" t="n"/>
      <c r="E2792" s="19" t="n"/>
      <c r="F2792" s="16">
        <f>IF(OR(B2792="",D2792=""),"",IFERROR(INDEX('Tabla XP'!$B$2:$B$12,MATCH(D2792,'Tabla XP'!$A$2:$A$12,0))*IF(E2792="",1,E2792),0))</f>
        <v/>
      </c>
      <c r="G2792" s="19" t="n"/>
      <c r="H2792" s="19" t="n"/>
    </row>
    <row r="2793">
      <c r="A2793" s="22" t="n"/>
      <c r="B2793" s="19" t="n"/>
      <c r="C2793" s="18">
        <f>IF(B2793="","",IFERROR(INDEX(Jugadores!$C$2:$C$501,MATCH(B2793,Jugadores!$A$2:$A$501,0)),"⚠ ID no existe"))</f>
        <v/>
      </c>
      <c r="D2793" s="19" t="n"/>
      <c r="E2793" s="19" t="n"/>
      <c r="F2793" s="16">
        <f>IF(OR(B2793="",D2793=""),"",IFERROR(INDEX('Tabla XP'!$B$2:$B$12,MATCH(D2793,'Tabla XP'!$A$2:$A$12,0))*IF(E2793="",1,E2793),0))</f>
        <v/>
      </c>
      <c r="G2793" s="19" t="n"/>
      <c r="H2793" s="19" t="n"/>
    </row>
    <row r="2794">
      <c r="A2794" s="22" t="n"/>
      <c r="B2794" s="19" t="n"/>
      <c r="C2794" s="18">
        <f>IF(B2794="","",IFERROR(INDEX(Jugadores!$C$2:$C$501,MATCH(B2794,Jugadores!$A$2:$A$501,0)),"⚠ ID no existe"))</f>
        <v/>
      </c>
      <c r="D2794" s="19" t="n"/>
      <c r="E2794" s="19" t="n"/>
      <c r="F2794" s="16">
        <f>IF(OR(B2794="",D2794=""),"",IFERROR(INDEX('Tabla XP'!$B$2:$B$12,MATCH(D2794,'Tabla XP'!$A$2:$A$12,0))*IF(E2794="",1,E2794),0))</f>
        <v/>
      </c>
      <c r="G2794" s="19" t="n"/>
      <c r="H2794" s="19" t="n"/>
    </row>
    <row r="2795">
      <c r="A2795" s="22" t="n"/>
      <c r="B2795" s="19" t="n"/>
      <c r="C2795" s="18">
        <f>IF(B2795="","",IFERROR(INDEX(Jugadores!$C$2:$C$501,MATCH(B2795,Jugadores!$A$2:$A$501,0)),"⚠ ID no existe"))</f>
        <v/>
      </c>
      <c r="D2795" s="19" t="n"/>
      <c r="E2795" s="19" t="n"/>
      <c r="F2795" s="16">
        <f>IF(OR(B2795="",D2795=""),"",IFERROR(INDEX('Tabla XP'!$B$2:$B$12,MATCH(D2795,'Tabla XP'!$A$2:$A$12,0))*IF(E2795="",1,E2795),0))</f>
        <v/>
      </c>
      <c r="G2795" s="19" t="n"/>
      <c r="H2795" s="19" t="n"/>
    </row>
    <row r="2796">
      <c r="A2796" s="22" t="n"/>
      <c r="B2796" s="19" t="n"/>
      <c r="C2796" s="18">
        <f>IF(B2796="","",IFERROR(INDEX(Jugadores!$C$2:$C$501,MATCH(B2796,Jugadores!$A$2:$A$501,0)),"⚠ ID no existe"))</f>
        <v/>
      </c>
      <c r="D2796" s="19" t="n"/>
      <c r="E2796" s="19" t="n"/>
      <c r="F2796" s="16">
        <f>IF(OR(B2796="",D2796=""),"",IFERROR(INDEX('Tabla XP'!$B$2:$B$12,MATCH(D2796,'Tabla XP'!$A$2:$A$12,0))*IF(E2796="",1,E2796),0))</f>
        <v/>
      </c>
      <c r="G2796" s="19" t="n"/>
      <c r="H2796" s="19" t="n"/>
    </row>
    <row r="2797">
      <c r="A2797" s="22" t="n"/>
      <c r="B2797" s="19" t="n"/>
      <c r="C2797" s="18">
        <f>IF(B2797="","",IFERROR(INDEX(Jugadores!$C$2:$C$501,MATCH(B2797,Jugadores!$A$2:$A$501,0)),"⚠ ID no existe"))</f>
        <v/>
      </c>
      <c r="D2797" s="19" t="n"/>
      <c r="E2797" s="19" t="n"/>
      <c r="F2797" s="16">
        <f>IF(OR(B2797="",D2797=""),"",IFERROR(INDEX('Tabla XP'!$B$2:$B$12,MATCH(D2797,'Tabla XP'!$A$2:$A$12,0))*IF(E2797="",1,E2797),0))</f>
        <v/>
      </c>
      <c r="G2797" s="19" t="n"/>
      <c r="H2797" s="19" t="n"/>
    </row>
    <row r="2798">
      <c r="A2798" s="22" t="n"/>
      <c r="B2798" s="19" t="n"/>
      <c r="C2798" s="18">
        <f>IF(B2798="","",IFERROR(INDEX(Jugadores!$C$2:$C$501,MATCH(B2798,Jugadores!$A$2:$A$501,0)),"⚠ ID no existe"))</f>
        <v/>
      </c>
      <c r="D2798" s="19" t="n"/>
      <c r="E2798" s="19" t="n"/>
      <c r="F2798" s="16">
        <f>IF(OR(B2798="",D2798=""),"",IFERROR(INDEX('Tabla XP'!$B$2:$B$12,MATCH(D2798,'Tabla XP'!$A$2:$A$12,0))*IF(E2798="",1,E2798),0))</f>
        <v/>
      </c>
      <c r="G2798" s="19" t="n"/>
      <c r="H2798" s="19" t="n"/>
    </row>
    <row r="2799">
      <c r="A2799" s="22" t="n"/>
      <c r="B2799" s="19" t="n"/>
      <c r="C2799" s="18">
        <f>IF(B2799="","",IFERROR(INDEX(Jugadores!$C$2:$C$501,MATCH(B2799,Jugadores!$A$2:$A$501,0)),"⚠ ID no existe"))</f>
        <v/>
      </c>
      <c r="D2799" s="19" t="n"/>
      <c r="E2799" s="19" t="n"/>
      <c r="F2799" s="16">
        <f>IF(OR(B2799="",D2799=""),"",IFERROR(INDEX('Tabla XP'!$B$2:$B$12,MATCH(D2799,'Tabla XP'!$A$2:$A$12,0))*IF(E2799="",1,E2799),0))</f>
        <v/>
      </c>
      <c r="G2799" s="19" t="n"/>
      <c r="H2799" s="19" t="n"/>
    </row>
    <row r="2800">
      <c r="A2800" s="22" t="n"/>
      <c r="B2800" s="19" t="n"/>
      <c r="C2800" s="18">
        <f>IF(B2800="","",IFERROR(INDEX(Jugadores!$C$2:$C$501,MATCH(B2800,Jugadores!$A$2:$A$501,0)),"⚠ ID no existe"))</f>
        <v/>
      </c>
      <c r="D2800" s="19" t="n"/>
      <c r="E2800" s="19" t="n"/>
      <c r="F2800" s="16">
        <f>IF(OR(B2800="",D2800=""),"",IFERROR(INDEX('Tabla XP'!$B$2:$B$12,MATCH(D2800,'Tabla XP'!$A$2:$A$12,0))*IF(E2800="",1,E2800),0))</f>
        <v/>
      </c>
      <c r="G2800" s="19" t="n"/>
      <c r="H2800" s="19" t="n"/>
    </row>
    <row r="2801">
      <c r="A2801" s="22" t="n"/>
      <c r="B2801" s="19" t="n"/>
      <c r="C2801" s="18">
        <f>IF(B2801="","",IFERROR(INDEX(Jugadores!$C$2:$C$501,MATCH(B2801,Jugadores!$A$2:$A$501,0)),"⚠ ID no existe"))</f>
        <v/>
      </c>
      <c r="D2801" s="19" t="n"/>
      <c r="E2801" s="19" t="n"/>
      <c r="F2801" s="16">
        <f>IF(OR(B2801="",D2801=""),"",IFERROR(INDEX('Tabla XP'!$B$2:$B$12,MATCH(D2801,'Tabla XP'!$A$2:$A$12,0))*IF(E2801="",1,E2801),0))</f>
        <v/>
      </c>
      <c r="G2801" s="19" t="n"/>
      <c r="H2801" s="19" t="n"/>
    </row>
    <row r="2802">
      <c r="A2802" s="22" t="n"/>
      <c r="B2802" s="19" t="n"/>
      <c r="C2802" s="18">
        <f>IF(B2802="","",IFERROR(INDEX(Jugadores!$C$2:$C$501,MATCH(B2802,Jugadores!$A$2:$A$501,0)),"⚠ ID no existe"))</f>
        <v/>
      </c>
      <c r="D2802" s="19" t="n"/>
      <c r="E2802" s="19" t="n"/>
      <c r="F2802" s="16">
        <f>IF(OR(B2802="",D2802=""),"",IFERROR(INDEX('Tabla XP'!$B$2:$B$12,MATCH(D2802,'Tabla XP'!$A$2:$A$12,0))*IF(E2802="",1,E2802),0))</f>
        <v/>
      </c>
      <c r="G2802" s="19" t="n"/>
      <c r="H2802" s="19" t="n"/>
    </row>
    <row r="2803">
      <c r="A2803" s="22" t="n"/>
      <c r="B2803" s="19" t="n"/>
      <c r="C2803" s="18">
        <f>IF(B2803="","",IFERROR(INDEX(Jugadores!$C$2:$C$501,MATCH(B2803,Jugadores!$A$2:$A$501,0)),"⚠ ID no existe"))</f>
        <v/>
      </c>
      <c r="D2803" s="19" t="n"/>
      <c r="E2803" s="19" t="n"/>
      <c r="F2803" s="16">
        <f>IF(OR(B2803="",D2803=""),"",IFERROR(INDEX('Tabla XP'!$B$2:$B$12,MATCH(D2803,'Tabla XP'!$A$2:$A$12,0))*IF(E2803="",1,E2803),0))</f>
        <v/>
      </c>
      <c r="G2803" s="19" t="n"/>
      <c r="H2803" s="19" t="n"/>
    </row>
    <row r="2804">
      <c r="A2804" s="22" t="n"/>
      <c r="B2804" s="19" t="n"/>
      <c r="C2804" s="18">
        <f>IF(B2804="","",IFERROR(INDEX(Jugadores!$C$2:$C$501,MATCH(B2804,Jugadores!$A$2:$A$501,0)),"⚠ ID no existe"))</f>
        <v/>
      </c>
      <c r="D2804" s="19" t="n"/>
      <c r="E2804" s="19" t="n"/>
      <c r="F2804" s="16">
        <f>IF(OR(B2804="",D2804=""),"",IFERROR(INDEX('Tabla XP'!$B$2:$B$12,MATCH(D2804,'Tabla XP'!$A$2:$A$12,0))*IF(E2804="",1,E2804),0))</f>
        <v/>
      </c>
      <c r="G2804" s="19" t="n"/>
      <c r="H2804" s="19" t="n"/>
    </row>
    <row r="2805">
      <c r="A2805" s="22" t="n"/>
      <c r="B2805" s="19" t="n"/>
      <c r="C2805" s="18">
        <f>IF(B2805="","",IFERROR(INDEX(Jugadores!$C$2:$C$501,MATCH(B2805,Jugadores!$A$2:$A$501,0)),"⚠ ID no existe"))</f>
        <v/>
      </c>
      <c r="D2805" s="19" t="n"/>
      <c r="E2805" s="19" t="n"/>
      <c r="F2805" s="16">
        <f>IF(OR(B2805="",D2805=""),"",IFERROR(INDEX('Tabla XP'!$B$2:$B$12,MATCH(D2805,'Tabla XP'!$A$2:$A$12,0))*IF(E2805="",1,E2805),0))</f>
        <v/>
      </c>
      <c r="G2805" s="19" t="n"/>
      <c r="H2805" s="19" t="n"/>
    </row>
    <row r="2806">
      <c r="A2806" s="22" t="n"/>
      <c r="B2806" s="19" t="n"/>
      <c r="C2806" s="18">
        <f>IF(B2806="","",IFERROR(INDEX(Jugadores!$C$2:$C$501,MATCH(B2806,Jugadores!$A$2:$A$501,0)),"⚠ ID no existe"))</f>
        <v/>
      </c>
      <c r="D2806" s="19" t="n"/>
      <c r="E2806" s="19" t="n"/>
      <c r="F2806" s="16">
        <f>IF(OR(B2806="",D2806=""),"",IFERROR(INDEX('Tabla XP'!$B$2:$B$12,MATCH(D2806,'Tabla XP'!$A$2:$A$12,0))*IF(E2806="",1,E2806),0))</f>
        <v/>
      </c>
      <c r="G2806" s="19" t="n"/>
      <c r="H2806" s="19" t="n"/>
    </row>
    <row r="2807">
      <c r="A2807" s="22" t="n"/>
      <c r="B2807" s="19" t="n"/>
      <c r="C2807" s="18">
        <f>IF(B2807="","",IFERROR(INDEX(Jugadores!$C$2:$C$501,MATCH(B2807,Jugadores!$A$2:$A$501,0)),"⚠ ID no existe"))</f>
        <v/>
      </c>
      <c r="D2807" s="19" t="n"/>
      <c r="E2807" s="19" t="n"/>
      <c r="F2807" s="16">
        <f>IF(OR(B2807="",D2807=""),"",IFERROR(INDEX('Tabla XP'!$B$2:$B$12,MATCH(D2807,'Tabla XP'!$A$2:$A$12,0))*IF(E2807="",1,E2807),0))</f>
        <v/>
      </c>
      <c r="G2807" s="19" t="n"/>
      <c r="H2807" s="19" t="n"/>
    </row>
    <row r="2808">
      <c r="A2808" s="22" t="n"/>
      <c r="B2808" s="19" t="n"/>
      <c r="C2808" s="18">
        <f>IF(B2808="","",IFERROR(INDEX(Jugadores!$C$2:$C$501,MATCH(B2808,Jugadores!$A$2:$A$501,0)),"⚠ ID no existe"))</f>
        <v/>
      </c>
      <c r="D2808" s="19" t="n"/>
      <c r="E2808" s="19" t="n"/>
      <c r="F2808" s="16">
        <f>IF(OR(B2808="",D2808=""),"",IFERROR(INDEX('Tabla XP'!$B$2:$B$12,MATCH(D2808,'Tabla XP'!$A$2:$A$12,0))*IF(E2808="",1,E2808),0))</f>
        <v/>
      </c>
      <c r="G2808" s="19" t="n"/>
      <c r="H2808" s="19" t="n"/>
    </row>
    <row r="2809">
      <c r="A2809" s="22" t="n"/>
      <c r="B2809" s="19" t="n"/>
      <c r="C2809" s="18">
        <f>IF(B2809="","",IFERROR(INDEX(Jugadores!$C$2:$C$501,MATCH(B2809,Jugadores!$A$2:$A$501,0)),"⚠ ID no existe"))</f>
        <v/>
      </c>
      <c r="D2809" s="19" t="n"/>
      <c r="E2809" s="19" t="n"/>
      <c r="F2809" s="16">
        <f>IF(OR(B2809="",D2809=""),"",IFERROR(INDEX('Tabla XP'!$B$2:$B$12,MATCH(D2809,'Tabla XP'!$A$2:$A$12,0))*IF(E2809="",1,E2809),0))</f>
        <v/>
      </c>
      <c r="G2809" s="19" t="n"/>
      <c r="H2809" s="19" t="n"/>
    </row>
    <row r="2810">
      <c r="A2810" s="22" t="n"/>
      <c r="B2810" s="19" t="n"/>
      <c r="C2810" s="18">
        <f>IF(B2810="","",IFERROR(INDEX(Jugadores!$C$2:$C$501,MATCH(B2810,Jugadores!$A$2:$A$501,0)),"⚠ ID no existe"))</f>
        <v/>
      </c>
      <c r="D2810" s="19" t="n"/>
      <c r="E2810" s="19" t="n"/>
      <c r="F2810" s="16">
        <f>IF(OR(B2810="",D2810=""),"",IFERROR(INDEX('Tabla XP'!$B$2:$B$12,MATCH(D2810,'Tabla XP'!$A$2:$A$12,0))*IF(E2810="",1,E2810),0))</f>
        <v/>
      </c>
      <c r="G2810" s="19" t="n"/>
      <c r="H2810" s="19" t="n"/>
    </row>
    <row r="2811">
      <c r="A2811" s="22" t="n"/>
      <c r="B2811" s="19" t="n"/>
      <c r="C2811" s="18">
        <f>IF(B2811="","",IFERROR(INDEX(Jugadores!$C$2:$C$501,MATCH(B2811,Jugadores!$A$2:$A$501,0)),"⚠ ID no existe"))</f>
        <v/>
      </c>
      <c r="D2811" s="19" t="n"/>
      <c r="E2811" s="19" t="n"/>
      <c r="F2811" s="16">
        <f>IF(OR(B2811="",D2811=""),"",IFERROR(INDEX('Tabla XP'!$B$2:$B$12,MATCH(D2811,'Tabla XP'!$A$2:$A$12,0))*IF(E2811="",1,E2811),0))</f>
        <v/>
      </c>
      <c r="G2811" s="19" t="n"/>
      <c r="H2811" s="19" t="n"/>
    </row>
    <row r="2812">
      <c r="A2812" s="22" t="n"/>
      <c r="B2812" s="19" t="n"/>
      <c r="C2812" s="18">
        <f>IF(B2812="","",IFERROR(INDEX(Jugadores!$C$2:$C$501,MATCH(B2812,Jugadores!$A$2:$A$501,0)),"⚠ ID no existe"))</f>
        <v/>
      </c>
      <c r="D2812" s="19" t="n"/>
      <c r="E2812" s="19" t="n"/>
      <c r="F2812" s="16">
        <f>IF(OR(B2812="",D2812=""),"",IFERROR(INDEX('Tabla XP'!$B$2:$B$12,MATCH(D2812,'Tabla XP'!$A$2:$A$12,0))*IF(E2812="",1,E2812),0))</f>
        <v/>
      </c>
      <c r="G2812" s="19" t="n"/>
      <c r="H2812" s="19" t="n"/>
    </row>
    <row r="2813">
      <c r="A2813" s="22" t="n"/>
      <c r="B2813" s="19" t="n"/>
      <c r="C2813" s="18">
        <f>IF(B2813="","",IFERROR(INDEX(Jugadores!$C$2:$C$501,MATCH(B2813,Jugadores!$A$2:$A$501,0)),"⚠ ID no existe"))</f>
        <v/>
      </c>
      <c r="D2813" s="19" t="n"/>
      <c r="E2813" s="19" t="n"/>
      <c r="F2813" s="16">
        <f>IF(OR(B2813="",D2813=""),"",IFERROR(INDEX('Tabla XP'!$B$2:$B$12,MATCH(D2813,'Tabla XP'!$A$2:$A$12,0))*IF(E2813="",1,E2813),0))</f>
        <v/>
      </c>
      <c r="G2813" s="19" t="n"/>
      <c r="H2813" s="19" t="n"/>
    </row>
    <row r="2814">
      <c r="A2814" s="22" t="n"/>
      <c r="B2814" s="19" t="n"/>
      <c r="C2814" s="18">
        <f>IF(B2814="","",IFERROR(INDEX(Jugadores!$C$2:$C$501,MATCH(B2814,Jugadores!$A$2:$A$501,0)),"⚠ ID no existe"))</f>
        <v/>
      </c>
      <c r="D2814" s="19" t="n"/>
      <c r="E2814" s="19" t="n"/>
      <c r="F2814" s="16">
        <f>IF(OR(B2814="",D2814=""),"",IFERROR(INDEX('Tabla XP'!$B$2:$B$12,MATCH(D2814,'Tabla XP'!$A$2:$A$12,0))*IF(E2814="",1,E2814),0))</f>
        <v/>
      </c>
      <c r="G2814" s="19" t="n"/>
      <c r="H2814" s="19" t="n"/>
    </row>
    <row r="2815">
      <c r="A2815" s="22" t="n"/>
      <c r="B2815" s="19" t="n"/>
      <c r="C2815" s="18">
        <f>IF(B2815="","",IFERROR(INDEX(Jugadores!$C$2:$C$501,MATCH(B2815,Jugadores!$A$2:$A$501,0)),"⚠ ID no existe"))</f>
        <v/>
      </c>
      <c r="D2815" s="19" t="n"/>
      <c r="E2815" s="19" t="n"/>
      <c r="F2815" s="16">
        <f>IF(OR(B2815="",D2815=""),"",IFERROR(INDEX('Tabla XP'!$B$2:$B$12,MATCH(D2815,'Tabla XP'!$A$2:$A$12,0))*IF(E2815="",1,E2815),0))</f>
        <v/>
      </c>
      <c r="G2815" s="19" t="n"/>
      <c r="H2815" s="19" t="n"/>
    </row>
    <row r="2816">
      <c r="A2816" s="22" t="n"/>
      <c r="B2816" s="19" t="n"/>
      <c r="C2816" s="18">
        <f>IF(B2816="","",IFERROR(INDEX(Jugadores!$C$2:$C$501,MATCH(B2816,Jugadores!$A$2:$A$501,0)),"⚠ ID no existe"))</f>
        <v/>
      </c>
      <c r="D2816" s="19" t="n"/>
      <c r="E2816" s="19" t="n"/>
      <c r="F2816" s="16">
        <f>IF(OR(B2816="",D2816=""),"",IFERROR(INDEX('Tabla XP'!$B$2:$B$12,MATCH(D2816,'Tabla XP'!$A$2:$A$12,0))*IF(E2816="",1,E2816),0))</f>
        <v/>
      </c>
      <c r="G2816" s="19" t="n"/>
      <c r="H2816" s="19" t="n"/>
    </row>
    <row r="2817">
      <c r="A2817" s="22" t="n"/>
      <c r="B2817" s="19" t="n"/>
      <c r="C2817" s="18">
        <f>IF(B2817="","",IFERROR(INDEX(Jugadores!$C$2:$C$501,MATCH(B2817,Jugadores!$A$2:$A$501,0)),"⚠ ID no existe"))</f>
        <v/>
      </c>
      <c r="D2817" s="19" t="n"/>
      <c r="E2817" s="19" t="n"/>
      <c r="F2817" s="16">
        <f>IF(OR(B2817="",D2817=""),"",IFERROR(INDEX('Tabla XP'!$B$2:$B$12,MATCH(D2817,'Tabla XP'!$A$2:$A$12,0))*IF(E2817="",1,E2817),0))</f>
        <v/>
      </c>
      <c r="G2817" s="19" t="n"/>
      <c r="H2817" s="19" t="n"/>
    </row>
    <row r="2818">
      <c r="A2818" s="22" t="n"/>
      <c r="B2818" s="19" t="n"/>
      <c r="C2818" s="18">
        <f>IF(B2818="","",IFERROR(INDEX(Jugadores!$C$2:$C$501,MATCH(B2818,Jugadores!$A$2:$A$501,0)),"⚠ ID no existe"))</f>
        <v/>
      </c>
      <c r="D2818" s="19" t="n"/>
      <c r="E2818" s="19" t="n"/>
      <c r="F2818" s="16">
        <f>IF(OR(B2818="",D2818=""),"",IFERROR(INDEX('Tabla XP'!$B$2:$B$12,MATCH(D2818,'Tabla XP'!$A$2:$A$12,0))*IF(E2818="",1,E2818),0))</f>
        <v/>
      </c>
      <c r="G2818" s="19" t="n"/>
      <c r="H2818" s="19" t="n"/>
    </row>
    <row r="2819">
      <c r="A2819" s="22" t="n"/>
      <c r="B2819" s="19" t="n"/>
      <c r="C2819" s="18">
        <f>IF(B2819="","",IFERROR(INDEX(Jugadores!$C$2:$C$501,MATCH(B2819,Jugadores!$A$2:$A$501,0)),"⚠ ID no existe"))</f>
        <v/>
      </c>
      <c r="D2819" s="19" t="n"/>
      <c r="E2819" s="19" t="n"/>
      <c r="F2819" s="16">
        <f>IF(OR(B2819="",D2819=""),"",IFERROR(INDEX('Tabla XP'!$B$2:$B$12,MATCH(D2819,'Tabla XP'!$A$2:$A$12,0))*IF(E2819="",1,E2819),0))</f>
        <v/>
      </c>
      <c r="G2819" s="19" t="n"/>
      <c r="H2819" s="19" t="n"/>
    </row>
    <row r="2820">
      <c r="A2820" s="22" t="n"/>
      <c r="B2820" s="19" t="n"/>
      <c r="C2820" s="18">
        <f>IF(B2820="","",IFERROR(INDEX(Jugadores!$C$2:$C$501,MATCH(B2820,Jugadores!$A$2:$A$501,0)),"⚠ ID no existe"))</f>
        <v/>
      </c>
      <c r="D2820" s="19" t="n"/>
      <c r="E2820" s="19" t="n"/>
      <c r="F2820" s="16">
        <f>IF(OR(B2820="",D2820=""),"",IFERROR(INDEX('Tabla XP'!$B$2:$B$12,MATCH(D2820,'Tabla XP'!$A$2:$A$12,0))*IF(E2820="",1,E2820),0))</f>
        <v/>
      </c>
      <c r="G2820" s="19" t="n"/>
      <c r="H2820" s="19" t="n"/>
    </row>
    <row r="2821">
      <c r="A2821" s="22" t="n"/>
      <c r="B2821" s="19" t="n"/>
      <c r="C2821" s="18">
        <f>IF(B2821="","",IFERROR(INDEX(Jugadores!$C$2:$C$501,MATCH(B2821,Jugadores!$A$2:$A$501,0)),"⚠ ID no existe"))</f>
        <v/>
      </c>
      <c r="D2821" s="19" t="n"/>
      <c r="E2821" s="19" t="n"/>
      <c r="F2821" s="16">
        <f>IF(OR(B2821="",D2821=""),"",IFERROR(INDEX('Tabla XP'!$B$2:$B$12,MATCH(D2821,'Tabla XP'!$A$2:$A$12,0))*IF(E2821="",1,E2821),0))</f>
        <v/>
      </c>
      <c r="G2821" s="19" t="n"/>
      <c r="H2821" s="19" t="n"/>
    </row>
    <row r="2822">
      <c r="A2822" s="22" t="n"/>
      <c r="B2822" s="19" t="n"/>
      <c r="C2822" s="18">
        <f>IF(B2822="","",IFERROR(INDEX(Jugadores!$C$2:$C$501,MATCH(B2822,Jugadores!$A$2:$A$501,0)),"⚠ ID no existe"))</f>
        <v/>
      </c>
      <c r="D2822" s="19" t="n"/>
      <c r="E2822" s="19" t="n"/>
      <c r="F2822" s="16">
        <f>IF(OR(B2822="",D2822=""),"",IFERROR(INDEX('Tabla XP'!$B$2:$B$12,MATCH(D2822,'Tabla XP'!$A$2:$A$12,0))*IF(E2822="",1,E2822),0))</f>
        <v/>
      </c>
      <c r="G2822" s="19" t="n"/>
      <c r="H2822" s="19" t="n"/>
    </row>
    <row r="2823">
      <c r="A2823" s="22" t="n"/>
      <c r="B2823" s="19" t="n"/>
      <c r="C2823" s="18">
        <f>IF(B2823="","",IFERROR(INDEX(Jugadores!$C$2:$C$501,MATCH(B2823,Jugadores!$A$2:$A$501,0)),"⚠ ID no existe"))</f>
        <v/>
      </c>
      <c r="D2823" s="19" t="n"/>
      <c r="E2823" s="19" t="n"/>
      <c r="F2823" s="16">
        <f>IF(OR(B2823="",D2823=""),"",IFERROR(INDEX('Tabla XP'!$B$2:$B$12,MATCH(D2823,'Tabla XP'!$A$2:$A$12,0))*IF(E2823="",1,E2823),0))</f>
        <v/>
      </c>
      <c r="G2823" s="19" t="n"/>
      <c r="H2823" s="19" t="n"/>
    </row>
    <row r="2824">
      <c r="A2824" s="22" t="n"/>
      <c r="B2824" s="19" t="n"/>
      <c r="C2824" s="18">
        <f>IF(B2824="","",IFERROR(INDEX(Jugadores!$C$2:$C$501,MATCH(B2824,Jugadores!$A$2:$A$501,0)),"⚠ ID no existe"))</f>
        <v/>
      </c>
      <c r="D2824" s="19" t="n"/>
      <c r="E2824" s="19" t="n"/>
      <c r="F2824" s="16">
        <f>IF(OR(B2824="",D2824=""),"",IFERROR(INDEX('Tabla XP'!$B$2:$B$12,MATCH(D2824,'Tabla XP'!$A$2:$A$12,0))*IF(E2824="",1,E2824),0))</f>
        <v/>
      </c>
      <c r="G2824" s="19" t="n"/>
      <c r="H2824" s="19" t="n"/>
    </row>
    <row r="2825">
      <c r="A2825" s="22" t="n"/>
      <c r="B2825" s="19" t="n"/>
      <c r="C2825" s="18">
        <f>IF(B2825="","",IFERROR(INDEX(Jugadores!$C$2:$C$501,MATCH(B2825,Jugadores!$A$2:$A$501,0)),"⚠ ID no existe"))</f>
        <v/>
      </c>
      <c r="D2825" s="19" t="n"/>
      <c r="E2825" s="19" t="n"/>
      <c r="F2825" s="16">
        <f>IF(OR(B2825="",D2825=""),"",IFERROR(INDEX('Tabla XP'!$B$2:$B$12,MATCH(D2825,'Tabla XP'!$A$2:$A$12,0))*IF(E2825="",1,E2825),0))</f>
        <v/>
      </c>
      <c r="G2825" s="19" t="n"/>
      <c r="H2825" s="19" t="n"/>
    </row>
    <row r="2826">
      <c r="A2826" s="22" t="n"/>
      <c r="B2826" s="19" t="n"/>
      <c r="C2826" s="18">
        <f>IF(B2826="","",IFERROR(INDEX(Jugadores!$C$2:$C$501,MATCH(B2826,Jugadores!$A$2:$A$501,0)),"⚠ ID no existe"))</f>
        <v/>
      </c>
      <c r="D2826" s="19" t="n"/>
      <c r="E2826" s="19" t="n"/>
      <c r="F2826" s="16">
        <f>IF(OR(B2826="",D2826=""),"",IFERROR(INDEX('Tabla XP'!$B$2:$B$12,MATCH(D2826,'Tabla XP'!$A$2:$A$12,0))*IF(E2826="",1,E2826),0))</f>
        <v/>
      </c>
      <c r="G2826" s="19" t="n"/>
      <c r="H2826" s="19" t="n"/>
    </row>
    <row r="2827">
      <c r="A2827" s="22" t="n"/>
      <c r="B2827" s="19" t="n"/>
      <c r="C2827" s="18">
        <f>IF(B2827="","",IFERROR(INDEX(Jugadores!$C$2:$C$501,MATCH(B2827,Jugadores!$A$2:$A$501,0)),"⚠ ID no existe"))</f>
        <v/>
      </c>
      <c r="D2827" s="19" t="n"/>
      <c r="E2827" s="19" t="n"/>
      <c r="F2827" s="16">
        <f>IF(OR(B2827="",D2827=""),"",IFERROR(INDEX('Tabla XP'!$B$2:$B$12,MATCH(D2827,'Tabla XP'!$A$2:$A$12,0))*IF(E2827="",1,E2827),0))</f>
        <v/>
      </c>
      <c r="G2827" s="19" t="n"/>
      <c r="H2827" s="19" t="n"/>
    </row>
    <row r="2828">
      <c r="A2828" s="22" t="n"/>
      <c r="B2828" s="19" t="n"/>
      <c r="C2828" s="18">
        <f>IF(B2828="","",IFERROR(INDEX(Jugadores!$C$2:$C$501,MATCH(B2828,Jugadores!$A$2:$A$501,0)),"⚠ ID no existe"))</f>
        <v/>
      </c>
      <c r="D2828" s="19" t="n"/>
      <c r="E2828" s="19" t="n"/>
      <c r="F2828" s="16">
        <f>IF(OR(B2828="",D2828=""),"",IFERROR(INDEX('Tabla XP'!$B$2:$B$12,MATCH(D2828,'Tabla XP'!$A$2:$A$12,0))*IF(E2828="",1,E2828),0))</f>
        <v/>
      </c>
      <c r="G2828" s="19" t="n"/>
      <c r="H2828" s="19" t="n"/>
    </row>
    <row r="2829">
      <c r="A2829" s="22" t="n"/>
      <c r="B2829" s="19" t="n"/>
      <c r="C2829" s="18">
        <f>IF(B2829="","",IFERROR(INDEX(Jugadores!$C$2:$C$501,MATCH(B2829,Jugadores!$A$2:$A$501,0)),"⚠ ID no existe"))</f>
        <v/>
      </c>
      <c r="D2829" s="19" t="n"/>
      <c r="E2829" s="19" t="n"/>
      <c r="F2829" s="16">
        <f>IF(OR(B2829="",D2829=""),"",IFERROR(INDEX('Tabla XP'!$B$2:$B$12,MATCH(D2829,'Tabla XP'!$A$2:$A$12,0))*IF(E2829="",1,E2829),0))</f>
        <v/>
      </c>
      <c r="G2829" s="19" t="n"/>
      <c r="H2829" s="19" t="n"/>
    </row>
    <row r="2830">
      <c r="A2830" s="22" t="n"/>
      <c r="B2830" s="19" t="n"/>
      <c r="C2830" s="18">
        <f>IF(B2830="","",IFERROR(INDEX(Jugadores!$C$2:$C$501,MATCH(B2830,Jugadores!$A$2:$A$501,0)),"⚠ ID no existe"))</f>
        <v/>
      </c>
      <c r="D2830" s="19" t="n"/>
      <c r="E2830" s="19" t="n"/>
      <c r="F2830" s="16">
        <f>IF(OR(B2830="",D2830=""),"",IFERROR(INDEX('Tabla XP'!$B$2:$B$12,MATCH(D2830,'Tabla XP'!$A$2:$A$12,0))*IF(E2830="",1,E2830),0))</f>
        <v/>
      </c>
      <c r="G2830" s="19" t="n"/>
      <c r="H2830" s="19" t="n"/>
    </row>
    <row r="2831">
      <c r="A2831" s="22" t="n"/>
      <c r="B2831" s="19" t="n"/>
      <c r="C2831" s="18">
        <f>IF(B2831="","",IFERROR(INDEX(Jugadores!$C$2:$C$501,MATCH(B2831,Jugadores!$A$2:$A$501,0)),"⚠ ID no existe"))</f>
        <v/>
      </c>
      <c r="D2831" s="19" t="n"/>
      <c r="E2831" s="19" t="n"/>
      <c r="F2831" s="16">
        <f>IF(OR(B2831="",D2831=""),"",IFERROR(INDEX('Tabla XP'!$B$2:$B$12,MATCH(D2831,'Tabla XP'!$A$2:$A$12,0))*IF(E2831="",1,E2831),0))</f>
        <v/>
      </c>
      <c r="G2831" s="19" t="n"/>
      <c r="H2831" s="19" t="n"/>
    </row>
    <row r="2832">
      <c r="A2832" s="22" t="n"/>
      <c r="B2832" s="19" t="n"/>
      <c r="C2832" s="18">
        <f>IF(B2832="","",IFERROR(INDEX(Jugadores!$C$2:$C$501,MATCH(B2832,Jugadores!$A$2:$A$501,0)),"⚠ ID no existe"))</f>
        <v/>
      </c>
      <c r="D2832" s="19" t="n"/>
      <c r="E2832" s="19" t="n"/>
      <c r="F2832" s="16">
        <f>IF(OR(B2832="",D2832=""),"",IFERROR(INDEX('Tabla XP'!$B$2:$B$12,MATCH(D2832,'Tabla XP'!$A$2:$A$12,0))*IF(E2832="",1,E2832),0))</f>
        <v/>
      </c>
      <c r="G2832" s="19" t="n"/>
      <c r="H2832" s="19" t="n"/>
    </row>
    <row r="2833">
      <c r="A2833" s="22" t="n"/>
      <c r="B2833" s="19" t="n"/>
      <c r="C2833" s="18">
        <f>IF(B2833="","",IFERROR(INDEX(Jugadores!$C$2:$C$501,MATCH(B2833,Jugadores!$A$2:$A$501,0)),"⚠ ID no existe"))</f>
        <v/>
      </c>
      <c r="D2833" s="19" t="n"/>
      <c r="E2833" s="19" t="n"/>
      <c r="F2833" s="16">
        <f>IF(OR(B2833="",D2833=""),"",IFERROR(INDEX('Tabla XP'!$B$2:$B$12,MATCH(D2833,'Tabla XP'!$A$2:$A$12,0))*IF(E2833="",1,E2833),0))</f>
        <v/>
      </c>
      <c r="G2833" s="19" t="n"/>
      <c r="H2833" s="19" t="n"/>
    </row>
    <row r="2834">
      <c r="A2834" s="22" t="n"/>
      <c r="B2834" s="19" t="n"/>
      <c r="C2834" s="18">
        <f>IF(B2834="","",IFERROR(INDEX(Jugadores!$C$2:$C$501,MATCH(B2834,Jugadores!$A$2:$A$501,0)),"⚠ ID no existe"))</f>
        <v/>
      </c>
      <c r="D2834" s="19" t="n"/>
      <c r="E2834" s="19" t="n"/>
      <c r="F2834" s="16">
        <f>IF(OR(B2834="",D2834=""),"",IFERROR(INDEX('Tabla XP'!$B$2:$B$12,MATCH(D2834,'Tabla XP'!$A$2:$A$12,0))*IF(E2834="",1,E2834),0))</f>
        <v/>
      </c>
      <c r="G2834" s="19" t="n"/>
      <c r="H2834" s="19" t="n"/>
    </row>
    <row r="2835">
      <c r="A2835" s="22" t="n"/>
      <c r="B2835" s="19" t="n"/>
      <c r="C2835" s="18">
        <f>IF(B2835="","",IFERROR(INDEX(Jugadores!$C$2:$C$501,MATCH(B2835,Jugadores!$A$2:$A$501,0)),"⚠ ID no existe"))</f>
        <v/>
      </c>
      <c r="D2835" s="19" t="n"/>
      <c r="E2835" s="19" t="n"/>
      <c r="F2835" s="16">
        <f>IF(OR(B2835="",D2835=""),"",IFERROR(INDEX('Tabla XP'!$B$2:$B$12,MATCH(D2835,'Tabla XP'!$A$2:$A$12,0))*IF(E2835="",1,E2835),0))</f>
        <v/>
      </c>
      <c r="G2835" s="19" t="n"/>
      <c r="H2835" s="19" t="n"/>
    </row>
    <row r="2836">
      <c r="A2836" s="22" t="n"/>
      <c r="B2836" s="19" t="n"/>
      <c r="C2836" s="18">
        <f>IF(B2836="","",IFERROR(INDEX(Jugadores!$C$2:$C$501,MATCH(B2836,Jugadores!$A$2:$A$501,0)),"⚠ ID no existe"))</f>
        <v/>
      </c>
      <c r="D2836" s="19" t="n"/>
      <c r="E2836" s="19" t="n"/>
      <c r="F2836" s="16">
        <f>IF(OR(B2836="",D2836=""),"",IFERROR(INDEX('Tabla XP'!$B$2:$B$12,MATCH(D2836,'Tabla XP'!$A$2:$A$12,0))*IF(E2836="",1,E2836),0))</f>
        <v/>
      </c>
      <c r="G2836" s="19" t="n"/>
      <c r="H2836" s="19" t="n"/>
    </row>
    <row r="2837">
      <c r="A2837" s="22" t="n"/>
      <c r="B2837" s="19" t="n"/>
      <c r="C2837" s="18">
        <f>IF(B2837="","",IFERROR(INDEX(Jugadores!$C$2:$C$501,MATCH(B2837,Jugadores!$A$2:$A$501,0)),"⚠ ID no existe"))</f>
        <v/>
      </c>
      <c r="D2837" s="19" t="n"/>
      <c r="E2837" s="19" t="n"/>
      <c r="F2837" s="16">
        <f>IF(OR(B2837="",D2837=""),"",IFERROR(INDEX('Tabla XP'!$B$2:$B$12,MATCH(D2837,'Tabla XP'!$A$2:$A$12,0))*IF(E2837="",1,E2837),0))</f>
        <v/>
      </c>
      <c r="G2837" s="19" t="n"/>
      <c r="H2837" s="19" t="n"/>
    </row>
    <row r="2838">
      <c r="A2838" s="22" t="n"/>
      <c r="B2838" s="19" t="n"/>
      <c r="C2838" s="18">
        <f>IF(B2838="","",IFERROR(INDEX(Jugadores!$C$2:$C$501,MATCH(B2838,Jugadores!$A$2:$A$501,0)),"⚠ ID no existe"))</f>
        <v/>
      </c>
      <c r="D2838" s="19" t="n"/>
      <c r="E2838" s="19" t="n"/>
      <c r="F2838" s="16">
        <f>IF(OR(B2838="",D2838=""),"",IFERROR(INDEX('Tabla XP'!$B$2:$B$12,MATCH(D2838,'Tabla XP'!$A$2:$A$12,0))*IF(E2838="",1,E2838),0))</f>
        <v/>
      </c>
      <c r="G2838" s="19" t="n"/>
      <c r="H2838" s="19" t="n"/>
    </row>
    <row r="2839">
      <c r="A2839" s="22" t="n"/>
      <c r="B2839" s="19" t="n"/>
      <c r="C2839" s="18">
        <f>IF(B2839="","",IFERROR(INDEX(Jugadores!$C$2:$C$501,MATCH(B2839,Jugadores!$A$2:$A$501,0)),"⚠ ID no existe"))</f>
        <v/>
      </c>
      <c r="D2839" s="19" t="n"/>
      <c r="E2839" s="19" t="n"/>
      <c r="F2839" s="16">
        <f>IF(OR(B2839="",D2839=""),"",IFERROR(INDEX('Tabla XP'!$B$2:$B$12,MATCH(D2839,'Tabla XP'!$A$2:$A$12,0))*IF(E2839="",1,E2839),0))</f>
        <v/>
      </c>
      <c r="G2839" s="19" t="n"/>
      <c r="H2839" s="19" t="n"/>
    </row>
    <row r="2840">
      <c r="A2840" s="22" t="n"/>
      <c r="B2840" s="19" t="n"/>
      <c r="C2840" s="18">
        <f>IF(B2840="","",IFERROR(INDEX(Jugadores!$C$2:$C$501,MATCH(B2840,Jugadores!$A$2:$A$501,0)),"⚠ ID no existe"))</f>
        <v/>
      </c>
      <c r="D2840" s="19" t="n"/>
      <c r="E2840" s="19" t="n"/>
      <c r="F2840" s="16">
        <f>IF(OR(B2840="",D2840=""),"",IFERROR(INDEX('Tabla XP'!$B$2:$B$12,MATCH(D2840,'Tabla XP'!$A$2:$A$12,0))*IF(E2840="",1,E2840),0))</f>
        <v/>
      </c>
      <c r="G2840" s="19" t="n"/>
      <c r="H2840" s="19" t="n"/>
    </row>
    <row r="2841">
      <c r="A2841" s="22" t="n"/>
      <c r="B2841" s="19" t="n"/>
      <c r="C2841" s="18">
        <f>IF(B2841="","",IFERROR(INDEX(Jugadores!$C$2:$C$501,MATCH(B2841,Jugadores!$A$2:$A$501,0)),"⚠ ID no existe"))</f>
        <v/>
      </c>
      <c r="D2841" s="19" t="n"/>
      <c r="E2841" s="19" t="n"/>
      <c r="F2841" s="16">
        <f>IF(OR(B2841="",D2841=""),"",IFERROR(INDEX('Tabla XP'!$B$2:$B$12,MATCH(D2841,'Tabla XP'!$A$2:$A$12,0))*IF(E2841="",1,E2841),0))</f>
        <v/>
      </c>
      <c r="G2841" s="19" t="n"/>
      <c r="H2841" s="19" t="n"/>
    </row>
    <row r="2842">
      <c r="A2842" s="22" t="n"/>
      <c r="B2842" s="19" t="n"/>
      <c r="C2842" s="18">
        <f>IF(B2842="","",IFERROR(INDEX(Jugadores!$C$2:$C$501,MATCH(B2842,Jugadores!$A$2:$A$501,0)),"⚠ ID no existe"))</f>
        <v/>
      </c>
      <c r="D2842" s="19" t="n"/>
      <c r="E2842" s="19" t="n"/>
      <c r="F2842" s="16">
        <f>IF(OR(B2842="",D2842=""),"",IFERROR(INDEX('Tabla XP'!$B$2:$B$12,MATCH(D2842,'Tabla XP'!$A$2:$A$12,0))*IF(E2842="",1,E2842),0))</f>
        <v/>
      </c>
      <c r="G2842" s="19" t="n"/>
      <c r="H2842" s="19" t="n"/>
    </row>
    <row r="2843">
      <c r="A2843" s="22" t="n"/>
      <c r="B2843" s="19" t="n"/>
      <c r="C2843" s="18">
        <f>IF(B2843="","",IFERROR(INDEX(Jugadores!$C$2:$C$501,MATCH(B2843,Jugadores!$A$2:$A$501,0)),"⚠ ID no existe"))</f>
        <v/>
      </c>
      <c r="D2843" s="19" t="n"/>
      <c r="E2843" s="19" t="n"/>
      <c r="F2843" s="16">
        <f>IF(OR(B2843="",D2843=""),"",IFERROR(INDEX('Tabla XP'!$B$2:$B$12,MATCH(D2843,'Tabla XP'!$A$2:$A$12,0))*IF(E2843="",1,E2843),0))</f>
        <v/>
      </c>
      <c r="G2843" s="19" t="n"/>
      <c r="H2843" s="19" t="n"/>
    </row>
    <row r="2844">
      <c r="A2844" s="22" t="n"/>
      <c r="B2844" s="19" t="n"/>
      <c r="C2844" s="18">
        <f>IF(B2844="","",IFERROR(INDEX(Jugadores!$C$2:$C$501,MATCH(B2844,Jugadores!$A$2:$A$501,0)),"⚠ ID no existe"))</f>
        <v/>
      </c>
      <c r="D2844" s="19" t="n"/>
      <c r="E2844" s="19" t="n"/>
      <c r="F2844" s="16">
        <f>IF(OR(B2844="",D2844=""),"",IFERROR(INDEX('Tabla XP'!$B$2:$B$12,MATCH(D2844,'Tabla XP'!$A$2:$A$12,0))*IF(E2844="",1,E2844),0))</f>
        <v/>
      </c>
      <c r="G2844" s="19" t="n"/>
      <c r="H2844" s="19" t="n"/>
    </row>
    <row r="2845">
      <c r="A2845" s="22" t="n"/>
      <c r="B2845" s="19" t="n"/>
      <c r="C2845" s="18">
        <f>IF(B2845="","",IFERROR(INDEX(Jugadores!$C$2:$C$501,MATCH(B2845,Jugadores!$A$2:$A$501,0)),"⚠ ID no existe"))</f>
        <v/>
      </c>
      <c r="D2845" s="19" t="n"/>
      <c r="E2845" s="19" t="n"/>
      <c r="F2845" s="16">
        <f>IF(OR(B2845="",D2845=""),"",IFERROR(INDEX('Tabla XP'!$B$2:$B$12,MATCH(D2845,'Tabla XP'!$A$2:$A$12,0))*IF(E2845="",1,E2845),0))</f>
        <v/>
      </c>
      <c r="G2845" s="19" t="n"/>
      <c r="H2845" s="19" t="n"/>
    </row>
    <row r="2846">
      <c r="A2846" s="22" t="n"/>
      <c r="B2846" s="19" t="n"/>
      <c r="C2846" s="18">
        <f>IF(B2846="","",IFERROR(INDEX(Jugadores!$C$2:$C$501,MATCH(B2846,Jugadores!$A$2:$A$501,0)),"⚠ ID no existe"))</f>
        <v/>
      </c>
      <c r="D2846" s="19" t="n"/>
      <c r="E2846" s="19" t="n"/>
      <c r="F2846" s="16">
        <f>IF(OR(B2846="",D2846=""),"",IFERROR(INDEX('Tabla XP'!$B$2:$B$12,MATCH(D2846,'Tabla XP'!$A$2:$A$12,0))*IF(E2846="",1,E2846),0))</f>
        <v/>
      </c>
      <c r="G2846" s="19" t="n"/>
      <c r="H2846" s="19" t="n"/>
    </row>
    <row r="2847">
      <c r="A2847" s="22" t="n"/>
      <c r="B2847" s="19" t="n"/>
      <c r="C2847" s="18">
        <f>IF(B2847="","",IFERROR(INDEX(Jugadores!$C$2:$C$501,MATCH(B2847,Jugadores!$A$2:$A$501,0)),"⚠ ID no existe"))</f>
        <v/>
      </c>
      <c r="D2847" s="19" t="n"/>
      <c r="E2847" s="19" t="n"/>
      <c r="F2847" s="16">
        <f>IF(OR(B2847="",D2847=""),"",IFERROR(INDEX('Tabla XP'!$B$2:$B$12,MATCH(D2847,'Tabla XP'!$A$2:$A$12,0))*IF(E2847="",1,E2847),0))</f>
        <v/>
      </c>
      <c r="G2847" s="19" t="n"/>
      <c r="H2847" s="19" t="n"/>
    </row>
    <row r="2848">
      <c r="A2848" s="22" t="n"/>
      <c r="B2848" s="19" t="n"/>
      <c r="C2848" s="18">
        <f>IF(B2848="","",IFERROR(INDEX(Jugadores!$C$2:$C$501,MATCH(B2848,Jugadores!$A$2:$A$501,0)),"⚠ ID no existe"))</f>
        <v/>
      </c>
      <c r="D2848" s="19" t="n"/>
      <c r="E2848" s="19" t="n"/>
      <c r="F2848" s="16">
        <f>IF(OR(B2848="",D2848=""),"",IFERROR(INDEX('Tabla XP'!$B$2:$B$12,MATCH(D2848,'Tabla XP'!$A$2:$A$12,0))*IF(E2848="",1,E2848),0))</f>
        <v/>
      </c>
      <c r="G2848" s="19" t="n"/>
      <c r="H2848" s="19" t="n"/>
    </row>
    <row r="2849">
      <c r="A2849" s="22" t="n"/>
      <c r="B2849" s="19" t="n"/>
      <c r="C2849" s="18">
        <f>IF(B2849="","",IFERROR(INDEX(Jugadores!$C$2:$C$501,MATCH(B2849,Jugadores!$A$2:$A$501,0)),"⚠ ID no existe"))</f>
        <v/>
      </c>
      <c r="D2849" s="19" t="n"/>
      <c r="E2849" s="19" t="n"/>
      <c r="F2849" s="16">
        <f>IF(OR(B2849="",D2849=""),"",IFERROR(INDEX('Tabla XP'!$B$2:$B$12,MATCH(D2849,'Tabla XP'!$A$2:$A$12,0))*IF(E2849="",1,E2849),0))</f>
        <v/>
      </c>
      <c r="G2849" s="19" t="n"/>
      <c r="H2849" s="19" t="n"/>
    </row>
    <row r="2850">
      <c r="A2850" s="22" t="n"/>
      <c r="B2850" s="19" t="n"/>
      <c r="C2850" s="18">
        <f>IF(B2850="","",IFERROR(INDEX(Jugadores!$C$2:$C$501,MATCH(B2850,Jugadores!$A$2:$A$501,0)),"⚠ ID no existe"))</f>
        <v/>
      </c>
      <c r="D2850" s="19" t="n"/>
      <c r="E2850" s="19" t="n"/>
      <c r="F2850" s="16">
        <f>IF(OR(B2850="",D2850=""),"",IFERROR(INDEX('Tabla XP'!$B$2:$B$12,MATCH(D2850,'Tabla XP'!$A$2:$A$12,0))*IF(E2850="",1,E2850),0))</f>
        <v/>
      </c>
      <c r="G2850" s="19" t="n"/>
      <c r="H2850" s="19" t="n"/>
    </row>
    <row r="2851">
      <c r="A2851" s="22" t="n"/>
      <c r="B2851" s="19" t="n"/>
      <c r="C2851" s="18">
        <f>IF(B2851="","",IFERROR(INDEX(Jugadores!$C$2:$C$501,MATCH(B2851,Jugadores!$A$2:$A$501,0)),"⚠ ID no existe"))</f>
        <v/>
      </c>
      <c r="D2851" s="19" t="n"/>
      <c r="E2851" s="19" t="n"/>
      <c r="F2851" s="16">
        <f>IF(OR(B2851="",D2851=""),"",IFERROR(INDEX('Tabla XP'!$B$2:$B$12,MATCH(D2851,'Tabla XP'!$A$2:$A$12,0))*IF(E2851="",1,E2851),0))</f>
        <v/>
      </c>
      <c r="G2851" s="19" t="n"/>
      <c r="H2851" s="19" t="n"/>
    </row>
    <row r="2852">
      <c r="A2852" s="22" t="n"/>
      <c r="B2852" s="19" t="n"/>
      <c r="C2852" s="18">
        <f>IF(B2852="","",IFERROR(INDEX(Jugadores!$C$2:$C$501,MATCH(B2852,Jugadores!$A$2:$A$501,0)),"⚠ ID no existe"))</f>
        <v/>
      </c>
      <c r="D2852" s="19" t="n"/>
      <c r="E2852" s="19" t="n"/>
      <c r="F2852" s="16">
        <f>IF(OR(B2852="",D2852=""),"",IFERROR(INDEX('Tabla XP'!$B$2:$B$12,MATCH(D2852,'Tabla XP'!$A$2:$A$12,0))*IF(E2852="",1,E2852),0))</f>
        <v/>
      </c>
      <c r="G2852" s="19" t="n"/>
      <c r="H2852" s="19" t="n"/>
    </row>
    <row r="2853">
      <c r="A2853" s="22" t="n"/>
      <c r="B2853" s="19" t="n"/>
      <c r="C2853" s="18">
        <f>IF(B2853="","",IFERROR(INDEX(Jugadores!$C$2:$C$501,MATCH(B2853,Jugadores!$A$2:$A$501,0)),"⚠ ID no existe"))</f>
        <v/>
      </c>
      <c r="D2853" s="19" t="n"/>
      <c r="E2853" s="19" t="n"/>
      <c r="F2853" s="16">
        <f>IF(OR(B2853="",D2853=""),"",IFERROR(INDEX('Tabla XP'!$B$2:$B$12,MATCH(D2853,'Tabla XP'!$A$2:$A$12,0))*IF(E2853="",1,E2853),0))</f>
        <v/>
      </c>
      <c r="G2853" s="19" t="n"/>
      <c r="H2853" s="19" t="n"/>
    </row>
    <row r="2854">
      <c r="A2854" s="22" t="n"/>
      <c r="B2854" s="19" t="n"/>
      <c r="C2854" s="18">
        <f>IF(B2854="","",IFERROR(INDEX(Jugadores!$C$2:$C$501,MATCH(B2854,Jugadores!$A$2:$A$501,0)),"⚠ ID no existe"))</f>
        <v/>
      </c>
      <c r="D2854" s="19" t="n"/>
      <c r="E2854" s="19" t="n"/>
      <c r="F2854" s="16">
        <f>IF(OR(B2854="",D2854=""),"",IFERROR(INDEX('Tabla XP'!$B$2:$B$12,MATCH(D2854,'Tabla XP'!$A$2:$A$12,0))*IF(E2854="",1,E2854),0))</f>
        <v/>
      </c>
      <c r="G2854" s="19" t="n"/>
      <c r="H2854" s="19" t="n"/>
    </row>
    <row r="2855">
      <c r="A2855" s="22" t="n"/>
      <c r="B2855" s="19" t="n"/>
      <c r="C2855" s="18">
        <f>IF(B2855="","",IFERROR(INDEX(Jugadores!$C$2:$C$501,MATCH(B2855,Jugadores!$A$2:$A$501,0)),"⚠ ID no existe"))</f>
        <v/>
      </c>
      <c r="D2855" s="19" t="n"/>
      <c r="E2855" s="19" t="n"/>
      <c r="F2855" s="16">
        <f>IF(OR(B2855="",D2855=""),"",IFERROR(INDEX('Tabla XP'!$B$2:$B$12,MATCH(D2855,'Tabla XP'!$A$2:$A$12,0))*IF(E2855="",1,E2855),0))</f>
        <v/>
      </c>
      <c r="G2855" s="19" t="n"/>
      <c r="H2855" s="19" t="n"/>
    </row>
    <row r="2856">
      <c r="A2856" s="22" t="n"/>
      <c r="B2856" s="19" t="n"/>
      <c r="C2856" s="18">
        <f>IF(B2856="","",IFERROR(INDEX(Jugadores!$C$2:$C$501,MATCH(B2856,Jugadores!$A$2:$A$501,0)),"⚠ ID no existe"))</f>
        <v/>
      </c>
      <c r="D2856" s="19" t="n"/>
      <c r="E2856" s="19" t="n"/>
      <c r="F2856" s="16">
        <f>IF(OR(B2856="",D2856=""),"",IFERROR(INDEX('Tabla XP'!$B$2:$B$12,MATCH(D2856,'Tabla XP'!$A$2:$A$12,0))*IF(E2856="",1,E2856),0))</f>
        <v/>
      </c>
      <c r="G2856" s="19" t="n"/>
      <c r="H2856" s="19" t="n"/>
    </row>
    <row r="2857">
      <c r="A2857" s="22" t="n"/>
      <c r="B2857" s="19" t="n"/>
      <c r="C2857" s="18">
        <f>IF(B2857="","",IFERROR(INDEX(Jugadores!$C$2:$C$501,MATCH(B2857,Jugadores!$A$2:$A$501,0)),"⚠ ID no existe"))</f>
        <v/>
      </c>
      <c r="D2857" s="19" t="n"/>
      <c r="E2857" s="19" t="n"/>
      <c r="F2857" s="16">
        <f>IF(OR(B2857="",D2857=""),"",IFERROR(INDEX('Tabla XP'!$B$2:$B$12,MATCH(D2857,'Tabla XP'!$A$2:$A$12,0))*IF(E2857="",1,E2857),0))</f>
        <v/>
      </c>
      <c r="G2857" s="19" t="n"/>
      <c r="H2857" s="19" t="n"/>
    </row>
    <row r="2858">
      <c r="A2858" s="22" t="n"/>
      <c r="B2858" s="19" t="n"/>
      <c r="C2858" s="18">
        <f>IF(B2858="","",IFERROR(INDEX(Jugadores!$C$2:$C$501,MATCH(B2858,Jugadores!$A$2:$A$501,0)),"⚠ ID no existe"))</f>
        <v/>
      </c>
      <c r="D2858" s="19" t="n"/>
      <c r="E2858" s="19" t="n"/>
      <c r="F2858" s="16">
        <f>IF(OR(B2858="",D2858=""),"",IFERROR(INDEX('Tabla XP'!$B$2:$B$12,MATCH(D2858,'Tabla XP'!$A$2:$A$12,0))*IF(E2858="",1,E2858),0))</f>
        <v/>
      </c>
      <c r="G2858" s="19" t="n"/>
      <c r="H2858" s="19" t="n"/>
    </row>
    <row r="2859">
      <c r="A2859" s="22" t="n"/>
      <c r="B2859" s="19" t="n"/>
      <c r="C2859" s="18">
        <f>IF(B2859="","",IFERROR(INDEX(Jugadores!$C$2:$C$501,MATCH(B2859,Jugadores!$A$2:$A$501,0)),"⚠ ID no existe"))</f>
        <v/>
      </c>
      <c r="D2859" s="19" t="n"/>
      <c r="E2859" s="19" t="n"/>
      <c r="F2859" s="16">
        <f>IF(OR(B2859="",D2859=""),"",IFERROR(INDEX('Tabla XP'!$B$2:$B$12,MATCH(D2859,'Tabla XP'!$A$2:$A$12,0))*IF(E2859="",1,E2859),0))</f>
        <v/>
      </c>
      <c r="G2859" s="19" t="n"/>
      <c r="H2859" s="19" t="n"/>
    </row>
    <row r="2860">
      <c r="A2860" s="22" t="n"/>
      <c r="B2860" s="19" t="n"/>
      <c r="C2860" s="18">
        <f>IF(B2860="","",IFERROR(INDEX(Jugadores!$C$2:$C$501,MATCH(B2860,Jugadores!$A$2:$A$501,0)),"⚠ ID no existe"))</f>
        <v/>
      </c>
      <c r="D2860" s="19" t="n"/>
      <c r="E2860" s="19" t="n"/>
      <c r="F2860" s="16">
        <f>IF(OR(B2860="",D2860=""),"",IFERROR(INDEX('Tabla XP'!$B$2:$B$12,MATCH(D2860,'Tabla XP'!$A$2:$A$12,0))*IF(E2860="",1,E2860),0))</f>
        <v/>
      </c>
      <c r="G2860" s="19" t="n"/>
      <c r="H2860" s="19" t="n"/>
    </row>
    <row r="2861">
      <c r="A2861" s="22" t="n"/>
      <c r="B2861" s="19" t="n"/>
      <c r="C2861" s="18">
        <f>IF(B2861="","",IFERROR(INDEX(Jugadores!$C$2:$C$501,MATCH(B2861,Jugadores!$A$2:$A$501,0)),"⚠ ID no existe"))</f>
        <v/>
      </c>
      <c r="D2861" s="19" t="n"/>
      <c r="E2861" s="19" t="n"/>
      <c r="F2861" s="16">
        <f>IF(OR(B2861="",D2861=""),"",IFERROR(INDEX('Tabla XP'!$B$2:$B$12,MATCH(D2861,'Tabla XP'!$A$2:$A$12,0))*IF(E2861="",1,E2861),0))</f>
        <v/>
      </c>
      <c r="G2861" s="19" t="n"/>
      <c r="H2861" s="19" t="n"/>
    </row>
    <row r="2862">
      <c r="A2862" s="22" t="n"/>
      <c r="B2862" s="19" t="n"/>
      <c r="C2862" s="18">
        <f>IF(B2862="","",IFERROR(INDEX(Jugadores!$C$2:$C$501,MATCH(B2862,Jugadores!$A$2:$A$501,0)),"⚠ ID no existe"))</f>
        <v/>
      </c>
      <c r="D2862" s="19" t="n"/>
      <c r="E2862" s="19" t="n"/>
      <c r="F2862" s="16">
        <f>IF(OR(B2862="",D2862=""),"",IFERROR(INDEX('Tabla XP'!$B$2:$B$12,MATCH(D2862,'Tabla XP'!$A$2:$A$12,0))*IF(E2862="",1,E2862),0))</f>
        <v/>
      </c>
      <c r="G2862" s="19" t="n"/>
      <c r="H2862" s="19" t="n"/>
    </row>
    <row r="2863">
      <c r="A2863" s="22" t="n"/>
      <c r="B2863" s="19" t="n"/>
      <c r="C2863" s="18">
        <f>IF(B2863="","",IFERROR(INDEX(Jugadores!$C$2:$C$501,MATCH(B2863,Jugadores!$A$2:$A$501,0)),"⚠ ID no existe"))</f>
        <v/>
      </c>
      <c r="D2863" s="19" t="n"/>
      <c r="E2863" s="19" t="n"/>
      <c r="F2863" s="16">
        <f>IF(OR(B2863="",D2863=""),"",IFERROR(INDEX('Tabla XP'!$B$2:$B$12,MATCH(D2863,'Tabla XP'!$A$2:$A$12,0))*IF(E2863="",1,E2863),0))</f>
        <v/>
      </c>
      <c r="G2863" s="19" t="n"/>
      <c r="H2863" s="19" t="n"/>
    </row>
    <row r="2864">
      <c r="A2864" s="22" t="n"/>
      <c r="B2864" s="19" t="n"/>
      <c r="C2864" s="18">
        <f>IF(B2864="","",IFERROR(INDEX(Jugadores!$C$2:$C$501,MATCH(B2864,Jugadores!$A$2:$A$501,0)),"⚠ ID no existe"))</f>
        <v/>
      </c>
      <c r="D2864" s="19" t="n"/>
      <c r="E2864" s="19" t="n"/>
      <c r="F2864" s="16">
        <f>IF(OR(B2864="",D2864=""),"",IFERROR(INDEX('Tabla XP'!$B$2:$B$12,MATCH(D2864,'Tabla XP'!$A$2:$A$12,0))*IF(E2864="",1,E2864),0))</f>
        <v/>
      </c>
      <c r="G2864" s="19" t="n"/>
      <c r="H2864" s="19" t="n"/>
    </row>
    <row r="2865">
      <c r="A2865" s="22" t="n"/>
      <c r="B2865" s="19" t="n"/>
      <c r="C2865" s="18">
        <f>IF(B2865="","",IFERROR(INDEX(Jugadores!$C$2:$C$501,MATCH(B2865,Jugadores!$A$2:$A$501,0)),"⚠ ID no existe"))</f>
        <v/>
      </c>
      <c r="D2865" s="19" t="n"/>
      <c r="E2865" s="19" t="n"/>
      <c r="F2865" s="16">
        <f>IF(OR(B2865="",D2865=""),"",IFERROR(INDEX('Tabla XP'!$B$2:$B$12,MATCH(D2865,'Tabla XP'!$A$2:$A$12,0))*IF(E2865="",1,E2865),0))</f>
        <v/>
      </c>
      <c r="G2865" s="19" t="n"/>
      <c r="H2865" s="19" t="n"/>
    </row>
    <row r="2866">
      <c r="A2866" s="22" t="n"/>
      <c r="B2866" s="19" t="n"/>
      <c r="C2866" s="18">
        <f>IF(B2866="","",IFERROR(INDEX(Jugadores!$C$2:$C$501,MATCH(B2866,Jugadores!$A$2:$A$501,0)),"⚠ ID no existe"))</f>
        <v/>
      </c>
      <c r="D2866" s="19" t="n"/>
      <c r="E2866" s="19" t="n"/>
      <c r="F2866" s="16">
        <f>IF(OR(B2866="",D2866=""),"",IFERROR(INDEX('Tabla XP'!$B$2:$B$12,MATCH(D2866,'Tabla XP'!$A$2:$A$12,0))*IF(E2866="",1,E2866),0))</f>
        <v/>
      </c>
      <c r="G2866" s="19" t="n"/>
      <c r="H2866" s="19" t="n"/>
    </row>
    <row r="2867">
      <c r="A2867" s="22" t="n"/>
      <c r="B2867" s="19" t="n"/>
      <c r="C2867" s="18">
        <f>IF(B2867="","",IFERROR(INDEX(Jugadores!$C$2:$C$501,MATCH(B2867,Jugadores!$A$2:$A$501,0)),"⚠ ID no existe"))</f>
        <v/>
      </c>
      <c r="D2867" s="19" t="n"/>
      <c r="E2867" s="19" t="n"/>
      <c r="F2867" s="16">
        <f>IF(OR(B2867="",D2867=""),"",IFERROR(INDEX('Tabla XP'!$B$2:$B$12,MATCH(D2867,'Tabla XP'!$A$2:$A$12,0))*IF(E2867="",1,E2867),0))</f>
        <v/>
      </c>
      <c r="G2867" s="19" t="n"/>
      <c r="H2867" s="19" t="n"/>
    </row>
    <row r="2868">
      <c r="A2868" s="22" t="n"/>
      <c r="B2868" s="19" t="n"/>
      <c r="C2868" s="18">
        <f>IF(B2868="","",IFERROR(INDEX(Jugadores!$C$2:$C$501,MATCH(B2868,Jugadores!$A$2:$A$501,0)),"⚠ ID no existe"))</f>
        <v/>
      </c>
      <c r="D2868" s="19" t="n"/>
      <c r="E2868" s="19" t="n"/>
      <c r="F2868" s="16">
        <f>IF(OR(B2868="",D2868=""),"",IFERROR(INDEX('Tabla XP'!$B$2:$B$12,MATCH(D2868,'Tabla XP'!$A$2:$A$12,0))*IF(E2868="",1,E2868),0))</f>
        <v/>
      </c>
      <c r="G2868" s="19" t="n"/>
      <c r="H2868" s="19" t="n"/>
    </row>
    <row r="2869">
      <c r="A2869" s="22" t="n"/>
      <c r="B2869" s="19" t="n"/>
      <c r="C2869" s="18">
        <f>IF(B2869="","",IFERROR(INDEX(Jugadores!$C$2:$C$501,MATCH(B2869,Jugadores!$A$2:$A$501,0)),"⚠ ID no existe"))</f>
        <v/>
      </c>
      <c r="D2869" s="19" t="n"/>
      <c r="E2869" s="19" t="n"/>
      <c r="F2869" s="16">
        <f>IF(OR(B2869="",D2869=""),"",IFERROR(INDEX('Tabla XP'!$B$2:$B$12,MATCH(D2869,'Tabla XP'!$A$2:$A$12,0))*IF(E2869="",1,E2869),0))</f>
        <v/>
      </c>
      <c r="G2869" s="19" t="n"/>
      <c r="H2869" s="19" t="n"/>
    </row>
    <row r="2870">
      <c r="A2870" s="22" t="n"/>
      <c r="B2870" s="19" t="n"/>
      <c r="C2870" s="18">
        <f>IF(B2870="","",IFERROR(INDEX(Jugadores!$C$2:$C$501,MATCH(B2870,Jugadores!$A$2:$A$501,0)),"⚠ ID no existe"))</f>
        <v/>
      </c>
      <c r="D2870" s="19" t="n"/>
      <c r="E2870" s="19" t="n"/>
      <c r="F2870" s="16">
        <f>IF(OR(B2870="",D2870=""),"",IFERROR(INDEX('Tabla XP'!$B$2:$B$12,MATCH(D2870,'Tabla XP'!$A$2:$A$12,0))*IF(E2870="",1,E2870),0))</f>
        <v/>
      </c>
      <c r="G2870" s="19" t="n"/>
      <c r="H2870" s="19" t="n"/>
    </row>
    <row r="2871">
      <c r="A2871" s="22" t="n"/>
      <c r="B2871" s="19" t="n"/>
      <c r="C2871" s="18">
        <f>IF(B2871="","",IFERROR(INDEX(Jugadores!$C$2:$C$501,MATCH(B2871,Jugadores!$A$2:$A$501,0)),"⚠ ID no existe"))</f>
        <v/>
      </c>
      <c r="D2871" s="19" t="n"/>
      <c r="E2871" s="19" t="n"/>
      <c r="F2871" s="16">
        <f>IF(OR(B2871="",D2871=""),"",IFERROR(INDEX('Tabla XP'!$B$2:$B$12,MATCH(D2871,'Tabla XP'!$A$2:$A$12,0))*IF(E2871="",1,E2871),0))</f>
        <v/>
      </c>
      <c r="G2871" s="19" t="n"/>
      <c r="H2871" s="19" t="n"/>
    </row>
    <row r="2872">
      <c r="A2872" s="22" t="n"/>
      <c r="B2872" s="19" t="n"/>
      <c r="C2872" s="18">
        <f>IF(B2872="","",IFERROR(INDEX(Jugadores!$C$2:$C$501,MATCH(B2872,Jugadores!$A$2:$A$501,0)),"⚠ ID no existe"))</f>
        <v/>
      </c>
      <c r="D2872" s="19" t="n"/>
      <c r="E2872" s="19" t="n"/>
      <c r="F2872" s="16">
        <f>IF(OR(B2872="",D2872=""),"",IFERROR(INDEX('Tabla XP'!$B$2:$B$12,MATCH(D2872,'Tabla XP'!$A$2:$A$12,0))*IF(E2872="",1,E2872),0))</f>
        <v/>
      </c>
      <c r="G2872" s="19" t="n"/>
      <c r="H2872" s="19" t="n"/>
    </row>
    <row r="2873">
      <c r="A2873" s="22" t="n"/>
      <c r="B2873" s="19" t="n"/>
      <c r="C2873" s="18">
        <f>IF(B2873="","",IFERROR(INDEX(Jugadores!$C$2:$C$501,MATCH(B2873,Jugadores!$A$2:$A$501,0)),"⚠ ID no existe"))</f>
        <v/>
      </c>
      <c r="D2873" s="19" t="n"/>
      <c r="E2873" s="19" t="n"/>
      <c r="F2873" s="16">
        <f>IF(OR(B2873="",D2873=""),"",IFERROR(INDEX('Tabla XP'!$B$2:$B$12,MATCH(D2873,'Tabla XP'!$A$2:$A$12,0))*IF(E2873="",1,E2873),0))</f>
        <v/>
      </c>
      <c r="G2873" s="19" t="n"/>
      <c r="H2873" s="19" t="n"/>
    </row>
    <row r="2874">
      <c r="A2874" s="22" t="n"/>
      <c r="B2874" s="19" t="n"/>
      <c r="C2874" s="18">
        <f>IF(B2874="","",IFERROR(INDEX(Jugadores!$C$2:$C$501,MATCH(B2874,Jugadores!$A$2:$A$501,0)),"⚠ ID no existe"))</f>
        <v/>
      </c>
      <c r="D2874" s="19" t="n"/>
      <c r="E2874" s="19" t="n"/>
      <c r="F2874" s="16">
        <f>IF(OR(B2874="",D2874=""),"",IFERROR(INDEX('Tabla XP'!$B$2:$B$12,MATCH(D2874,'Tabla XP'!$A$2:$A$12,0))*IF(E2874="",1,E2874),0))</f>
        <v/>
      </c>
      <c r="G2874" s="19" t="n"/>
      <c r="H2874" s="19" t="n"/>
    </row>
    <row r="2875">
      <c r="A2875" s="22" t="n"/>
      <c r="B2875" s="19" t="n"/>
      <c r="C2875" s="18">
        <f>IF(B2875="","",IFERROR(INDEX(Jugadores!$C$2:$C$501,MATCH(B2875,Jugadores!$A$2:$A$501,0)),"⚠ ID no existe"))</f>
        <v/>
      </c>
      <c r="D2875" s="19" t="n"/>
      <c r="E2875" s="19" t="n"/>
      <c r="F2875" s="16">
        <f>IF(OR(B2875="",D2875=""),"",IFERROR(INDEX('Tabla XP'!$B$2:$B$12,MATCH(D2875,'Tabla XP'!$A$2:$A$12,0))*IF(E2875="",1,E2875),0))</f>
        <v/>
      </c>
      <c r="G2875" s="19" t="n"/>
      <c r="H2875" s="19" t="n"/>
    </row>
    <row r="2876">
      <c r="A2876" s="22" t="n"/>
      <c r="B2876" s="19" t="n"/>
      <c r="C2876" s="18">
        <f>IF(B2876="","",IFERROR(INDEX(Jugadores!$C$2:$C$501,MATCH(B2876,Jugadores!$A$2:$A$501,0)),"⚠ ID no existe"))</f>
        <v/>
      </c>
      <c r="D2876" s="19" t="n"/>
      <c r="E2876" s="19" t="n"/>
      <c r="F2876" s="16">
        <f>IF(OR(B2876="",D2876=""),"",IFERROR(INDEX('Tabla XP'!$B$2:$B$12,MATCH(D2876,'Tabla XP'!$A$2:$A$12,0))*IF(E2876="",1,E2876),0))</f>
        <v/>
      </c>
      <c r="G2876" s="19" t="n"/>
      <c r="H2876" s="19" t="n"/>
    </row>
    <row r="2877">
      <c r="A2877" s="22" t="n"/>
      <c r="B2877" s="19" t="n"/>
      <c r="C2877" s="18">
        <f>IF(B2877="","",IFERROR(INDEX(Jugadores!$C$2:$C$501,MATCH(B2877,Jugadores!$A$2:$A$501,0)),"⚠ ID no existe"))</f>
        <v/>
      </c>
      <c r="D2877" s="19" t="n"/>
      <c r="E2877" s="19" t="n"/>
      <c r="F2877" s="16">
        <f>IF(OR(B2877="",D2877=""),"",IFERROR(INDEX('Tabla XP'!$B$2:$B$12,MATCH(D2877,'Tabla XP'!$A$2:$A$12,0))*IF(E2877="",1,E2877),0))</f>
        <v/>
      </c>
      <c r="G2877" s="19" t="n"/>
      <c r="H2877" s="19" t="n"/>
    </row>
    <row r="2878">
      <c r="A2878" s="22" t="n"/>
      <c r="B2878" s="19" t="n"/>
      <c r="C2878" s="18">
        <f>IF(B2878="","",IFERROR(INDEX(Jugadores!$C$2:$C$501,MATCH(B2878,Jugadores!$A$2:$A$501,0)),"⚠ ID no existe"))</f>
        <v/>
      </c>
      <c r="D2878" s="19" t="n"/>
      <c r="E2878" s="19" t="n"/>
      <c r="F2878" s="16">
        <f>IF(OR(B2878="",D2878=""),"",IFERROR(INDEX('Tabla XP'!$B$2:$B$12,MATCH(D2878,'Tabla XP'!$A$2:$A$12,0))*IF(E2878="",1,E2878),0))</f>
        <v/>
      </c>
      <c r="G2878" s="19" t="n"/>
      <c r="H2878" s="19" t="n"/>
    </row>
    <row r="2879">
      <c r="A2879" s="22" t="n"/>
      <c r="B2879" s="19" t="n"/>
      <c r="C2879" s="18">
        <f>IF(B2879="","",IFERROR(INDEX(Jugadores!$C$2:$C$501,MATCH(B2879,Jugadores!$A$2:$A$501,0)),"⚠ ID no existe"))</f>
        <v/>
      </c>
      <c r="D2879" s="19" t="n"/>
      <c r="E2879" s="19" t="n"/>
      <c r="F2879" s="16">
        <f>IF(OR(B2879="",D2879=""),"",IFERROR(INDEX('Tabla XP'!$B$2:$B$12,MATCH(D2879,'Tabla XP'!$A$2:$A$12,0))*IF(E2879="",1,E2879),0))</f>
        <v/>
      </c>
      <c r="G2879" s="19" t="n"/>
      <c r="H2879" s="19" t="n"/>
    </row>
    <row r="2880">
      <c r="A2880" s="22" t="n"/>
      <c r="B2880" s="19" t="n"/>
      <c r="C2880" s="18">
        <f>IF(B2880="","",IFERROR(INDEX(Jugadores!$C$2:$C$501,MATCH(B2880,Jugadores!$A$2:$A$501,0)),"⚠ ID no existe"))</f>
        <v/>
      </c>
      <c r="D2880" s="19" t="n"/>
      <c r="E2880" s="19" t="n"/>
      <c r="F2880" s="16">
        <f>IF(OR(B2880="",D2880=""),"",IFERROR(INDEX('Tabla XP'!$B$2:$B$12,MATCH(D2880,'Tabla XP'!$A$2:$A$12,0))*IF(E2880="",1,E2880),0))</f>
        <v/>
      </c>
      <c r="G2880" s="19" t="n"/>
      <c r="H2880" s="19" t="n"/>
    </row>
    <row r="2881">
      <c r="A2881" s="22" t="n"/>
      <c r="B2881" s="19" t="n"/>
      <c r="C2881" s="18">
        <f>IF(B2881="","",IFERROR(INDEX(Jugadores!$C$2:$C$501,MATCH(B2881,Jugadores!$A$2:$A$501,0)),"⚠ ID no existe"))</f>
        <v/>
      </c>
      <c r="D2881" s="19" t="n"/>
      <c r="E2881" s="19" t="n"/>
      <c r="F2881" s="16">
        <f>IF(OR(B2881="",D2881=""),"",IFERROR(INDEX('Tabla XP'!$B$2:$B$12,MATCH(D2881,'Tabla XP'!$A$2:$A$12,0))*IF(E2881="",1,E2881),0))</f>
        <v/>
      </c>
      <c r="G2881" s="19" t="n"/>
      <c r="H2881" s="19" t="n"/>
    </row>
    <row r="2882">
      <c r="A2882" s="22" t="n"/>
      <c r="B2882" s="19" t="n"/>
      <c r="C2882" s="18">
        <f>IF(B2882="","",IFERROR(INDEX(Jugadores!$C$2:$C$501,MATCH(B2882,Jugadores!$A$2:$A$501,0)),"⚠ ID no existe"))</f>
        <v/>
      </c>
      <c r="D2882" s="19" t="n"/>
      <c r="E2882" s="19" t="n"/>
      <c r="F2882" s="16">
        <f>IF(OR(B2882="",D2882=""),"",IFERROR(INDEX('Tabla XP'!$B$2:$B$12,MATCH(D2882,'Tabla XP'!$A$2:$A$12,0))*IF(E2882="",1,E2882),0))</f>
        <v/>
      </c>
      <c r="G2882" s="19" t="n"/>
      <c r="H2882" s="19" t="n"/>
    </row>
    <row r="2883">
      <c r="A2883" s="22" t="n"/>
      <c r="B2883" s="19" t="n"/>
      <c r="C2883" s="18">
        <f>IF(B2883="","",IFERROR(INDEX(Jugadores!$C$2:$C$501,MATCH(B2883,Jugadores!$A$2:$A$501,0)),"⚠ ID no existe"))</f>
        <v/>
      </c>
      <c r="D2883" s="19" t="n"/>
      <c r="E2883" s="19" t="n"/>
      <c r="F2883" s="16">
        <f>IF(OR(B2883="",D2883=""),"",IFERROR(INDEX('Tabla XP'!$B$2:$B$12,MATCH(D2883,'Tabla XP'!$A$2:$A$12,0))*IF(E2883="",1,E2883),0))</f>
        <v/>
      </c>
      <c r="G2883" s="19" t="n"/>
      <c r="H2883" s="19" t="n"/>
    </row>
    <row r="2884">
      <c r="A2884" s="22" t="n"/>
      <c r="B2884" s="19" t="n"/>
      <c r="C2884" s="18">
        <f>IF(B2884="","",IFERROR(INDEX(Jugadores!$C$2:$C$501,MATCH(B2884,Jugadores!$A$2:$A$501,0)),"⚠ ID no existe"))</f>
        <v/>
      </c>
      <c r="D2884" s="19" t="n"/>
      <c r="E2884" s="19" t="n"/>
      <c r="F2884" s="16">
        <f>IF(OR(B2884="",D2884=""),"",IFERROR(INDEX('Tabla XP'!$B$2:$B$12,MATCH(D2884,'Tabla XP'!$A$2:$A$12,0))*IF(E2884="",1,E2884),0))</f>
        <v/>
      </c>
      <c r="G2884" s="19" t="n"/>
      <c r="H2884" s="19" t="n"/>
    </row>
    <row r="2885">
      <c r="A2885" s="22" t="n"/>
      <c r="B2885" s="19" t="n"/>
      <c r="C2885" s="18">
        <f>IF(B2885="","",IFERROR(INDEX(Jugadores!$C$2:$C$501,MATCH(B2885,Jugadores!$A$2:$A$501,0)),"⚠ ID no existe"))</f>
        <v/>
      </c>
      <c r="D2885" s="19" t="n"/>
      <c r="E2885" s="19" t="n"/>
      <c r="F2885" s="16">
        <f>IF(OR(B2885="",D2885=""),"",IFERROR(INDEX('Tabla XP'!$B$2:$B$12,MATCH(D2885,'Tabla XP'!$A$2:$A$12,0))*IF(E2885="",1,E2885),0))</f>
        <v/>
      </c>
      <c r="G2885" s="19" t="n"/>
      <c r="H2885" s="19" t="n"/>
    </row>
    <row r="2886">
      <c r="A2886" s="22" t="n"/>
      <c r="B2886" s="19" t="n"/>
      <c r="C2886" s="18">
        <f>IF(B2886="","",IFERROR(INDEX(Jugadores!$C$2:$C$501,MATCH(B2886,Jugadores!$A$2:$A$501,0)),"⚠ ID no existe"))</f>
        <v/>
      </c>
      <c r="D2886" s="19" t="n"/>
      <c r="E2886" s="19" t="n"/>
      <c r="F2886" s="16">
        <f>IF(OR(B2886="",D2886=""),"",IFERROR(INDEX('Tabla XP'!$B$2:$B$12,MATCH(D2886,'Tabla XP'!$A$2:$A$12,0))*IF(E2886="",1,E2886),0))</f>
        <v/>
      </c>
      <c r="G2886" s="19" t="n"/>
      <c r="H2886" s="19" t="n"/>
    </row>
    <row r="2887">
      <c r="A2887" s="22" t="n"/>
      <c r="B2887" s="19" t="n"/>
      <c r="C2887" s="18">
        <f>IF(B2887="","",IFERROR(INDEX(Jugadores!$C$2:$C$501,MATCH(B2887,Jugadores!$A$2:$A$501,0)),"⚠ ID no existe"))</f>
        <v/>
      </c>
      <c r="D2887" s="19" t="n"/>
      <c r="E2887" s="19" t="n"/>
      <c r="F2887" s="16">
        <f>IF(OR(B2887="",D2887=""),"",IFERROR(INDEX('Tabla XP'!$B$2:$B$12,MATCH(D2887,'Tabla XP'!$A$2:$A$12,0))*IF(E2887="",1,E2887),0))</f>
        <v/>
      </c>
      <c r="G2887" s="19" t="n"/>
      <c r="H2887" s="19" t="n"/>
    </row>
    <row r="2888">
      <c r="A2888" s="22" t="n"/>
      <c r="B2888" s="19" t="n"/>
      <c r="C2888" s="18">
        <f>IF(B2888="","",IFERROR(INDEX(Jugadores!$C$2:$C$501,MATCH(B2888,Jugadores!$A$2:$A$501,0)),"⚠ ID no existe"))</f>
        <v/>
      </c>
      <c r="D2888" s="19" t="n"/>
      <c r="E2888" s="19" t="n"/>
      <c r="F2888" s="16">
        <f>IF(OR(B2888="",D2888=""),"",IFERROR(INDEX('Tabla XP'!$B$2:$B$12,MATCH(D2888,'Tabla XP'!$A$2:$A$12,0))*IF(E2888="",1,E2888),0))</f>
        <v/>
      </c>
      <c r="G2888" s="19" t="n"/>
      <c r="H2888" s="19" t="n"/>
    </row>
    <row r="2889">
      <c r="A2889" s="22" t="n"/>
      <c r="B2889" s="19" t="n"/>
      <c r="C2889" s="18">
        <f>IF(B2889="","",IFERROR(INDEX(Jugadores!$C$2:$C$501,MATCH(B2889,Jugadores!$A$2:$A$501,0)),"⚠ ID no existe"))</f>
        <v/>
      </c>
      <c r="D2889" s="19" t="n"/>
      <c r="E2889" s="19" t="n"/>
      <c r="F2889" s="16">
        <f>IF(OR(B2889="",D2889=""),"",IFERROR(INDEX('Tabla XP'!$B$2:$B$12,MATCH(D2889,'Tabla XP'!$A$2:$A$12,0))*IF(E2889="",1,E2889),0))</f>
        <v/>
      </c>
      <c r="G2889" s="19" t="n"/>
      <c r="H2889" s="19" t="n"/>
    </row>
    <row r="2890">
      <c r="A2890" s="22" t="n"/>
      <c r="B2890" s="19" t="n"/>
      <c r="C2890" s="18">
        <f>IF(B2890="","",IFERROR(INDEX(Jugadores!$C$2:$C$501,MATCH(B2890,Jugadores!$A$2:$A$501,0)),"⚠ ID no existe"))</f>
        <v/>
      </c>
      <c r="D2890" s="19" t="n"/>
      <c r="E2890" s="19" t="n"/>
      <c r="F2890" s="16">
        <f>IF(OR(B2890="",D2890=""),"",IFERROR(INDEX('Tabla XP'!$B$2:$B$12,MATCH(D2890,'Tabla XP'!$A$2:$A$12,0))*IF(E2890="",1,E2890),0))</f>
        <v/>
      </c>
      <c r="G2890" s="19" t="n"/>
      <c r="H2890" s="19" t="n"/>
    </row>
    <row r="2891">
      <c r="A2891" s="22" t="n"/>
      <c r="B2891" s="19" t="n"/>
      <c r="C2891" s="18">
        <f>IF(B2891="","",IFERROR(INDEX(Jugadores!$C$2:$C$501,MATCH(B2891,Jugadores!$A$2:$A$501,0)),"⚠ ID no existe"))</f>
        <v/>
      </c>
      <c r="D2891" s="19" t="n"/>
      <c r="E2891" s="19" t="n"/>
      <c r="F2891" s="16">
        <f>IF(OR(B2891="",D2891=""),"",IFERROR(INDEX('Tabla XP'!$B$2:$B$12,MATCH(D2891,'Tabla XP'!$A$2:$A$12,0))*IF(E2891="",1,E2891),0))</f>
        <v/>
      </c>
      <c r="G2891" s="19" t="n"/>
      <c r="H2891" s="19" t="n"/>
    </row>
    <row r="2892">
      <c r="A2892" s="22" t="n"/>
      <c r="B2892" s="19" t="n"/>
      <c r="C2892" s="18">
        <f>IF(B2892="","",IFERROR(INDEX(Jugadores!$C$2:$C$501,MATCH(B2892,Jugadores!$A$2:$A$501,0)),"⚠ ID no existe"))</f>
        <v/>
      </c>
      <c r="D2892" s="19" t="n"/>
      <c r="E2892" s="19" t="n"/>
      <c r="F2892" s="16">
        <f>IF(OR(B2892="",D2892=""),"",IFERROR(INDEX('Tabla XP'!$B$2:$B$12,MATCH(D2892,'Tabla XP'!$A$2:$A$12,0))*IF(E2892="",1,E2892),0))</f>
        <v/>
      </c>
      <c r="G2892" s="19" t="n"/>
      <c r="H2892" s="19" t="n"/>
    </row>
    <row r="2893">
      <c r="A2893" s="22" t="n"/>
      <c r="B2893" s="19" t="n"/>
      <c r="C2893" s="18">
        <f>IF(B2893="","",IFERROR(INDEX(Jugadores!$C$2:$C$501,MATCH(B2893,Jugadores!$A$2:$A$501,0)),"⚠ ID no existe"))</f>
        <v/>
      </c>
      <c r="D2893" s="19" t="n"/>
      <c r="E2893" s="19" t="n"/>
      <c r="F2893" s="16">
        <f>IF(OR(B2893="",D2893=""),"",IFERROR(INDEX('Tabla XP'!$B$2:$B$12,MATCH(D2893,'Tabla XP'!$A$2:$A$12,0))*IF(E2893="",1,E2893),0))</f>
        <v/>
      </c>
      <c r="G2893" s="19" t="n"/>
      <c r="H2893" s="19" t="n"/>
    </row>
    <row r="2894">
      <c r="A2894" s="22" t="n"/>
      <c r="B2894" s="19" t="n"/>
      <c r="C2894" s="18">
        <f>IF(B2894="","",IFERROR(INDEX(Jugadores!$C$2:$C$501,MATCH(B2894,Jugadores!$A$2:$A$501,0)),"⚠ ID no existe"))</f>
        <v/>
      </c>
      <c r="D2894" s="19" t="n"/>
      <c r="E2894" s="19" t="n"/>
      <c r="F2894" s="16">
        <f>IF(OR(B2894="",D2894=""),"",IFERROR(INDEX('Tabla XP'!$B$2:$B$12,MATCH(D2894,'Tabla XP'!$A$2:$A$12,0))*IF(E2894="",1,E2894),0))</f>
        <v/>
      </c>
      <c r="G2894" s="19" t="n"/>
      <c r="H2894" s="19" t="n"/>
    </row>
    <row r="2895">
      <c r="A2895" s="22" t="n"/>
      <c r="B2895" s="19" t="n"/>
      <c r="C2895" s="18">
        <f>IF(B2895="","",IFERROR(INDEX(Jugadores!$C$2:$C$501,MATCH(B2895,Jugadores!$A$2:$A$501,0)),"⚠ ID no existe"))</f>
        <v/>
      </c>
      <c r="D2895" s="19" t="n"/>
      <c r="E2895" s="19" t="n"/>
      <c r="F2895" s="16">
        <f>IF(OR(B2895="",D2895=""),"",IFERROR(INDEX('Tabla XP'!$B$2:$B$12,MATCH(D2895,'Tabla XP'!$A$2:$A$12,0))*IF(E2895="",1,E2895),0))</f>
        <v/>
      </c>
      <c r="G2895" s="19" t="n"/>
      <c r="H2895" s="19" t="n"/>
    </row>
    <row r="2896">
      <c r="A2896" s="22" t="n"/>
      <c r="B2896" s="19" t="n"/>
      <c r="C2896" s="18">
        <f>IF(B2896="","",IFERROR(INDEX(Jugadores!$C$2:$C$501,MATCH(B2896,Jugadores!$A$2:$A$501,0)),"⚠ ID no existe"))</f>
        <v/>
      </c>
      <c r="D2896" s="19" t="n"/>
      <c r="E2896" s="19" t="n"/>
      <c r="F2896" s="16">
        <f>IF(OR(B2896="",D2896=""),"",IFERROR(INDEX('Tabla XP'!$B$2:$B$12,MATCH(D2896,'Tabla XP'!$A$2:$A$12,0))*IF(E2896="",1,E2896),0))</f>
        <v/>
      </c>
      <c r="G2896" s="19" t="n"/>
      <c r="H2896" s="19" t="n"/>
    </row>
    <row r="2897">
      <c r="A2897" s="22" t="n"/>
      <c r="B2897" s="19" t="n"/>
      <c r="C2897" s="18">
        <f>IF(B2897="","",IFERROR(INDEX(Jugadores!$C$2:$C$501,MATCH(B2897,Jugadores!$A$2:$A$501,0)),"⚠ ID no existe"))</f>
        <v/>
      </c>
      <c r="D2897" s="19" t="n"/>
      <c r="E2897" s="19" t="n"/>
      <c r="F2897" s="16">
        <f>IF(OR(B2897="",D2897=""),"",IFERROR(INDEX('Tabla XP'!$B$2:$B$12,MATCH(D2897,'Tabla XP'!$A$2:$A$12,0))*IF(E2897="",1,E2897),0))</f>
        <v/>
      </c>
      <c r="G2897" s="19" t="n"/>
      <c r="H2897" s="19" t="n"/>
    </row>
    <row r="2898">
      <c r="A2898" s="22" t="n"/>
      <c r="B2898" s="19" t="n"/>
      <c r="C2898" s="18">
        <f>IF(B2898="","",IFERROR(INDEX(Jugadores!$C$2:$C$501,MATCH(B2898,Jugadores!$A$2:$A$501,0)),"⚠ ID no existe"))</f>
        <v/>
      </c>
      <c r="D2898" s="19" t="n"/>
      <c r="E2898" s="19" t="n"/>
      <c r="F2898" s="16">
        <f>IF(OR(B2898="",D2898=""),"",IFERROR(INDEX('Tabla XP'!$B$2:$B$12,MATCH(D2898,'Tabla XP'!$A$2:$A$12,0))*IF(E2898="",1,E2898),0))</f>
        <v/>
      </c>
      <c r="G2898" s="19" t="n"/>
      <c r="H2898" s="19" t="n"/>
    </row>
    <row r="2899">
      <c r="A2899" s="22" t="n"/>
      <c r="B2899" s="19" t="n"/>
      <c r="C2899" s="18">
        <f>IF(B2899="","",IFERROR(INDEX(Jugadores!$C$2:$C$501,MATCH(B2899,Jugadores!$A$2:$A$501,0)),"⚠ ID no existe"))</f>
        <v/>
      </c>
      <c r="D2899" s="19" t="n"/>
      <c r="E2899" s="19" t="n"/>
      <c r="F2899" s="16">
        <f>IF(OR(B2899="",D2899=""),"",IFERROR(INDEX('Tabla XP'!$B$2:$B$12,MATCH(D2899,'Tabla XP'!$A$2:$A$12,0))*IF(E2899="",1,E2899),0))</f>
        <v/>
      </c>
      <c r="G2899" s="19" t="n"/>
      <c r="H2899" s="19" t="n"/>
    </row>
    <row r="2900">
      <c r="A2900" s="22" t="n"/>
      <c r="B2900" s="19" t="n"/>
      <c r="C2900" s="18">
        <f>IF(B2900="","",IFERROR(INDEX(Jugadores!$C$2:$C$501,MATCH(B2900,Jugadores!$A$2:$A$501,0)),"⚠ ID no existe"))</f>
        <v/>
      </c>
      <c r="D2900" s="19" t="n"/>
      <c r="E2900" s="19" t="n"/>
      <c r="F2900" s="16">
        <f>IF(OR(B2900="",D2900=""),"",IFERROR(INDEX('Tabla XP'!$B$2:$B$12,MATCH(D2900,'Tabla XP'!$A$2:$A$12,0))*IF(E2900="",1,E2900),0))</f>
        <v/>
      </c>
      <c r="G2900" s="19" t="n"/>
      <c r="H2900" s="19" t="n"/>
    </row>
    <row r="2901">
      <c r="A2901" s="22" t="n"/>
      <c r="B2901" s="19" t="n"/>
      <c r="C2901" s="18">
        <f>IF(B2901="","",IFERROR(INDEX(Jugadores!$C$2:$C$501,MATCH(B2901,Jugadores!$A$2:$A$501,0)),"⚠ ID no existe"))</f>
        <v/>
      </c>
      <c r="D2901" s="19" t="n"/>
      <c r="E2901" s="19" t="n"/>
      <c r="F2901" s="16">
        <f>IF(OR(B2901="",D2901=""),"",IFERROR(INDEX('Tabla XP'!$B$2:$B$12,MATCH(D2901,'Tabla XP'!$A$2:$A$12,0))*IF(E2901="",1,E2901),0))</f>
        <v/>
      </c>
      <c r="G2901" s="19" t="n"/>
      <c r="H2901" s="19" t="n"/>
    </row>
    <row r="2902">
      <c r="A2902" s="22" t="n"/>
      <c r="B2902" s="19" t="n"/>
      <c r="C2902" s="18">
        <f>IF(B2902="","",IFERROR(INDEX(Jugadores!$C$2:$C$501,MATCH(B2902,Jugadores!$A$2:$A$501,0)),"⚠ ID no existe"))</f>
        <v/>
      </c>
      <c r="D2902" s="19" t="n"/>
      <c r="E2902" s="19" t="n"/>
      <c r="F2902" s="16">
        <f>IF(OR(B2902="",D2902=""),"",IFERROR(INDEX('Tabla XP'!$B$2:$B$12,MATCH(D2902,'Tabla XP'!$A$2:$A$12,0))*IF(E2902="",1,E2902),0))</f>
        <v/>
      </c>
      <c r="G2902" s="19" t="n"/>
      <c r="H2902" s="19" t="n"/>
    </row>
    <row r="2903">
      <c r="A2903" s="22" t="n"/>
      <c r="B2903" s="19" t="n"/>
      <c r="C2903" s="18">
        <f>IF(B2903="","",IFERROR(INDEX(Jugadores!$C$2:$C$501,MATCH(B2903,Jugadores!$A$2:$A$501,0)),"⚠ ID no existe"))</f>
        <v/>
      </c>
      <c r="D2903" s="19" t="n"/>
      <c r="E2903" s="19" t="n"/>
      <c r="F2903" s="16">
        <f>IF(OR(B2903="",D2903=""),"",IFERROR(INDEX('Tabla XP'!$B$2:$B$12,MATCH(D2903,'Tabla XP'!$A$2:$A$12,0))*IF(E2903="",1,E2903),0))</f>
        <v/>
      </c>
      <c r="G2903" s="19" t="n"/>
      <c r="H2903" s="19" t="n"/>
    </row>
    <row r="2904">
      <c r="A2904" s="22" t="n"/>
      <c r="B2904" s="19" t="n"/>
      <c r="C2904" s="18">
        <f>IF(B2904="","",IFERROR(INDEX(Jugadores!$C$2:$C$501,MATCH(B2904,Jugadores!$A$2:$A$501,0)),"⚠ ID no existe"))</f>
        <v/>
      </c>
      <c r="D2904" s="19" t="n"/>
      <c r="E2904" s="19" t="n"/>
      <c r="F2904" s="16">
        <f>IF(OR(B2904="",D2904=""),"",IFERROR(INDEX('Tabla XP'!$B$2:$B$12,MATCH(D2904,'Tabla XP'!$A$2:$A$12,0))*IF(E2904="",1,E2904),0))</f>
        <v/>
      </c>
      <c r="G2904" s="19" t="n"/>
      <c r="H2904" s="19" t="n"/>
    </row>
    <row r="2905">
      <c r="A2905" s="22" t="n"/>
      <c r="B2905" s="19" t="n"/>
      <c r="C2905" s="18">
        <f>IF(B2905="","",IFERROR(INDEX(Jugadores!$C$2:$C$501,MATCH(B2905,Jugadores!$A$2:$A$501,0)),"⚠ ID no existe"))</f>
        <v/>
      </c>
      <c r="D2905" s="19" t="n"/>
      <c r="E2905" s="19" t="n"/>
      <c r="F2905" s="16">
        <f>IF(OR(B2905="",D2905=""),"",IFERROR(INDEX('Tabla XP'!$B$2:$B$12,MATCH(D2905,'Tabla XP'!$A$2:$A$12,0))*IF(E2905="",1,E2905),0))</f>
        <v/>
      </c>
      <c r="G2905" s="19" t="n"/>
      <c r="H2905" s="19" t="n"/>
    </row>
    <row r="2906">
      <c r="A2906" s="22" t="n"/>
      <c r="B2906" s="19" t="n"/>
      <c r="C2906" s="18">
        <f>IF(B2906="","",IFERROR(INDEX(Jugadores!$C$2:$C$501,MATCH(B2906,Jugadores!$A$2:$A$501,0)),"⚠ ID no existe"))</f>
        <v/>
      </c>
      <c r="D2906" s="19" t="n"/>
      <c r="E2906" s="19" t="n"/>
      <c r="F2906" s="16">
        <f>IF(OR(B2906="",D2906=""),"",IFERROR(INDEX('Tabla XP'!$B$2:$B$12,MATCH(D2906,'Tabla XP'!$A$2:$A$12,0))*IF(E2906="",1,E2906),0))</f>
        <v/>
      </c>
      <c r="G2906" s="19" t="n"/>
      <c r="H2906" s="19" t="n"/>
    </row>
    <row r="2907">
      <c r="A2907" s="22" t="n"/>
      <c r="B2907" s="19" t="n"/>
      <c r="C2907" s="18">
        <f>IF(B2907="","",IFERROR(INDEX(Jugadores!$C$2:$C$501,MATCH(B2907,Jugadores!$A$2:$A$501,0)),"⚠ ID no existe"))</f>
        <v/>
      </c>
      <c r="D2907" s="19" t="n"/>
      <c r="E2907" s="19" t="n"/>
      <c r="F2907" s="16">
        <f>IF(OR(B2907="",D2907=""),"",IFERROR(INDEX('Tabla XP'!$B$2:$B$12,MATCH(D2907,'Tabla XP'!$A$2:$A$12,0))*IF(E2907="",1,E2907),0))</f>
        <v/>
      </c>
      <c r="G2907" s="19" t="n"/>
      <c r="H2907" s="19" t="n"/>
    </row>
    <row r="2908">
      <c r="A2908" s="22" t="n"/>
      <c r="B2908" s="19" t="n"/>
      <c r="C2908" s="18">
        <f>IF(B2908="","",IFERROR(INDEX(Jugadores!$C$2:$C$501,MATCH(B2908,Jugadores!$A$2:$A$501,0)),"⚠ ID no existe"))</f>
        <v/>
      </c>
      <c r="D2908" s="19" t="n"/>
      <c r="E2908" s="19" t="n"/>
      <c r="F2908" s="16">
        <f>IF(OR(B2908="",D2908=""),"",IFERROR(INDEX('Tabla XP'!$B$2:$B$12,MATCH(D2908,'Tabla XP'!$A$2:$A$12,0))*IF(E2908="",1,E2908),0))</f>
        <v/>
      </c>
      <c r="G2908" s="19" t="n"/>
      <c r="H2908" s="19" t="n"/>
    </row>
    <row r="2909">
      <c r="A2909" s="22" t="n"/>
      <c r="B2909" s="19" t="n"/>
      <c r="C2909" s="18">
        <f>IF(B2909="","",IFERROR(INDEX(Jugadores!$C$2:$C$501,MATCH(B2909,Jugadores!$A$2:$A$501,0)),"⚠ ID no existe"))</f>
        <v/>
      </c>
      <c r="D2909" s="19" t="n"/>
      <c r="E2909" s="19" t="n"/>
      <c r="F2909" s="16">
        <f>IF(OR(B2909="",D2909=""),"",IFERROR(INDEX('Tabla XP'!$B$2:$B$12,MATCH(D2909,'Tabla XP'!$A$2:$A$12,0))*IF(E2909="",1,E2909),0))</f>
        <v/>
      </c>
      <c r="G2909" s="19" t="n"/>
      <c r="H2909" s="19" t="n"/>
    </row>
    <row r="2910">
      <c r="A2910" s="22" t="n"/>
      <c r="B2910" s="19" t="n"/>
      <c r="C2910" s="18">
        <f>IF(B2910="","",IFERROR(INDEX(Jugadores!$C$2:$C$501,MATCH(B2910,Jugadores!$A$2:$A$501,0)),"⚠ ID no existe"))</f>
        <v/>
      </c>
      <c r="D2910" s="19" t="n"/>
      <c r="E2910" s="19" t="n"/>
      <c r="F2910" s="16">
        <f>IF(OR(B2910="",D2910=""),"",IFERROR(INDEX('Tabla XP'!$B$2:$B$12,MATCH(D2910,'Tabla XP'!$A$2:$A$12,0))*IF(E2910="",1,E2910),0))</f>
        <v/>
      </c>
      <c r="G2910" s="19" t="n"/>
      <c r="H2910" s="19" t="n"/>
    </row>
    <row r="2911">
      <c r="A2911" s="22" t="n"/>
      <c r="B2911" s="19" t="n"/>
      <c r="C2911" s="18">
        <f>IF(B2911="","",IFERROR(INDEX(Jugadores!$C$2:$C$501,MATCH(B2911,Jugadores!$A$2:$A$501,0)),"⚠ ID no existe"))</f>
        <v/>
      </c>
      <c r="D2911" s="19" t="n"/>
      <c r="E2911" s="19" t="n"/>
      <c r="F2911" s="16">
        <f>IF(OR(B2911="",D2911=""),"",IFERROR(INDEX('Tabla XP'!$B$2:$B$12,MATCH(D2911,'Tabla XP'!$A$2:$A$12,0))*IF(E2911="",1,E2911),0))</f>
        <v/>
      </c>
      <c r="G2911" s="19" t="n"/>
      <c r="H2911" s="19" t="n"/>
    </row>
    <row r="2912">
      <c r="A2912" s="22" t="n"/>
      <c r="B2912" s="19" t="n"/>
      <c r="C2912" s="18">
        <f>IF(B2912="","",IFERROR(INDEX(Jugadores!$C$2:$C$501,MATCH(B2912,Jugadores!$A$2:$A$501,0)),"⚠ ID no existe"))</f>
        <v/>
      </c>
      <c r="D2912" s="19" t="n"/>
      <c r="E2912" s="19" t="n"/>
      <c r="F2912" s="16">
        <f>IF(OR(B2912="",D2912=""),"",IFERROR(INDEX('Tabla XP'!$B$2:$B$12,MATCH(D2912,'Tabla XP'!$A$2:$A$12,0))*IF(E2912="",1,E2912),0))</f>
        <v/>
      </c>
      <c r="G2912" s="19" t="n"/>
      <c r="H2912" s="19" t="n"/>
    </row>
    <row r="2913">
      <c r="A2913" s="22" t="n"/>
      <c r="B2913" s="19" t="n"/>
      <c r="C2913" s="18">
        <f>IF(B2913="","",IFERROR(INDEX(Jugadores!$C$2:$C$501,MATCH(B2913,Jugadores!$A$2:$A$501,0)),"⚠ ID no existe"))</f>
        <v/>
      </c>
      <c r="D2913" s="19" t="n"/>
      <c r="E2913" s="19" t="n"/>
      <c r="F2913" s="16">
        <f>IF(OR(B2913="",D2913=""),"",IFERROR(INDEX('Tabla XP'!$B$2:$B$12,MATCH(D2913,'Tabla XP'!$A$2:$A$12,0))*IF(E2913="",1,E2913),0))</f>
        <v/>
      </c>
      <c r="G2913" s="19" t="n"/>
      <c r="H2913" s="19" t="n"/>
    </row>
    <row r="2914">
      <c r="A2914" s="22" t="n"/>
      <c r="B2914" s="19" t="n"/>
      <c r="C2914" s="18">
        <f>IF(B2914="","",IFERROR(INDEX(Jugadores!$C$2:$C$501,MATCH(B2914,Jugadores!$A$2:$A$501,0)),"⚠ ID no existe"))</f>
        <v/>
      </c>
      <c r="D2914" s="19" t="n"/>
      <c r="E2914" s="19" t="n"/>
      <c r="F2914" s="16">
        <f>IF(OR(B2914="",D2914=""),"",IFERROR(INDEX('Tabla XP'!$B$2:$B$12,MATCH(D2914,'Tabla XP'!$A$2:$A$12,0))*IF(E2914="",1,E2914),0))</f>
        <v/>
      </c>
      <c r="G2914" s="19" t="n"/>
      <c r="H2914" s="19" t="n"/>
    </row>
    <row r="2915">
      <c r="A2915" s="22" t="n"/>
      <c r="B2915" s="19" t="n"/>
      <c r="C2915" s="18">
        <f>IF(B2915="","",IFERROR(INDEX(Jugadores!$C$2:$C$501,MATCH(B2915,Jugadores!$A$2:$A$501,0)),"⚠ ID no existe"))</f>
        <v/>
      </c>
      <c r="D2915" s="19" t="n"/>
      <c r="E2915" s="19" t="n"/>
      <c r="F2915" s="16">
        <f>IF(OR(B2915="",D2915=""),"",IFERROR(INDEX('Tabla XP'!$B$2:$B$12,MATCH(D2915,'Tabla XP'!$A$2:$A$12,0))*IF(E2915="",1,E2915),0))</f>
        <v/>
      </c>
      <c r="G2915" s="19" t="n"/>
      <c r="H2915" s="19" t="n"/>
    </row>
    <row r="2916">
      <c r="A2916" s="22" t="n"/>
      <c r="B2916" s="19" t="n"/>
      <c r="C2916" s="18">
        <f>IF(B2916="","",IFERROR(INDEX(Jugadores!$C$2:$C$501,MATCH(B2916,Jugadores!$A$2:$A$501,0)),"⚠ ID no existe"))</f>
        <v/>
      </c>
      <c r="D2916" s="19" t="n"/>
      <c r="E2916" s="19" t="n"/>
      <c r="F2916" s="16">
        <f>IF(OR(B2916="",D2916=""),"",IFERROR(INDEX('Tabla XP'!$B$2:$B$12,MATCH(D2916,'Tabla XP'!$A$2:$A$12,0))*IF(E2916="",1,E2916),0))</f>
        <v/>
      </c>
      <c r="G2916" s="19" t="n"/>
      <c r="H2916" s="19" t="n"/>
    </row>
    <row r="2917">
      <c r="A2917" s="22" t="n"/>
      <c r="B2917" s="19" t="n"/>
      <c r="C2917" s="18">
        <f>IF(B2917="","",IFERROR(INDEX(Jugadores!$C$2:$C$501,MATCH(B2917,Jugadores!$A$2:$A$501,0)),"⚠ ID no existe"))</f>
        <v/>
      </c>
      <c r="D2917" s="19" t="n"/>
      <c r="E2917" s="19" t="n"/>
      <c r="F2917" s="16">
        <f>IF(OR(B2917="",D2917=""),"",IFERROR(INDEX('Tabla XP'!$B$2:$B$12,MATCH(D2917,'Tabla XP'!$A$2:$A$12,0))*IF(E2917="",1,E2917),0))</f>
        <v/>
      </c>
      <c r="G2917" s="19" t="n"/>
      <c r="H2917" s="19" t="n"/>
    </row>
    <row r="2918">
      <c r="A2918" s="22" t="n"/>
      <c r="B2918" s="19" t="n"/>
      <c r="C2918" s="18">
        <f>IF(B2918="","",IFERROR(INDEX(Jugadores!$C$2:$C$501,MATCH(B2918,Jugadores!$A$2:$A$501,0)),"⚠ ID no existe"))</f>
        <v/>
      </c>
      <c r="D2918" s="19" t="n"/>
      <c r="E2918" s="19" t="n"/>
      <c r="F2918" s="16">
        <f>IF(OR(B2918="",D2918=""),"",IFERROR(INDEX('Tabla XP'!$B$2:$B$12,MATCH(D2918,'Tabla XP'!$A$2:$A$12,0))*IF(E2918="",1,E2918),0))</f>
        <v/>
      </c>
      <c r="G2918" s="19" t="n"/>
      <c r="H2918" s="19" t="n"/>
    </row>
    <row r="2919">
      <c r="A2919" s="22" t="n"/>
      <c r="B2919" s="19" t="n"/>
      <c r="C2919" s="18">
        <f>IF(B2919="","",IFERROR(INDEX(Jugadores!$C$2:$C$501,MATCH(B2919,Jugadores!$A$2:$A$501,0)),"⚠ ID no existe"))</f>
        <v/>
      </c>
      <c r="D2919" s="19" t="n"/>
      <c r="E2919" s="19" t="n"/>
      <c r="F2919" s="16">
        <f>IF(OR(B2919="",D2919=""),"",IFERROR(INDEX('Tabla XP'!$B$2:$B$12,MATCH(D2919,'Tabla XP'!$A$2:$A$12,0))*IF(E2919="",1,E2919),0))</f>
        <v/>
      </c>
      <c r="G2919" s="19" t="n"/>
      <c r="H2919" s="19" t="n"/>
    </row>
    <row r="2920">
      <c r="A2920" s="22" t="n"/>
      <c r="B2920" s="19" t="n"/>
      <c r="C2920" s="18">
        <f>IF(B2920="","",IFERROR(INDEX(Jugadores!$C$2:$C$501,MATCH(B2920,Jugadores!$A$2:$A$501,0)),"⚠ ID no existe"))</f>
        <v/>
      </c>
      <c r="D2920" s="19" t="n"/>
      <c r="E2920" s="19" t="n"/>
      <c r="F2920" s="16">
        <f>IF(OR(B2920="",D2920=""),"",IFERROR(INDEX('Tabla XP'!$B$2:$B$12,MATCH(D2920,'Tabla XP'!$A$2:$A$12,0))*IF(E2920="",1,E2920),0))</f>
        <v/>
      </c>
      <c r="G2920" s="19" t="n"/>
      <c r="H2920" s="19" t="n"/>
    </row>
    <row r="2921">
      <c r="A2921" s="22" t="n"/>
      <c r="B2921" s="19" t="n"/>
      <c r="C2921" s="18">
        <f>IF(B2921="","",IFERROR(INDEX(Jugadores!$C$2:$C$501,MATCH(B2921,Jugadores!$A$2:$A$501,0)),"⚠ ID no existe"))</f>
        <v/>
      </c>
      <c r="D2921" s="19" t="n"/>
      <c r="E2921" s="19" t="n"/>
      <c r="F2921" s="16">
        <f>IF(OR(B2921="",D2921=""),"",IFERROR(INDEX('Tabla XP'!$B$2:$B$12,MATCH(D2921,'Tabla XP'!$A$2:$A$12,0))*IF(E2921="",1,E2921),0))</f>
        <v/>
      </c>
      <c r="G2921" s="19" t="n"/>
      <c r="H2921" s="19" t="n"/>
    </row>
    <row r="2922">
      <c r="A2922" s="22" t="n"/>
      <c r="B2922" s="19" t="n"/>
      <c r="C2922" s="18">
        <f>IF(B2922="","",IFERROR(INDEX(Jugadores!$C$2:$C$501,MATCH(B2922,Jugadores!$A$2:$A$501,0)),"⚠ ID no existe"))</f>
        <v/>
      </c>
      <c r="D2922" s="19" t="n"/>
      <c r="E2922" s="19" t="n"/>
      <c r="F2922" s="16">
        <f>IF(OR(B2922="",D2922=""),"",IFERROR(INDEX('Tabla XP'!$B$2:$B$12,MATCH(D2922,'Tabla XP'!$A$2:$A$12,0))*IF(E2922="",1,E2922),0))</f>
        <v/>
      </c>
      <c r="G2922" s="19" t="n"/>
      <c r="H2922" s="19" t="n"/>
    </row>
    <row r="2923">
      <c r="A2923" s="22" t="n"/>
      <c r="B2923" s="19" t="n"/>
      <c r="C2923" s="18">
        <f>IF(B2923="","",IFERROR(INDEX(Jugadores!$C$2:$C$501,MATCH(B2923,Jugadores!$A$2:$A$501,0)),"⚠ ID no existe"))</f>
        <v/>
      </c>
      <c r="D2923" s="19" t="n"/>
      <c r="E2923" s="19" t="n"/>
      <c r="F2923" s="16">
        <f>IF(OR(B2923="",D2923=""),"",IFERROR(INDEX('Tabla XP'!$B$2:$B$12,MATCH(D2923,'Tabla XP'!$A$2:$A$12,0))*IF(E2923="",1,E2923),0))</f>
        <v/>
      </c>
      <c r="G2923" s="19" t="n"/>
      <c r="H2923" s="19" t="n"/>
    </row>
    <row r="2924">
      <c r="A2924" s="22" t="n"/>
      <c r="B2924" s="19" t="n"/>
      <c r="C2924" s="18">
        <f>IF(B2924="","",IFERROR(INDEX(Jugadores!$C$2:$C$501,MATCH(B2924,Jugadores!$A$2:$A$501,0)),"⚠ ID no existe"))</f>
        <v/>
      </c>
      <c r="D2924" s="19" t="n"/>
      <c r="E2924" s="19" t="n"/>
      <c r="F2924" s="16">
        <f>IF(OR(B2924="",D2924=""),"",IFERROR(INDEX('Tabla XP'!$B$2:$B$12,MATCH(D2924,'Tabla XP'!$A$2:$A$12,0))*IF(E2924="",1,E2924),0))</f>
        <v/>
      </c>
      <c r="G2924" s="19" t="n"/>
      <c r="H2924" s="19" t="n"/>
    </row>
    <row r="2925">
      <c r="A2925" s="22" t="n"/>
      <c r="B2925" s="19" t="n"/>
      <c r="C2925" s="18">
        <f>IF(B2925="","",IFERROR(INDEX(Jugadores!$C$2:$C$501,MATCH(B2925,Jugadores!$A$2:$A$501,0)),"⚠ ID no existe"))</f>
        <v/>
      </c>
      <c r="D2925" s="19" t="n"/>
      <c r="E2925" s="19" t="n"/>
      <c r="F2925" s="16">
        <f>IF(OR(B2925="",D2925=""),"",IFERROR(INDEX('Tabla XP'!$B$2:$B$12,MATCH(D2925,'Tabla XP'!$A$2:$A$12,0))*IF(E2925="",1,E2925),0))</f>
        <v/>
      </c>
      <c r="G2925" s="19" t="n"/>
      <c r="H2925" s="19" t="n"/>
    </row>
    <row r="2926">
      <c r="A2926" s="22" t="n"/>
      <c r="B2926" s="19" t="n"/>
      <c r="C2926" s="18">
        <f>IF(B2926="","",IFERROR(INDEX(Jugadores!$C$2:$C$501,MATCH(B2926,Jugadores!$A$2:$A$501,0)),"⚠ ID no existe"))</f>
        <v/>
      </c>
      <c r="D2926" s="19" t="n"/>
      <c r="E2926" s="19" t="n"/>
      <c r="F2926" s="16">
        <f>IF(OR(B2926="",D2926=""),"",IFERROR(INDEX('Tabla XP'!$B$2:$B$12,MATCH(D2926,'Tabla XP'!$A$2:$A$12,0))*IF(E2926="",1,E2926),0))</f>
        <v/>
      </c>
      <c r="G2926" s="19" t="n"/>
      <c r="H2926" s="19" t="n"/>
    </row>
    <row r="2927">
      <c r="A2927" s="22" t="n"/>
      <c r="B2927" s="19" t="n"/>
      <c r="C2927" s="18">
        <f>IF(B2927="","",IFERROR(INDEX(Jugadores!$C$2:$C$501,MATCH(B2927,Jugadores!$A$2:$A$501,0)),"⚠ ID no existe"))</f>
        <v/>
      </c>
      <c r="D2927" s="19" t="n"/>
      <c r="E2927" s="19" t="n"/>
      <c r="F2927" s="16">
        <f>IF(OR(B2927="",D2927=""),"",IFERROR(INDEX('Tabla XP'!$B$2:$B$12,MATCH(D2927,'Tabla XP'!$A$2:$A$12,0))*IF(E2927="",1,E2927),0))</f>
        <v/>
      </c>
      <c r="G2927" s="19" t="n"/>
      <c r="H2927" s="19" t="n"/>
    </row>
    <row r="2928">
      <c r="A2928" s="22" t="n"/>
      <c r="B2928" s="19" t="n"/>
      <c r="C2928" s="18">
        <f>IF(B2928="","",IFERROR(INDEX(Jugadores!$C$2:$C$501,MATCH(B2928,Jugadores!$A$2:$A$501,0)),"⚠ ID no existe"))</f>
        <v/>
      </c>
      <c r="D2928" s="19" t="n"/>
      <c r="E2928" s="19" t="n"/>
      <c r="F2928" s="16">
        <f>IF(OR(B2928="",D2928=""),"",IFERROR(INDEX('Tabla XP'!$B$2:$B$12,MATCH(D2928,'Tabla XP'!$A$2:$A$12,0))*IF(E2928="",1,E2928),0))</f>
        <v/>
      </c>
      <c r="G2928" s="19" t="n"/>
      <c r="H2928" s="19" t="n"/>
    </row>
    <row r="2929">
      <c r="A2929" s="22" t="n"/>
      <c r="B2929" s="19" t="n"/>
      <c r="C2929" s="18">
        <f>IF(B2929="","",IFERROR(INDEX(Jugadores!$C$2:$C$501,MATCH(B2929,Jugadores!$A$2:$A$501,0)),"⚠ ID no existe"))</f>
        <v/>
      </c>
      <c r="D2929" s="19" t="n"/>
      <c r="E2929" s="19" t="n"/>
      <c r="F2929" s="16">
        <f>IF(OR(B2929="",D2929=""),"",IFERROR(INDEX('Tabla XP'!$B$2:$B$12,MATCH(D2929,'Tabla XP'!$A$2:$A$12,0))*IF(E2929="",1,E2929),0))</f>
        <v/>
      </c>
      <c r="G2929" s="19" t="n"/>
      <c r="H2929" s="19" t="n"/>
    </row>
    <row r="2930">
      <c r="A2930" s="22" t="n"/>
      <c r="B2930" s="19" t="n"/>
      <c r="C2930" s="18">
        <f>IF(B2930="","",IFERROR(INDEX(Jugadores!$C$2:$C$501,MATCH(B2930,Jugadores!$A$2:$A$501,0)),"⚠ ID no existe"))</f>
        <v/>
      </c>
      <c r="D2930" s="19" t="n"/>
      <c r="E2930" s="19" t="n"/>
      <c r="F2930" s="16">
        <f>IF(OR(B2930="",D2930=""),"",IFERROR(INDEX('Tabla XP'!$B$2:$B$12,MATCH(D2930,'Tabla XP'!$A$2:$A$12,0))*IF(E2930="",1,E2930),0))</f>
        <v/>
      </c>
      <c r="G2930" s="19" t="n"/>
      <c r="H2930" s="19" t="n"/>
    </row>
    <row r="2931">
      <c r="A2931" s="22" t="n"/>
      <c r="B2931" s="19" t="n"/>
      <c r="C2931" s="18">
        <f>IF(B2931="","",IFERROR(INDEX(Jugadores!$C$2:$C$501,MATCH(B2931,Jugadores!$A$2:$A$501,0)),"⚠ ID no existe"))</f>
        <v/>
      </c>
      <c r="D2931" s="19" t="n"/>
      <c r="E2931" s="19" t="n"/>
      <c r="F2931" s="16">
        <f>IF(OR(B2931="",D2931=""),"",IFERROR(INDEX('Tabla XP'!$B$2:$B$12,MATCH(D2931,'Tabla XP'!$A$2:$A$12,0))*IF(E2931="",1,E2931),0))</f>
        <v/>
      </c>
      <c r="G2931" s="19" t="n"/>
      <c r="H2931" s="19" t="n"/>
    </row>
    <row r="2932">
      <c r="A2932" s="22" t="n"/>
      <c r="B2932" s="19" t="n"/>
      <c r="C2932" s="18">
        <f>IF(B2932="","",IFERROR(INDEX(Jugadores!$C$2:$C$501,MATCH(B2932,Jugadores!$A$2:$A$501,0)),"⚠ ID no existe"))</f>
        <v/>
      </c>
      <c r="D2932" s="19" t="n"/>
      <c r="E2932" s="19" t="n"/>
      <c r="F2932" s="16">
        <f>IF(OR(B2932="",D2932=""),"",IFERROR(INDEX('Tabla XP'!$B$2:$B$12,MATCH(D2932,'Tabla XP'!$A$2:$A$12,0))*IF(E2932="",1,E2932),0))</f>
        <v/>
      </c>
      <c r="G2932" s="19" t="n"/>
      <c r="H2932" s="19" t="n"/>
    </row>
    <row r="2933">
      <c r="A2933" s="22" t="n"/>
      <c r="B2933" s="19" t="n"/>
      <c r="C2933" s="18">
        <f>IF(B2933="","",IFERROR(INDEX(Jugadores!$C$2:$C$501,MATCH(B2933,Jugadores!$A$2:$A$501,0)),"⚠ ID no existe"))</f>
        <v/>
      </c>
      <c r="D2933" s="19" t="n"/>
      <c r="E2933" s="19" t="n"/>
      <c r="F2933" s="16">
        <f>IF(OR(B2933="",D2933=""),"",IFERROR(INDEX('Tabla XP'!$B$2:$B$12,MATCH(D2933,'Tabla XP'!$A$2:$A$12,0))*IF(E2933="",1,E2933),0))</f>
        <v/>
      </c>
      <c r="G2933" s="19" t="n"/>
      <c r="H2933" s="19" t="n"/>
    </row>
    <row r="2934">
      <c r="A2934" s="22" t="n"/>
      <c r="B2934" s="19" t="n"/>
      <c r="C2934" s="18">
        <f>IF(B2934="","",IFERROR(INDEX(Jugadores!$C$2:$C$501,MATCH(B2934,Jugadores!$A$2:$A$501,0)),"⚠ ID no existe"))</f>
        <v/>
      </c>
      <c r="D2934" s="19" t="n"/>
      <c r="E2934" s="19" t="n"/>
      <c r="F2934" s="16">
        <f>IF(OR(B2934="",D2934=""),"",IFERROR(INDEX('Tabla XP'!$B$2:$B$12,MATCH(D2934,'Tabla XP'!$A$2:$A$12,0))*IF(E2934="",1,E2934),0))</f>
        <v/>
      </c>
      <c r="G2934" s="19" t="n"/>
      <c r="H2934" s="19" t="n"/>
    </row>
    <row r="2935">
      <c r="A2935" s="22" t="n"/>
      <c r="B2935" s="19" t="n"/>
      <c r="C2935" s="18">
        <f>IF(B2935="","",IFERROR(INDEX(Jugadores!$C$2:$C$501,MATCH(B2935,Jugadores!$A$2:$A$501,0)),"⚠ ID no existe"))</f>
        <v/>
      </c>
      <c r="D2935" s="19" t="n"/>
      <c r="E2935" s="19" t="n"/>
      <c r="F2935" s="16">
        <f>IF(OR(B2935="",D2935=""),"",IFERROR(INDEX('Tabla XP'!$B$2:$B$12,MATCH(D2935,'Tabla XP'!$A$2:$A$12,0))*IF(E2935="",1,E2935),0))</f>
        <v/>
      </c>
      <c r="G2935" s="19" t="n"/>
      <c r="H2935" s="19" t="n"/>
    </row>
    <row r="2936">
      <c r="A2936" s="22" t="n"/>
      <c r="B2936" s="19" t="n"/>
      <c r="C2936" s="18">
        <f>IF(B2936="","",IFERROR(INDEX(Jugadores!$C$2:$C$501,MATCH(B2936,Jugadores!$A$2:$A$501,0)),"⚠ ID no existe"))</f>
        <v/>
      </c>
      <c r="D2936" s="19" t="n"/>
      <c r="E2936" s="19" t="n"/>
      <c r="F2936" s="16">
        <f>IF(OR(B2936="",D2936=""),"",IFERROR(INDEX('Tabla XP'!$B$2:$B$12,MATCH(D2936,'Tabla XP'!$A$2:$A$12,0))*IF(E2936="",1,E2936),0))</f>
        <v/>
      </c>
      <c r="G2936" s="19" t="n"/>
      <c r="H2936" s="19" t="n"/>
    </row>
    <row r="2937">
      <c r="A2937" s="22" t="n"/>
      <c r="B2937" s="19" t="n"/>
      <c r="C2937" s="18">
        <f>IF(B2937="","",IFERROR(INDEX(Jugadores!$C$2:$C$501,MATCH(B2937,Jugadores!$A$2:$A$501,0)),"⚠ ID no existe"))</f>
        <v/>
      </c>
      <c r="D2937" s="19" t="n"/>
      <c r="E2937" s="19" t="n"/>
      <c r="F2937" s="16">
        <f>IF(OR(B2937="",D2937=""),"",IFERROR(INDEX('Tabla XP'!$B$2:$B$12,MATCH(D2937,'Tabla XP'!$A$2:$A$12,0))*IF(E2937="",1,E2937),0))</f>
        <v/>
      </c>
      <c r="G2937" s="19" t="n"/>
      <c r="H2937" s="19" t="n"/>
    </row>
    <row r="2938">
      <c r="A2938" s="22" t="n"/>
      <c r="B2938" s="19" t="n"/>
      <c r="C2938" s="18">
        <f>IF(B2938="","",IFERROR(INDEX(Jugadores!$C$2:$C$501,MATCH(B2938,Jugadores!$A$2:$A$501,0)),"⚠ ID no existe"))</f>
        <v/>
      </c>
      <c r="D2938" s="19" t="n"/>
      <c r="E2938" s="19" t="n"/>
      <c r="F2938" s="16">
        <f>IF(OR(B2938="",D2938=""),"",IFERROR(INDEX('Tabla XP'!$B$2:$B$12,MATCH(D2938,'Tabla XP'!$A$2:$A$12,0))*IF(E2938="",1,E2938),0))</f>
        <v/>
      </c>
      <c r="G2938" s="19" t="n"/>
      <c r="H2938" s="19" t="n"/>
    </row>
    <row r="2939">
      <c r="A2939" s="22" t="n"/>
      <c r="B2939" s="19" t="n"/>
      <c r="C2939" s="18">
        <f>IF(B2939="","",IFERROR(INDEX(Jugadores!$C$2:$C$501,MATCH(B2939,Jugadores!$A$2:$A$501,0)),"⚠ ID no existe"))</f>
        <v/>
      </c>
      <c r="D2939" s="19" t="n"/>
      <c r="E2939" s="19" t="n"/>
      <c r="F2939" s="16">
        <f>IF(OR(B2939="",D2939=""),"",IFERROR(INDEX('Tabla XP'!$B$2:$B$12,MATCH(D2939,'Tabla XP'!$A$2:$A$12,0))*IF(E2939="",1,E2939),0))</f>
        <v/>
      </c>
      <c r="G2939" s="19" t="n"/>
      <c r="H2939" s="19" t="n"/>
    </row>
    <row r="2940">
      <c r="A2940" s="22" t="n"/>
      <c r="B2940" s="19" t="n"/>
      <c r="C2940" s="18">
        <f>IF(B2940="","",IFERROR(INDEX(Jugadores!$C$2:$C$501,MATCH(B2940,Jugadores!$A$2:$A$501,0)),"⚠ ID no existe"))</f>
        <v/>
      </c>
      <c r="D2940" s="19" t="n"/>
      <c r="E2940" s="19" t="n"/>
      <c r="F2940" s="16">
        <f>IF(OR(B2940="",D2940=""),"",IFERROR(INDEX('Tabla XP'!$B$2:$B$12,MATCH(D2940,'Tabla XP'!$A$2:$A$12,0))*IF(E2940="",1,E2940),0))</f>
        <v/>
      </c>
      <c r="G2940" s="19" t="n"/>
      <c r="H2940" s="19" t="n"/>
    </row>
    <row r="2941">
      <c r="A2941" s="22" t="n"/>
      <c r="B2941" s="19" t="n"/>
      <c r="C2941" s="18">
        <f>IF(B2941="","",IFERROR(INDEX(Jugadores!$C$2:$C$501,MATCH(B2941,Jugadores!$A$2:$A$501,0)),"⚠ ID no existe"))</f>
        <v/>
      </c>
      <c r="D2941" s="19" t="n"/>
      <c r="E2941" s="19" t="n"/>
      <c r="F2941" s="16">
        <f>IF(OR(B2941="",D2941=""),"",IFERROR(INDEX('Tabla XP'!$B$2:$B$12,MATCH(D2941,'Tabla XP'!$A$2:$A$12,0))*IF(E2941="",1,E2941),0))</f>
        <v/>
      </c>
      <c r="G2941" s="19" t="n"/>
      <c r="H2941" s="19" t="n"/>
    </row>
    <row r="2942">
      <c r="A2942" s="22" t="n"/>
      <c r="B2942" s="19" t="n"/>
      <c r="C2942" s="18">
        <f>IF(B2942="","",IFERROR(INDEX(Jugadores!$C$2:$C$501,MATCH(B2942,Jugadores!$A$2:$A$501,0)),"⚠ ID no existe"))</f>
        <v/>
      </c>
      <c r="D2942" s="19" t="n"/>
      <c r="E2942" s="19" t="n"/>
      <c r="F2942" s="16">
        <f>IF(OR(B2942="",D2942=""),"",IFERROR(INDEX('Tabla XP'!$B$2:$B$12,MATCH(D2942,'Tabla XP'!$A$2:$A$12,0))*IF(E2942="",1,E2942),0))</f>
        <v/>
      </c>
      <c r="G2942" s="19" t="n"/>
      <c r="H2942" s="19" t="n"/>
    </row>
    <row r="2943">
      <c r="A2943" s="22" t="n"/>
      <c r="B2943" s="19" t="n"/>
      <c r="C2943" s="18">
        <f>IF(B2943="","",IFERROR(INDEX(Jugadores!$C$2:$C$501,MATCH(B2943,Jugadores!$A$2:$A$501,0)),"⚠ ID no existe"))</f>
        <v/>
      </c>
      <c r="D2943" s="19" t="n"/>
      <c r="E2943" s="19" t="n"/>
      <c r="F2943" s="16">
        <f>IF(OR(B2943="",D2943=""),"",IFERROR(INDEX('Tabla XP'!$B$2:$B$12,MATCH(D2943,'Tabla XP'!$A$2:$A$12,0))*IF(E2943="",1,E2943),0))</f>
        <v/>
      </c>
      <c r="G2943" s="19" t="n"/>
      <c r="H2943" s="19" t="n"/>
    </row>
    <row r="2944">
      <c r="A2944" s="22" t="n"/>
      <c r="B2944" s="19" t="n"/>
      <c r="C2944" s="18">
        <f>IF(B2944="","",IFERROR(INDEX(Jugadores!$C$2:$C$501,MATCH(B2944,Jugadores!$A$2:$A$501,0)),"⚠ ID no existe"))</f>
        <v/>
      </c>
      <c r="D2944" s="19" t="n"/>
      <c r="E2944" s="19" t="n"/>
      <c r="F2944" s="16">
        <f>IF(OR(B2944="",D2944=""),"",IFERROR(INDEX('Tabla XP'!$B$2:$B$12,MATCH(D2944,'Tabla XP'!$A$2:$A$12,0))*IF(E2944="",1,E2944),0))</f>
        <v/>
      </c>
      <c r="G2944" s="19" t="n"/>
      <c r="H2944" s="19" t="n"/>
    </row>
    <row r="2945">
      <c r="A2945" s="22" t="n"/>
      <c r="B2945" s="19" t="n"/>
      <c r="C2945" s="18">
        <f>IF(B2945="","",IFERROR(INDEX(Jugadores!$C$2:$C$501,MATCH(B2945,Jugadores!$A$2:$A$501,0)),"⚠ ID no existe"))</f>
        <v/>
      </c>
      <c r="D2945" s="19" t="n"/>
      <c r="E2945" s="19" t="n"/>
      <c r="F2945" s="16">
        <f>IF(OR(B2945="",D2945=""),"",IFERROR(INDEX('Tabla XP'!$B$2:$B$12,MATCH(D2945,'Tabla XP'!$A$2:$A$12,0))*IF(E2945="",1,E2945),0))</f>
        <v/>
      </c>
      <c r="G2945" s="19" t="n"/>
      <c r="H2945" s="19" t="n"/>
    </row>
    <row r="2946">
      <c r="A2946" s="22" t="n"/>
      <c r="B2946" s="19" t="n"/>
      <c r="C2946" s="18">
        <f>IF(B2946="","",IFERROR(INDEX(Jugadores!$C$2:$C$501,MATCH(B2946,Jugadores!$A$2:$A$501,0)),"⚠ ID no existe"))</f>
        <v/>
      </c>
      <c r="D2946" s="19" t="n"/>
      <c r="E2946" s="19" t="n"/>
      <c r="F2946" s="16">
        <f>IF(OR(B2946="",D2946=""),"",IFERROR(INDEX('Tabla XP'!$B$2:$B$12,MATCH(D2946,'Tabla XP'!$A$2:$A$12,0))*IF(E2946="",1,E2946),0))</f>
        <v/>
      </c>
      <c r="G2946" s="19" t="n"/>
      <c r="H2946" s="19" t="n"/>
    </row>
    <row r="2947">
      <c r="A2947" s="22" t="n"/>
      <c r="B2947" s="19" t="n"/>
      <c r="C2947" s="18">
        <f>IF(B2947="","",IFERROR(INDEX(Jugadores!$C$2:$C$501,MATCH(B2947,Jugadores!$A$2:$A$501,0)),"⚠ ID no existe"))</f>
        <v/>
      </c>
      <c r="D2947" s="19" t="n"/>
      <c r="E2947" s="19" t="n"/>
      <c r="F2947" s="16">
        <f>IF(OR(B2947="",D2947=""),"",IFERROR(INDEX('Tabla XP'!$B$2:$B$12,MATCH(D2947,'Tabla XP'!$A$2:$A$12,0))*IF(E2947="",1,E2947),0))</f>
        <v/>
      </c>
      <c r="G2947" s="19" t="n"/>
      <c r="H2947" s="19" t="n"/>
    </row>
    <row r="2948">
      <c r="A2948" s="22" t="n"/>
      <c r="B2948" s="19" t="n"/>
      <c r="C2948" s="18">
        <f>IF(B2948="","",IFERROR(INDEX(Jugadores!$C$2:$C$501,MATCH(B2948,Jugadores!$A$2:$A$501,0)),"⚠ ID no existe"))</f>
        <v/>
      </c>
      <c r="D2948" s="19" t="n"/>
      <c r="E2948" s="19" t="n"/>
      <c r="F2948" s="16">
        <f>IF(OR(B2948="",D2948=""),"",IFERROR(INDEX('Tabla XP'!$B$2:$B$12,MATCH(D2948,'Tabla XP'!$A$2:$A$12,0))*IF(E2948="",1,E2948),0))</f>
        <v/>
      </c>
      <c r="G2948" s="19" t="n"/>
      <c r="H2948" s="19" t="n"/>
    </row>
    <row r="2949">
      <c r="A2949" s="22" t="n"/>
      <c r="B2949" s="19" t="n"/>
      <c r="C2949" s="18">
        <f>IF(B2949="","",IFERROR(INDEX(Jugadores!$C$2:$C$501,MATCH(B2949,Jugadores!$A$2:$A$501,0)),"⚠ ID no existe"))</f>
        <v/>
      </c>
      <c r="D2949" s="19" t="n"/>
      <c r="E2949" s="19" t="n"/>
      <c r="F2949" s="16">
        <f>IF(OR(B2949="",D2949=""),"",IFERROR(INDEX('Tabla XP'!$B$2:$B$12,MATCH(D2949,'Tabla XP'!$A$2:$A$12,0))*IF(E2949="",1,E2949),0))</f>
        <v/>
      </c>
      <c r="G2949" s="19" t="n"/>
      <c r="H2949" s="19" t="n"/>
    </row>
    <row r="2950">
      <c r="A2950" s="22" t="n"/>
      <c r="B2950" s="19" t="n"/>
      <c r="C2950" s="18">
        <f>IF(B2950="","",IFERROR(INDEX(Jugadores!$C$2:$C$501,MATCH(B2950,Jugadores!$A$2:$A$501,0)),"⚠ ID no existe"))</f>
        <v/>
      </c>
      <c r="D2950" s="19" t="n"/>
      <c r="E2950" s="19" t="n"/>
      <c r="F2950" s="16">
        <f>IF(OR(B2950="",D2950=""),"",IFERROR(INDEX('Tabla XP'!$B$2:$B$12,MATCH(D2950,'Tabla XP'!$A$2:$A$12,0))*IF(E2950="",1,E2950),0))</f>
        <v/>
      </c>
      <c r="G2950" s="19" t="n"/>
      <c r="H2950" s="19" t="n"/>
    </row>
    <row r="2951">
      <c r="A2951" s="22" t="n"/>
      <c r="B2951" s="19" t="n"/>
      <c r="C2951" s="18">
        <f>IF(B2951="","",IFERROR(INDEX(Jugadores!$C$2:$C$501,MATCH(B2951,Jugadores!$A$2:$A$501,0)),"⚠ ID no existe"))</f>
        <v/>
      </c>
      <c r="D2951" s="19" t="n"/>
      <c r="E2951" s="19" t="n"/>
      <c r="F2951" s="16">
        <f>IF(OR(B2951="",D2951=""),"",IFERROR(INDEX('Tabla XP'!$B$2:$B$12,MATCH(D2951,'Tabla XP'!$A$2:$A$12,0))*IF(E2951="",1,E2951),0))</f>
        <v/>
      </c>
      <c r="G2951" s="19" t="n"/>
      <c r="H2951" s="19" t="n"/>
    </row>
    <row r="2952">
      <c r="A2952" s="22" t="n"/>
      <c r="B2952" s="19" t="n"/>
      <c r="C2952" s="18">
        <f>IF(B2952="","",IFERROR(INDEX(Jugadores!$C$2:$C$501,MATCH(B2952,Jugadores!$A$2:$A$501,0)),"⚠ ID no existe"))</f>
        <v/>
      </c>
      <c r="D2952" s="19" t="n"/>
      <c r="E2952" s="19" t="n"/>
      <c r="F2952" s="16">
        <f>IF(OR(B2952="",D2952=""),"",IFERROR(INDEX('Tabla XP'!$B$2:$B$12,MATCH(D2952,'Tabla XP'!$A$2:$A$12,0))*IF(E2952="",1,E2952),0))</f>
        <v/>
      </c>
      <c r="G2952" s="19" t="n"/>
      <c r="H2952" s="19" t="n"/>
    </row>
    <row r="2953">
      <c r="A2953" s="22" t="n"/>
      <c r="B2953" s="19" t="n"/>
      <c r="C2953" s="18">
        <f>IF(B2953="","",IFERROR(INDEX(Jugadores!$C$2:$C$501,MATCH(B2953,Jugadores!$A$2:$A$501,0)),"⚠ ID no existe"))</f>
        <v/>
      </c>
      <c r="D2953" s="19" t="n"/>
      <c r="E2953" s="19" t="n"/>
      <c r="F2953" s="16">
        <f>IF(OR(B2953="",D2953=""),"",IFERROR(INDEX('Tabla XP'!$B$2:$B$12,MATCH(D2953,'Tabla XP'!$A$2:$A$12,0))*IF(E2953="",1,E2953),0))</f>
        <v/>
      </c>
      <c r="G2953" s="19" t="n"/>
      <c r="H2953" s="19" t="n"/>
    </row>
    <row r="2954">
      <c r="A2954" s="22" t="n"/>
      <c r="B2954" s="19" t="n"/>
      <c r="C2954" s="18">
        <f>IF(B2954="","",IFERROR(INDEX(Jugadores!$C$2:$C$501,MATCH(B2954,Jugadores!$A$2:$A$501,0)),"⚠ ID no existe"))</f>
        <v/>
      </c>
      <c r="D2954" s="19" t="n"/>
      <c r="E2954" s="19" t="n"/>
      <c r="F2954" s="16">
        <f>IF(OR(B2954="",D2954=""),"",IFERROR(INDEX('Tabla XP'!$B$2:$B$12,MATCH(D2954,'Tabla XP'!$A$2:$A$12,0))*IF(E2954="",1,E2954),0))</f>
        <v/>
      </c>
      <c r="G2954" s="19" t="n"/>
      <c r="H2954" s="19" t="n"/>
    </row>
    <row r="2955">
      <c r="A2955" s="22" t="n"/>
      <c r="B2955" s="19" t="n"/>
      <c r="C2955" s="18">
        <f>IF(B2955="","",IFERROR(INDEX(Jugadores!$C$2:$C$501,MATCH(B2955,Jugadores!$A$2:$A$501,0)),"⚠ ID no existe"))</f>
        <v/>
      </c>
      <c r="D2955" s="19" t="n"/>
      <c r="E2955" s="19" t="n"/>
      <c r="F2955" s="16">
        <f>IF(OR(B2955="",D2955=""),"",IFERROR(INDEX('Tabla XP'!$B$2:$B$12,MATCH(D2955,'Tabla XP'!$A$2:$A$12,0))*IF(E2955="",1,E2955),0))</f>
        <v/>
      </c>
      <c r="G2955" s="19" t="n"/>
      <c r="H2955" s="19" t="n"/>
    </row>
    <row r="2956">
      <c r="A2956" s="22" t="n"/>
      <c r="B2956" s="19" t="n"/>
      <c r="C2956" s="18">
        <f>IF(B2956="","",IFERROR(INDEX(Jugadores!$C$2:$C$501,MATCH(B2956,Jugadores!$A$2:$A$501,0)),"⚠ ID no existe"))</f>
        <v/>
      </c>
      <c r="D2956" s="19" t="n"/>
      <c r="E2956" s="19" t="n"/>
      <c r="F2956" s="16">
        <f>IF(OR(B2956="",D2956=""),"",IFERROR(INDEX('Tabla XP'!$B$2:$B$12,MATCH(D2956,'Tabla XP'!$A$2:$A$12,0))*IF(E2956="",1,E2956),0))</f>
        <v/>
      </c>
      <c r="G2956" s="19" t="n"/>
      <c r="H2956" s="19" t="n"/>
    </row>
    <row r="2957">
      <c r="A2957" s="22" t="n"/>
      <c r="B2957" s="19" t="n"/>
      <c r="C2957" s="18">
        <f>IF(B2957="","",IFERROR(INDEX(Jugadores!$C$2:$C$501,MATCH(B2957,Jugadores!$A$2:$A$501,0)),"⚠ ID no existe"))</f>
        <v/>
      </c>
      <c r="D2957" s="19" t="n"/>
      <c r="E2957" s="19" t="n"/>
      <c r="F2957" s="16">
        <f>IF(OR(B2957="",D2957=""),"",IFERROR(INDEX('Tabla XP'!$B$2:$B$12,MATCH(D2957,'Tabla XP'!$A$2:$A$12,0))*IF(E2957="",1,E2957),0))</f>
        <v/>
      </c>
      <c r="G2957" s="19" t="n"/>
      <c r="H2957" s="19" t="n"/>
    </row>
    <row r="2958">
      <c r="A2958" s="22" t="n"/>
      <c r="B2958" s="19" t="n"/>
      <c r="C2958" s="18">
        <f>IF(B2958="","",IFERROR(INDEX(Jugadores!$C$2:$C$501,MATCH(B2958,Jugadores!$A$2:$A$501,0)),"⚠ ID no existe"))</f>
        <v/>
      </c>
      <c r="D2958" s="19" t="n"/>
      <c r="E2958" s="19" t="n"/>
      <c r="F2958" s="16">
        <f>IF(OR(B2958="",D2958=""),"",IFERROR(INDEX('Tabla XP'!$B$2:$B$12,MATCH(D2958,'Tabla XP'!$A$2:$A$12,0))*IF(E2958="",1,E2958),0))</f>
        <v/>
      </c>
      <c r="G2958" s="19" t="n"/>
      <c r="H2958" s="19" t="n"/>
    </row>
    <row r="2959">
      <c r="A2959" s="22" t="n"/>
      <c r="B2959" s="19" t="n"/>
      <c r="C2959" s="18">
        <f>IF(B2959="","",IFERROR(INDEX(Jugadores!$C$2:$C$501,MATCH(B2959,Jugadores!$A$2:$A$501,0)),"⚠ ID no existe"))</f>
        <v/>
      </c>
      <c r="D2959" s="19" t="n"/>
      <c r="E2959" s="19" t="n"/>
      <c r="F2959" s="16">
        <f>IF(OR(B2959="",D2959=""),"",IFERROR(INDEX('Tabla XP'!$B$2:$B$12,MATCH(D2959,'Tabla XP'!$A$2:$A$12,0))*IF(E2959="",1,E2959),0))</f>
        <v/>
      </c>
      <c r="G2959" s="19" t="n"/>
      <c r="H2959" s="19" t="n"/>
    </row>
    <row r="2960">
      <c r="A2960" s="22" t="n"/>
      <c r="B2960" s="19" t="n"/>
      <c r="C2960" s="18">
        <f>IF(B2960="","",IFERROR(INDEX(Jugadores!$C$2:$C$501,MATCH(B2960,Jugadores!$A$2:$A$501,0)),"⚠ ID no existe"))</f>
        <v/>
      </c>
      <c r="D2960" s="19" t="n"/>
      <c r="E2960" s="19" t="n"/>
      <c r="F2960" s="16">
        <f>IF(OR(B2960="",D2960=""),"",IFERROR(INDEX('Tabla XP'!$B$2:$B$12,MATCH(D2960,'Tabla XP'!$A$2:$A$12,0))*IF(E2960="",1,E2960),0))</f>
        <v/>
      </c>
      <c r="G2960" s="19" t="n"/>
      <c r="H2960" s="19" t="n"/>
    </row>
    <row r="2961">
      <c r="A2961" s="22" t="n"/>
      <c r="B2961" s="19" t="n"/>
      <c r="C2961" s="18">
        <f>IF(B2961="","",IFERROR(INDEX(Jugadores!$C$2:$C$501,MATCH(B2961,Jugadores!$A$2:$A$501,0)),"⚠ ID no existe"))</f>
        <v/>
      </c>
      <c r="D2961" s="19" t="n"/>
      <c r="E2961" s="19" t="n"/>
      <c r="F2961" s="16">
        <f>IF(OR(B2961="",D2961=""),"",IFERROR(INDEX('Tabla XP'!$B$2:$B$12,MATCH(D2961,'Tabla XP'!$A$2:$A$12,0))*IF(E2961="",1,E2961),0))</f>
        <v/>
      </c>
      <c r="G2961" s="19" t="n"/>
      <c r="H2961" s="19" t="n"/>
    </row>
    <row r="2962">
      <c r="A2962" s="22" t="n"/>
      <c r="B2962" s="19" t="n"/>
      <c r="C2962" s="18">
        <f>IF(B2962="","",IFERROR(INDEX(Jugadores!$C$2:$C$501,MATCH(B2962,Jugadores!$A$2:$A$501,0)),"⚠ ID no existe"))</f>
        <v/>
      </c>
      <c r="D2962" s="19" t="n"/>
      <c r="E2962" s="19" t="n"/>
      <c r="F2962" s="16">
        <f>IF(OR(B2962="",D2962=""),"",IFERROR(INDEX('Tabla XP'!$B$2:$B$12,MATCH(D2962,'Tabla XP'!$A$2:$A$12,0))*IF(E2962="",1,E2962),0))</f>
        <v/>
      </c>
      <c r="G2962" s="19" t="n"/>
      <c r="H2962" s="19" t="n"/>
    </row>
    <row r="2963">
      <c r="A2963" s="22" t="n"/>
      <c r="B2963" s="19" t="n"/>
      <c r="C2963" s="18">
        <f>IF(B2963="","",IFERROR(INDEX(Jugadores!$C$2:$C$501,MATCH(B2963,Jugadores!$A$2:$A$501,0)),"⚠ ID no existe"))</f>
        <v/>
      </c>
      <c r="D2963" s="19" t="n"/>
      <c r="E2963" s="19" t="n"/>
      <c r="F2963" s="16">
        <f>IF(OR(B2963="",D2963=""),"",IFERROR(INDEX('Tabla XP'!$B$2:$B$12,MATCH(D2963,'Tabla XP'!$A$2:$A$12,0))*IF(E2963="",1,E2963),0))</f>
        <v/>
      </c>
      <c r="G2963" s="19" t="n"/>
      <c r="H2963" s="19" t="n"/>
    </row>
    <row r="2964">
      <c r="A2964" s="22" t="n"/>
      <c r="B2964" s="19" t="n"/>
      <c r="C2964" s="18">
        <f>IF(B2964="","",IFERROR(INDEX(Jugadores!$C$2:$C$501,MATCH(B2964,Jugadores!$A$2:$A$501,0)),"⚠ ID no existe"))</f>
        <v/>
      </c>
      <c r="D2964" s="19" t="n"/>
      <c r="E2964" s="19" t="n"/>
      <c r="F2964" s="16">
        <f>IF(OR(B2964="",D2964=""),"",IFERROR(INDEX('Tabla XP'!$B$2:$B$12,MATCH(D2964,'Tabla XP'!$A$2:$A$12,0))*IF(E2964="",1,E2964),0))</f>
        <v/>
      </c>
      <c r="G2964" s="19" t="n"/>
      <c r="H2964" s="19" t="n"/>
    </row>
    <row r="2965">
      <c r="A2965" s="22" t="n"/>
      <c r="B2965" s="19" t="n"/>
      <c r="C2965" s="18">
        <f>IF(B2965="","",IFERROR(INDEX(Jugadores!$C$2:$C$501,MATCH(B2965,Jugadores!$A$2:$A$501,0)),"⚠ ID no existe"))</f>
        <v/>
      </c>
      <c r="D2965" s="19" t="n"/>
      <c r="E2965" s="19" t="n"/>
      <c r="F2965" s="16">
        <f>IF(OR(B2965="",D2965=""),"",IFERROR(INDEX('Tabla XP'!$B$2:$B$12,MATCH(D2965,'Tabla XP'!$A$2:$A$12,0))*IF(E2965="",1,E2965),0))</f>
        <v/>
      </c>
      <c r="G2965" s="19" t="n"/>
      <c r="H2965" s="19" t="n"/>
    </row>
    <row r="2966">
      <c r="A2966" s="22" t="n"/>
      <c r="B2966" s="19" t="n"/>
      <c r="C2966" s="18">
        <f>IF(B2966="","",IFERROR(INDEX(Jugadores!$C$2:$C$501,MATCH(B2966,Jugadores!$A$2:$A$501,0)),"⚠ ID no existe"))</f>
        <v/>
      </c>
      <c r="D2966" s="19" t="n"/>
      <c r="E2966" s="19" t="n"/>
      <c r="F2966" s="16">
        <f>IF(OR(B2966="",D2966=""),"",IFERROR(INDEX('Tabla XP'!$B$2:$B$12,MATCH(D2966,'Tabla XP'!$A$2:$A$12,0))*IF(E2966="",1,E2966),0))</f>
        <v/>
      </c>
      <c r="G2966" s="19" t="n"/>
      <c r="H2966" s="19" t="n"/>
    </row>
    <row r="2967">
      <c r="A2967" s="22" t="n"/>
      <c r="B2967" s="19" t="n"/>
      <c r="C2967" s="18">
        <f>IF(B2967="","",IFERROR(INDEX(Jugadores!$C$2:$C$501,MATCH(B2967,Jugadores!$A$2:$A$501,0)),"⚠ ID no existe"))</f>
        <v/>
      </c>
      <c r="D2967" s="19" t="n"/>
      <c r="E2967" s="19" t="n"/>
      <c r="F2967" s="16">
        <f>IF(OR(B2967="",D2967=""),"",IFERROR(INDEX('Tabla XP'!$B$2:$B$12,MATCH(D2967,'Tabla XP'!$A$2:$A$12,0))*IF(E2967="",1,E2967),0))</f>
        <v/>
      </c>
      <c r="G2967" s="19" t="n"/>
      <c r="H2967" s="19" t="n"/>
    </row>
    <row r="2968">
      <c r="A2968" s="22" t="n"/>
      <c r="B2968" s="19" t="n"/>
      <c r="C2968" s="18">
        <f>IF(B2968="","",IFERROR(INDEX(Jugadores!$C$2:$C$501,MATCH(B2968,Jugadores!$A$2:$A$501,0)),"⚠ ID no existe"))</f>
        <v/>
      </c>
      <c r="D2968" s="19" t="n"/>
      <c r="E2968" s="19" t="n"/>
      <c r="F2968" s="16">
        <f>IF(OR(B2968="",D2968=""),"",IFERROR(INDEX('Tabla XP'!$B$2:$B$12,MATCH(D2968,'Tabla XP'!$A$2:$A$12,0))*IF(E2968="",1,E2968),0))</f>
        <v/>
      </c>
      <c r="G2968" s="19" t="n"/>
      <c r="H2968" s="19" t="n"/>
    </row>
    <row r="2969">
      <c r="A2969" s="22" t="n"/>
      <c r="B2969" s="19" t="n"/>
      <c r="C2969" s="18">
        <f>IF(B2969="","",IFERROR(INDEX(Jugadores!$C$2:$C$501,MATCH(B2969,Jugadores!$A$2:$A$501,0)),"⚠ ID no existe"))</f>
        <v/>
      </c>
      <c r="D2969" s="19" t="n"/>
      <c r="E2969" s="19" t="n"/>
      <c r="F2969" s="16">
        <f>IF(OR(B2969="",D2969=""),"",IFERROR(INDEX('Tabla XP'!$B$2:$B$12,MATCH(D2969,'Tabla XP'!$A$2:$A$12,0))*IF(E2969="",1,E2969),0))</f>
        <v/>
      </c>
      <c r="G2969" s="19" t="n"/>
      <c r="H2969" s="19" t="n"/>
    </row>
    <row r="2970">
      <c r="A2970" s="22" t="n"/>
      <c r="B2970" s="19" t="n"/>
      <c r="C2970" s="18">
        <f>IF(B2970="","",IFERROR(INDEX(Jugadores!$C$2:$C$501,MATCH(B2970,Jugadores!$A$2:$A$501,0)),"⚠ ID no existe"))</f>
        <v/>
      </c>
      <c r="D2970" s="19" t="n"/>
      <c r="E2970" s="19" t="n"/>
      <c r="F2970" s="16">
        <f>IF(OR(B2970="",D2970=""),"",IFERROR(INDEX('Tabla XP'!$B$2:$B$12,MATCH(D2970,'Tabla XP'!$A$2:$A$12,0))*IF(E2970="",1,E2970),0))</f>
        <v/>
      </c>
      <c r="G2970" s="19" t="n"/>
      <c r="H2970" s="19" t="n"/>
    </row>
    <row r="2971">
      <c r="A2971" s="22" t="n"/>
      <c r="B2971" s="19" t="n"/>
      <c r="C2971" s="18">
        <f>IF(B2971="","",IFERROR(INDEX(Jugadores!$C$2:$C$501,MATCH(B2971,Jugadores!$A$2:$A$501,0)),"⚠ ID no existe"))</f>
        <v/>
      </c>
      <c r="D2971" s="19" t="n"/>
      <c r="E2971" s="19" t="n"/>
      <c r="F2971" s="16">
        <f>IF(OR(B2971="",D2971=""),"",IFERROR(INDEX('Tabla XP'!$B$2:$B$12,MATCH(D2971,'Tabla XP'!$A$2:$A$12,0))*IF(E2971="",1,E2971),0))</f>
        <v/>
      </c>
      <c r="G2971" s="19" t="n"/>
      <c r="H2971" s="19" t="n"/>
    </row>
    <row r="2972">
      <c r="A2972" s="22" t="n"/>
      <c r="B2972" s="19" t="n"/>
      <c r="C2972" s="18">
        <f>IF(B2972="","",IFERROR(INDEX(Jugadores!$C$2:$C$501,MATCH(B2972,Jugadores!$A$2:$A$501,0)),"⚠ ID no existe"))</f>
        <v/>
      </c>
      <c r="D2972" s="19" t="n"/>
      <c r="E2972" s="19" t="n"/>
      <c r="F2972" s="16">
        <f>IF(OR(B2972="",D2972=""),"",IFERROR(INDEX('Tabla XP'!$B$2:$B$12,MATCH(D2972,'Tabla XP'!$A$2:$A$12,0))*IF(E2972="",1,E2972),0))</f>
        <v/>
      </c>
      <c r="G2972" s="19" t="n"/>
      <c r="H2972" s="19" t="n"/>
    </row>
    <row r="2973">
      <c r="A2973" s="22" t="n"/>
      <c r="B2973" s="19" t="n"/>
      <c r="C2973" s="18">
        <f>IF(B2973="","",IFERROR(INDEX(Jugadores!$C$2:$C$501,MATCH(B2973,Jugadores!$A$2:$A$501,0)),"⚠ ID no existe"))</f>
        <v/>
      </c>
      <c r="D2973" s="19" t="n"/>
      <c r="E2973" s="19" t="n"/>
      <c r="F2973" s="16">
        <f>IF(OR(B2973="",D2973=""),"",IFERROR(INDEX('Tabla XP'!$B$2:$B$12,MATCH(D2973,'Tabla XP'!$A$2:$A$12,0))*IF(E2973="",1,E2973),0))</f>
        <v/>
      </c>
      <c r="G2973" s="19" t="n"/>
      <c r="H2973" s="19" t="n"/>
    </row>
    <row r="2974">
      <c r="A2974" s="22" t="n"/>
      <c r="B2974" s="19" t="n"/>
      <c r="C2974" s="18">
        <f>IF(B2974="","",IFERROR(INDEX(Jugadores!$C$2:$C$501,MATCH(B2974,Jugadores!$A$2:$A$501,0)),"⚠ ID no existe"))</f>
        <v/>
      </c>
      <c r="D2974" s="19" t="n"/>
      <c r="E2974" s="19" t="n"/>
      <c r="F2974" s="16">
        <f>IF(OR(B2974="",D2974=""),"",IFERROR(INDEX('Tabla XP'!$B$2:$B$12,MATCH(D2974,'Tabla XP'!$A$2:$A$12,0))*IF(E2974="",1,E2974),0))</f>
        <v/>
      </c>
      <c r="G2974" s="19" t="n"/>
      <c r="H2974" s="19" t="n"/>
    </row>
    <row r="2975">
      <c r="A2975" s="22" t="n"/>
      <c r="B2975" s="19" t="n"/>
      <c r="C2975" s="18">
        <f>IF(B2975="","",IFERROR(INDEX(Jugadores!$C$2:$C$501,MATCH(B2975,Jugadores!$A$2:$A$501,0)),"⚠ ID no existe"))</f>
        <v/>
      </c>
      <c r="D2975" s="19" t="n"/>
      <c r="E2975" s="19" t="n"/>
      <c r="F2975" s="16">
        <f>IF(OR(B2975="",D2975=""),"",IFERROR(INDEX('Tabla XP'!$B$2:$B$12,MATCH(D2975,'Tabla XP'!$A$2:$A$12,0))*IF(E2975="",1,E2975),0))</f>
        <v/>
      </c>
      <c r="G2975" s="19" t="n"/>
      <c r="H2975" s="19" t="n"/>
    </row>
    <row r="2976">
      <c r="A2976" s="22" t="n"/>
      <c r="B2976" s="19" t="n"/>
      <c r="C2976" s="18">
        <f>IF(B2976="","",IFERROR(INDEX(Jugadores!$C$2:$C$501,MATCH(B2976,Jugadores!$A$2:$A$501,0)),"⚠ ID no existe"))</f>
        <v/>
      </c>
      <c r="D2976" s="19" t="n"/>
      <c r="E2976" s="19" t="n"/>
      <c r="F2976" s="16">
        <f>IF(OR(B2976="",D2976=""),"",IFERROR(INDEX('Tabla XP'!$B$2:$B$12,MATCH(D2976,'Tabla XP'!$A$2:$A$12,0))*IF(E2976="",1,E2976),0))</f>
        <v/>
      </c>
      <c r="G2976" s="19" t="n"/>
      <c r="H2976" s="19" t="n"/>
    </row>
    <row r="2977">
      <c r="A2977" s="22" t="n"/>
      <c r="B2977" s="19" t="n"/>
      <c r="C2977" s="18">
        <f>IF(B2977="","",IFERROR(INDEX(Jugadores!$C$2:$C$501,MATCH(B2977,Jugadores!$A$2:$A$501,0)),"⚠ ID no existe"))</f>
        <v/>
      </c>
      <c r="D2977" s="19" t="n"/>
      <c r="E2977" s="19" t="n"/>
      <c r="F2977" s="16">
        <f>IF(OR(B2977="",D2977=""),"",IFERROR(INDEX('Tabla XP'!$B$2:$B$12,MATCH(D2977,'Tabla XP'!$A$2:$A$12,0))*IF(E2977="",1,E2977),0))</f>
        <v/>
      </c>
      <c r="G2977" s="19" t="n"/>
      <c r="H2977" s="19" t="n"/>
    </row>
    <row r="2978">
      <c r="A2978" s="22" t="n"/>
      <c r="B2978" s="19" t="n"/>
      <c r="C2978" s="18">
        <f>IF(B2978="","",IFERROR(INDEX(Jugadores!$C$2:$C$501,MATCH(B2978,Jugadores!$A$2:$A$501,0)),"⚠ ID no existe"))</f>
        <v/>
      </c>
      <c r="D2978" s="19" t="n"/>
      <c r="E2978" s="19" t="n"/>
      <c r="F2978" s="16">
        <f>IF(OR(B2978="",D2978=""),"",IFERROR(INDEX('Tabla XP'!$B$2:$B$12,MATCH(D2978,'Tabla XP'!$A$2:$A$12,0))*IF(E2978="",1,E2978),0))</f>
        <v/>
      </c>
      <c r="G2978" s="19" t="n"/>
      <c r="H2978" s="19" t="n"/>
    </row>
    <row r="2979">
      <c r="A2979" s="22" t="n"/>
      <c r="B2979" s="19" t="n"/>
      <c r="C2979" s="18">
        <f>IF(B2979="","",IFERROR(INDEX(Jugadores!$C$2:$C$501,MATCH(B2979,Jugadores!$A$2:$A$501,0)),"⚠ ID no existe"))</f>
        <v/>
      </c>
      <c r="D2979" s="19" t="n"/>
      <c r="E2979" s="19" t="n"/>
      <c r="F2979" s="16">
        <f>IF(OR(B2979="",D2979=""),"",IFERROR(INDEX('Tabla XP'!$B$2:$B$12,MATCH(D2979,'Tabla XP'!$A$2:$A$12,0))*IF(E2979="",1,E2979),0))</f>
        <v/>
      </c>
      <c r="G2979" s="19" t="n"/>
      <c r="H2979" s="19" t="n"/>
    </row>
    <row r="2980">
      <c r="A2980" s="22" t="n"/>
      <c r="B2980" s="19" t="n"/>
      <c r="C2980" s="18">
        <f>IF(B2980="","",IFERROR(INDEX(Jugadores!$C$2:$C$501,MATCH(B2980,Jugadores!$A$2:$A$501,0)),"⚠ ID no existe"))</f>
        <v/>
      </c>
      <c r="D2980" s="19" t="n"/>
      <c r="E2980" s="19" t="n"/>
      <c r="F2980" s="16">
        <f>IF(OR(B2980="",D2980=""),"",IFERROR(INDEX('Tabla XP'!$B$2:$B$12,MATCH(D2980,'Tabla XP'!$A$2:$A$12,0))*IF(E2980="",1,E2980),0))</f>
        <v/>
      </c>
      <c r="G2980" s="19" t="n"/>
      <c r="H2980" s="19" t="n"/>
    </row>
    <row r="2981">
      <c r="A2981" s="22" t="n"/>
      <c r="B2981" s="19" t="n"/>
      <c r="C2981" s="18">
        <f>IF(B2981="","",IFERROR(INDEX(Jugadores!$C$2:$C$501,MATCH(B2981,Jugadores!$A$2:$A$501,0)),"⚠ ID no existe"))</f>
        <v/>
      </c>
      <c r="D2981" s="19" t="n"/>
      <c r="E2981" s="19" t="n"/>
      <c r="F2981" s="16">
        <f>IF(OR(B2981="",D2981=""),"",IFERROR(INDEX('Tabla XP'!$B$2:$B$12,MATCH(D2981,'Tabla XP'!$A$2:$A$12,0))*IF(E2981="",1,E2981),0))</f>
        <v/>
      </c>
      <c r="G2981" s="19" t="n"/>
      <c r="H2981" s="19" t="n"/>
    </row>
    <row r="2982">
      <c r="A2982" s="22" t="n"/>
      <c r="B2982" s="19" t="n"/>
      <c r="C2982" s="18">
        <f>IF(B2982="","",IFERROR(INDEX(Jugadores!$C$2:$C$501,MATCH(B2982,Jugadores!$A$2:$A$501,0)),"⚠ ID no existe"))</f>
        <v/>
      </c>
      <c r="D2982" s="19" t="n"/>
      <c r="E2982" s="19" t="n"/>
      <c r="F2982" s="16">
        <f>IF(OR(B2982="",D2982=""),"",IFERROR(INDEX('Tabla XP'!$B$2:$B$12,MATCH(D2982,'Tabla XP'!$A$2:$A$12,0))*IF(E2982="",1,E2982),0))</f>
        <v/>
      </c>
      <c r="G2982" s="19" t="n"/>
      <c r="H2982" s="19" t="n"/>
    </row>
    <row r="2983">
      <c r="A2983" s="22" t="n"/>
      <c r="B2983" s="19" t="n"/>
      <c r="C2983" s="18">
        <f>IF(B2983="","",IFERROR(INDEX(Jugadores!$C$2:$C$501,MATCH(B2983,Jugadores!$A$2:$A$501,0)),"⚠ ID no existe"))</f>
        <v/>
      </c>
      <c r="D2983" s="19" t="n"/>
      <c r="E2983" s="19" t="n"/>
      <c r="F2983" s="16">
        <f>IF(OR(B2983="",D2983=""),"",IFERROR(INDEX('Tabla XP'!$B$2:$B$12,MATCH(D2983,'Tabla XP'!$A$2:$A$12,0))*IF(E2983="",1,E2983),0))</f>
        <v/>
      </c>
      <c r="G2983" s="19" t="n"/>
      <c r="H2983" s="19" t="n"/>
    </row>
    <row r="2984">
      <c r="A2984" s="22" t="n"/>
      <c r="B2984" s="19" t="n"/>
      <c r="C2984" s="18">
        <f>IF(B2984="","",IFERROR(INDEX(Jugadores!$C$2:$C$501,MATCH(B2984,Jugadores!$A$2:$A$501,0)),"⚠ ID no existe"))</f>
        <v/>
      </c>
      <c r="D2984" s="19" t="n"/>
      <c r="E2984" s="19" t="n"/>
      <c r="F2984" s="16">
        <f>IF(OR(B2984="",D2984=""),"",IFERROR(INDEX('Tabla XP'!$B$2:$B$12,MATCH(D2984,'Tabla XP'!$A$2:$A$12,0))*IF(E2984="",1,E2984),0))</f>
        <v/>
      </c>
      <c r="G2984" s="19" t="n"/>
      <c r="H2984" s="19" t="n"/>
    </row>
    <row r="2985">
      <c r="A2985" s="22" t="n"/>
      <c r="B2985" s="19" t="n"/>
      <c r="C2985" s="18">
        <f>IF(B2985="","",IFERROR(INDEX(Jugadores!$C$2:$C$501,MATCH(B2985,Jugadores!$A$2:$A$501,0)),"⚠ ID no existe"))</f>
        <v/>
      </c>
      <c r="D2985" s="19" t="n"/>
      <c r="E2985" s="19" t="n"/>
      <c r="F2985" s="16">
        <f>IF(OR(B2985="",D2985=""),"",IFERROR(INDEX('Tabla XP'!$B$2:$B$12,MATCH(D2985,'Tabla XP'!$A$2:$A$12,0))*IF(E2985="",1,E2985),0))</f>
        <v/>
      </c>
      <c r="G2985" s="19" t="n"/>
      <c r="H2985" s="19" t="n"/>
    </row>
    <row r="2986">
      <c r="A2986" s="22" t="n"/>
      <c r="B2986" s="19" t="n"/>
      <c r="C2986" s="18">
        <f>IF(B2986="","",IFERROR(INDEX(Jugadores!$C$2:$C$501,MATCH(B2986,Jugadores!$A$2:$A$501,0)),"⚠ ID no existe"))</f>
        <v/>
      </c>
      <c r="D2986" s="19" t="n"/>
      <c r="E2986" s="19" t="n"/>
      <c r="F2986" s="16">
        <f>IF(OR(B2986="",D2986=""),"",IFERROR(INDEX('Tabla XP'!$B$2:$B$12,MATCH(D2986,'Tabla XP'!$A$2:$A$12,0))*IF(E2986="",1,E2986),0))</f>
        <v/>
      </c>
      <c r="G2986" s="19" t="n"/>
      <c r="H2986" s="19" t="n"/>
    </row>
    <row r="2987">
      <c r="A2987" s="22" t="n"/>
      <c r="B2987" s="19" t="n"/>
      <c r="C2987" s="18">
        <f>IF(B2987="","",IFERROR(INDEX(Jugadores!$C$2:$C$501,MATCH(B2987,Jugadores!$A$2:$A$501,0)),"⚠ ID no existe"))</f>
        <v/>
      </c>
      <c r="D2987" s="19" t="n"/>
      <c r="E2987" s="19" t="n"/>
      <c r="F2987" s="16">
        <f>IF(OR(B2987="",D2987=""),"",IFERROR(INDEX('Tabla XP'!$B$2:$B$12,MATCH(D2987,'Tabla XP'!$A$2:$A$12,0))*IF(E2987="",1,E2987),0))</f>
        <v/>
      </c>
      <c r="G2987" s="19" t="n"/>
      <c r="H2987" s="19" t="n"/>
    </row>
    <row r="2988">
      <c r="A2988" s="22" t="n"/>
      <c r="B2988" s="19" t="n"/>
      <c r="C2988" s="18">
        <f>IF(B2988="","",IFERROR(INDEX(Jugadores!$C$2:$C$501,MATCH(B2988,Jugadores!$A$2:$A$501,0)),"⚠ ID no existe"))</f>
        <v/>
      </c>
      <c r="D2988" s="19" t="n"/>
      <c r="E2988" s="19" t="n"/>
      <c r="F2988" s="16">
        <f>IF(OR(B2988="",D2988=""),"",IFERROR(INDEX('Tabla XP'!$B$2:$B$12,MATCH(D2988,'Tabla XP'!$A$2:$A$12,0))*IF(E2988="",1,E2988),0))</f>
        <v/>
      </c>
      <c r="G2988" s="19" t="n"/>
      <c r="H2988" s="19" t="n"/>
    </row>
    <row r="2989">
      <c r="A2989" s="22" t="n"/>
      <c r="B2989" s="19" t="n"/>
      <c r="C2989" s="18">
        <f>IF(B2989="","",IFERROR(INDEX(Jugadores!$C$2:$C$501,MATCH(B2989,Jugadores!$A$2:$A$501,0)),"⚠ ID no existe"))</f>
        <v/>
      </c>
      <c r="D2989" s="19" t="n"/>
      <c r="E2989" s="19" t="n"/>
      <c r="F2989" s="16">
        <f>IF(OR(B2989="",D2989=""),"",IFERROR(INDEX('Tabla XP'!$B$2:$B$12,MATCH(D2989,'Tabla XP'!$A$2:$A$12,0))*IF(E2989="",1,E2989),0))</f>
        <v/>
      </c>
      <c r="G2989" s="19" t="n"/>
      <c r="H2989" s="19" t="n"/>
    </row>
    <row r="2990">
      <c r="A2990" s="22" t="n"/>
      <c r="B2990" s="19" t="n"/>
      <c r="C2990" s="18">
        <f>IF(B2990="","",IFERROR(INDEX(Jugadores!$C$2:$C$501,MATCH(B2990,Jugadores!$A$2:$A$501,0)),"⚠ ID no existe"))</f>
        <v/>
      </c>
      <c r="D2990" s="19" t="n"/>
      <c r="E2990" s="19" t="n"/>
      <c r="F2990" s="16">
        <f>IF(OR(B2990="",D2990=""),"",IFERROR(INDEX('Tabla XP'!$B$2:$B$12,MATCH(D2990,'Tabla XP'!$A$2:$A$12,0))*IF(E2990="",1,E2990),0))</f>
        <v/>
      </c>
      <c r="G2990" s="19" t="n"/>
      <c r="H2990" s="19" t="n"/>
    </row>
    <row r="2991">
      <c r="A2991" s="22" t="n"/>
      <c r="B2991" s="19" t="n"/>
      <c r="C2991" s="18">
        <f>IF(B2991="","",IFERROR(INDEX(Jugadores!$C$2:$C$501,MATCH(B2991,Jugadores!$A$2:$A$501,0)),"⚠ ID no existe"))</f>
        <v/>
      </c>
      <c r="D2991" s="19" t="n"/>
      <c r="E2991" s="19" t="n"/>
      <c r="F2991" s="16">
        <f>IF(OR(B2991="",D2991=""),"",IFERROR(INDEX('Tabla XP'!$B$2:$B$12,MATCH(D2991,'Tabla XP'!$A$2:$A$12,0))*IF(E2991="",1,E2991),0))</f>
        <v/>
      </c>
      <c r="G2991" s="19" t="n"/>
      <c r="H2991" s="19" t="n"/>
    </row>
    <row r="2992">
      <c r="A2992" s="22" t="n"/>
      <c r="B2992" s="19" t="n"/>
      <c r="C2992" s="18">
        <f>IF(B2992="","",IFERROR(INDEX(Jugadores!$C$2:$C$501,MATCH(B2992,Jugadores!$A$2:$A$501,0)),"⚠ ID no existe"))</f>
        <v/>
      </c>
      <c r="D2992" s="19" t="n"/>
      <c r="E2992" s="19" t="n"/>
      <c r="F2992" s="16">
        <f>IF(OR(B2992="",D2992=""),"",IFERROR(INDEX('Tabla XP'!$B$2:$B$12,MATCH(D2992,'Tabla XP'!$A$2:$A$12,0))*IF(E2992="",1,E2992),0))</f>
        <v/>
      </c>
      <c r="G2992" s="19" t="n"/>
      <c r="H2992" s="19" t="n"/>
    </row>
    <row r="2993">
      <c r="A2993" s="22" t="n"/>
      <c r="B2993" s="19" t="n"/>
      <c r="C2993" s="18">
        <f>IF(B2993="","",IFERROR(INDEX(Jugadores!$C$2:$C$501,MATCH(B2993,Jugadores!$A$2:$A$501,0)),"⚠ ID no existe"))</f>
        <v/>
      </c>
      <c r="D2993" s="19" t="n"/>
      <c r="E2993" s="19" t="n"/>
      <c r="F2993" s="16">
        <f>IF(OR(B2993="",D2993=""),"",IFERROR(INDEX('Tabla XP'!$B$2:$B$12,MATCH(D2993,'Tabla XP'!$A$2:$A$12,0))*IF(E2993="",1,E2993),0))</f>
        <v/>
      </c>
      <c r="G2993" s="19" t="n"/>
      <c r="H2993" s="19" t="n"/>
    </row>
    <row r="2994">
      <c r="A2994" s="22" t="n"/>
      <c r="B2994" s="19" t="n"/>
      <c r="C2994" s="18">
        <f>IF(B2994="","",IFERROR(INDEX(Jugadores!$C$2:$C$501,MATCH(B2994,Jugadores!$A$2:$A$501,0)),"⚠ ID no existe"))</f>
        <v/>
      </c>
      <c r="D2994" s="19" t="n"/>
      <c r="E2994" s="19" t="n"/>
      <c r="F2994" s="16">
        <f>IF(OR(B2994="",D2994=""),"",IFERROR(INDEX('Tabla XP'!$B$2:$B$12,MATCH(D2994,'Tabla XP'!$A$2:$A$12,0))*IF(E2994="",1,E2994),0))</f>
        <v/>
      </c>
      <c r="G2994" s="19" t="n"/>
      <c r="H2994" s="19" t="n"/>
    </row>
    <row r="2995">
      <c r="A2995" s="22" t="n"/>
      <c r="B2995" s="19" t="n"/>
      <c r="C2995" s="18">
        <f>IF(B2995="","",IFERROR(INDEX(Jugadores!$C$2:$C$501,MATCH(B2995,Jugadores!$A$2:$A$501,0)),"⚠ ID no existe"))</f>
        <v/>
      </c>
      <c r="D2995" s="19" t="n"/>
      <c r="E2995" s="19" t="n"/>
      <c r="F2995" s="16">
        <f>IF(OR(B2995="",D2995=""),"",IFERROR(INDEX('Tabla XP'!$B$2:$B$12,MATCH(D2995,'Tabla XP'!$A$2:$A$12,0))*IF(E2995="",1,E2995),0))</f>
        <v/>
      </c>
      <c r="G2995" s="19" t="n"/>
      <c r="H2995" s="19" t="n"/>
    </row>
    <row r="2996">
      <c r="A2996" s="22" t="n"/>
      <c r="B2996" s="19" t="n"/>
      <c r="C2996" s="18">
        <f>IF(B2996="","",IFERROR(INDEX(Jugadores!$C$2:$C$501,MATCH(B2996,Jugadores!$A$2:$A$501,0)),"⚠ ID no existe"))</f>
        <v/>
      </c>
      <c r="D2996" s="19" t="n"/>
      <c r="E2996" s="19" t="n"/>
      <c r="F2996" s="16">
        <f>IF(OR(B2996="",D2996=""),"",IFERROR(INDEX('Tabla XP'!$B$2:$B$12,MATCH(D2996,'Tabla XP'!$A$2:$A$12,0))*IF(E2996="",1,E2996),0))</f>
        <v/>
      </c>
      <c r="G2996" s="19" t="n"/>
      <c r="H2996" s="19" t="n"/>
    </row>
    <row r="2997">
      <c r="A2997" s="22" t="n"/>
      <c r="B2997" s="19" t="n"/>
      <c r="C2997" s="18">
        <f>IF(B2997="","",IFERROR(INDEX(Jugadores!$C$2:$C$501,MATCH(B2997,Jugadores!$A$2:$A$501,0)),"⚠ ID no existe"))</f>
        <v/>
      </c>
      <c r="D2997" s="19" t="n"/>
      <c r="E2997" s="19" t="n"/>
      <c r="F2997" s="16">
        <f>IF(OR(B2997="",D2997=""),"",IFERROR(INDEX('Tabla XP'!$B$2:$B$12,MATCH(D2997,'Tabla XP'!$A$2:$A$12,0))*IF(E2997="",1,E2997),0))</f>
        <v/>
      </c>
      <c r="G2997" s="19" t="n"/>
      <c r="H2997" s="19" t="n"/>
    </row>
    <row r="2998">
      <c r="A2998" s="22" t="n"/>
      <c r="B2998" s="19" t="n"/>
      <c r="C2998" s="18">
        <f>IF(B2998="","",IFERROR(INDEX(Jugadores!$C$2:$C$501,MATCH(B2998,Jugadores!$A$2:$A$501,0)),"⚠ ID no existe"))</f>
        <v/>
      </c>
      <c r="D2998" s="19" t="n"/>
      <c r="E2998" s="19" t="n"/>
      <c r="F2998" s="16">
        <f>IF(OR(B2998="",D2998=""),"",IFERROR(INDEX('Tabla XP'!$B$2:$B$12,MATCH(D2998,'Tabla XP'!$A$2:$A$12,0))*IF(E2998="",1,E2998),0))</f>
        <v/>
      </c>
      <c r="G2998" s="19" t="n"/>
      <c r="H2998" s="19" t="n"/>
    </row>
    <row r="2999">
      <c r="A2999" s="22" t="n"/>
      <c r="B2999" s="19" t="n"/>
      <c r="C2999" s="18">
        <f>IF(B2999="","",IFERROR(INDEX(Jugadores!$C$2:$C$501,MATCH(B2999,Jugadores!$A$2:$A$501,0)),"⚠ ID no existe"))</f>
        <v/>
      </c>
      <c r="D2999" s="19" t="n"/>
      <c r="E2999" s="19" t="n"/>
      <c r="F2999" s="16">
        <f>IF(OR(B2999="",D2999=""),"",IFERROR(INDEX('Tabla XP'!$B$2:$B$12,MATCH(D2999,'Tabla XP'!$A$2:$A$12,0))*IF(E2999="",1,E2999),0))</f>
        <v/>
      </c>
      <c r="G2999" s="19" t="n"/>
      <c r="H2999" s="19" t="n"/>
    </row>
    <row r="3000">
      <c r="A3000" s="22" t="n"/>
      <c r="B3000" s="19" t="n"/>
      <c r="C3000" s="18">
        <f>IF(B3000="","",IFERROR(INDEX(Jugadores!$C$2:$C$501,MATCH(B3000,Jugadores!$A$2:$A$501,0)),"⚠ ID no existe"))</f>
        <v/>
      </c>
      <c r="D3000" s="19" t="n"/>
      <c r="E3000" s="19" t="n"/>
      <c r="F3000" s="16">
        <f>IF(OR(B3000="",D3000=""),"",IFERROR(INDEX('Tabla XP'!$B$2:$B$12,MATCH(D3000,'Tabla XP'!$A$2:$A$12,0))*IF(E3000="",1,E3000),0))</f>
        <v/>
      </c>
      <c r="G3000" s="19" t="n"/>
      <c r="H3000" s="19" t="n"/>
    </row>
    <row r="3001">
      <c r="A3001" s="22" t="n"/>
      <c r="B3001" s="19" t="n"/>
      <c r="C3001" s="18">
        <f>IF(B3001="","",IFERROR(INDEX(Jugadores!$C$2:$C$501,MATCH(B3001,Jugadores!$A$2:$A$501,0)),"⚠ ID no existe"))</f>
        <v/>
      </c>
      <c r="D3001" s="19" t="n"/>
      <c r="E3001" s="19" t="n"/>
      <c r="F3001" s="16">
        <f>IF(OR(B3001="",D3001=""),"",IFERROR(INDEX('Tabla XP'!$B$2:$B$12,MATCH(D3001,'Tabla XP'!$A$2:$A$12,0))*IF(E3001="",1,E3001),0))</f>
        <v/>
      </c>
      <c r="G3001" s="19" t="n"/>
      <c r="H3001" s="19" t="n"/>
    </row>
  </sheetData>
  <conditionalFormatting sqref="C2:C3001">
    <cfRule type="expression" priority="1" dxfId="1">
      <formula>LEFT(C2,1)="⚠"</formula>
    </cfRule>
  </conditionalFormatting>
  <dataValidations count="1">
    <dataValidation sqref="D2:D3001" showDropDown="0" showInputMessage="0" showErrorMessage="0" allowBlank="1" type="list">
      <formula1>'Tabla XP'!$A$2:$A$12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2" customHeight="1">
      <c r="A1" s="6" t="inlineStr">
        <is>
          <t>Momento</t>
        </is>
      </c>
      <c r="B1" s="6" t="inlineStr">
        <is>
          <t>Mensaje de WhatsApp (cambia lo que está entre [ ])</t>
        </is>
      </c>
    </row>
    <row r="2" ht="48" customHeight="1">
      <c r="A2" s="23" t="inlineStr">
        <is>
          <t>Bienvenida (al registrarse)</t>
        </is>
      </c>
      <c r="B2" s="2" t="inlineStr">
        <is>
          <t>¡Misión aceptada, [nombre]! 🎮 Eres el Jugador [#ID] y ya tienes 100 XP. Tu power-up: salsa extra gratis en tu primer pedido. Di tu número de jugador cada vez que pidas para sumar XP. El 19 de noviembre el puesto 1 se lleva GTA VI. ¡Nos vemos en Pixel Burger!</t>
        </is>
      </c>
    </row>
    <row r="3" ht="48" customHeight="1">
      <c r="A3" s="23" t="inlineStr">
        <is>
          <t>Después de un pedido</t>
        </is>
      </c>
      <c r="B3" s="2" t="inlineStr">
        <is>
          <t>+[XP] XP para el Jugador [#ID] 🍔 Ya vas en [total] XP. Te faltan [faltan] XP para tu próxima recompensa: [recompensa].</t>
        </is>
      </c>
    </row>
    <row r="4" ht="48" customHeight="1">
      <c r="A4" s="23" t="inlineStr">
        <is>
          <t>Nivel desbloqueado</t>
        </is>
      </c>
      <c r="B4" s="2" t="inlineStr">
        <is>
          <t>🏆 ¡Logro desbloqueado! Llegaste a [nivel] y ganaste [recompensa]. Reclámala en tu próximo pedido diciendo tu número de jugador.</t>
        </is>
      </c>
    </row>
    <row r="5" ht="48" customHeight="1">
      <c r="A5" s="23" t="inlineStr">
        <is>
          <t>Ranking semanal (lunes, a todos)</t>
        </is>
      </c>
      <c r="B5" s="2" t="inlineStr">
        <is>
          <t>Ranking de la Misión Pixel 🕹️ Top 3: 1. [alias] · 2. [alias] · 3. [alias]. Quedan [días] días: el 19 de noviembre el puesto 1 se lleva GTA VI. Tú vas en el puesto [puesto] con [XP] XP.</t>
        </is>
      </c>
    </row>
    <row r="6" ht="48" customHeight="1">
      <c r="A6" s="23" t="inlineStr">
        <is>
          <t>Referido</t>
        </is>
      </c>
      <c r="B6" s="2" t="inlineStr">
        <is>
          <t>¿Tienes amigos con hambre? Que se registren con tu número de jugador [#ID]: cuando hagan su primer pedido, tú ganas 400 XP.</t>
        </is>
      </c>
    </row>
    <row r="7" ht="48" customHeight="1">
      <c r="A7" s="23" t="inlineStr">
        <is>
          <t>Cierre (18 de noviembre)</t>
        </is>
      </c>
      <c r="B7" s="2" t="inlineStr">
        <is>
          <t>⏳ Última noche de la Misión Pixel. Los pedidos hasta las 23:59 de hoy suman XP. Mañana anunciamos ganadores en el local.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 ht="32" customHeight="1">
      <c r="A1" s="6" t="inlineStr">
        <is>
          <t>Campo del formulario (Google Forms o Tally)</t>
        </is>
      </c>
      <c r="B1" s="6" t="inlineStr">
        <is>
          <t>Tipo</t>
        </is>
      </c>
      <c r="C1" s="6" t="inlineStr">
        <is>
          <t>Obligatorio</t>
        </is>
      </c>
    </row>
    <row r="2">
      <c r="A2" s="2" t="inlineStr">
        <is>
          <t>Nombre completo</t>
        </is>
      </c>
      <c r="B2" s="2" t="inlineStr">
        <is>
          <t>Texto corto</t>
        </is>
      </c>
      <c r="C2" s="2" t="inlineStr">
        <is>
          <t>Sí</t>
        </is>
      </c>
    </row>
    <row r="3">
      <c r="A3" s="2" t="inlineStr">
        <is>
          <t>Alias para el ranking (así aparecerás en público)</t>
        </is>
      </c>
      <c r="B3" s="2" t="inlineStr">
        <is>
          <t>Texto corto</t>
        </is>
      </c>
      <c r="C3" s="2" t="inlineStr">
        <is>
          <t>Sí</t>
        </is>
      </c>
    </row>
    <row r="4">
      <c r="A4" s="2" t="inlineStr">
        <is>
          <t>Número de WhatsApp</t>
        </is>
      </c>
      <c r="B4" s="2" t="inlineStr">
        <is>
          <t>Texto corto (validar 10 dígitos)</t>
        </is>
      </c>
      <c r="C4" s="2" t="inlineStr">
        <is>
          <t>Sí</t>
        </is>
      </c>
    </row>
    <row r="5">
      <c r="A5" s="2" t="inlineStr">
        <is>
          <t>Usuario de Instagram</t>
        </is>
      </c>
      <c r="B5" s="2" t="inlineStr">
        <is>
          <t>Texto corto</t>
        </is>
      </c>
      <c r="C5" s="2" t="inlineStr">
        <is>
          <t>No</t>
        </is>
      </c>
    </row>
    <row r="6">
      <c r="A6" s="2" t="inlineStr">
        <is>
          <t>Barrio</t>
        </is>
      </c>
      <c r="B6" s="2" t="inlineStr">
        <is>
          <t>Lista: barrios del radio de domicilios + «Otro»</t>
        </is>
      </c>
      <c r="C6" s="2" t="inlineStr">
        <is>
          <t>Sí</t>
        </is>
      </c>
    </row>
    <row r="7">
      <c r="A7" s="2" t="inlineStr">
        <is>
          <t>¿Te invitó un jugador? Escribe su número de jugador</t>
        </is>
      </c>
      <c r="B7" s="2" t="inlineStr">
        <is>
          <t>Texto corto</t>
        </is>
      </c>
      <c r="C7" s="2" t="inlineStr">
        <is>
          <t>No</t>
        </is>
      </c>
    </row>
    <row r="8">
      <c r="A8" s="2" t="inlineStr">
        <is>
          <t>Confirmo que soy mayor de 18 años</t>
        </is>
      </c>
      <c r="B8" s="2" t="inlineStr">
        <is>
          <t>Casilla</t>
        </is>
      </c>
      <c r="C8" s="2" t="inlineStr">
        <is>
          <t>Sí</t>
        </is>
      </c>
    </row>
    <row r="9">
      <c r="A9" s="2" t="inlineStr">
        <is>
          <t>Acepto las bases y condiciones de la Misión Pixel [enlace]</t>
        </is>
      </c>
      <c r="B9" s="2" t="inlineStr">
        <is>
          <t>Casilla</t>
        </is>
      </c>
      <c r="C9" s="2" t="inlineStr">
        <is>
          <t>Sí</t>
        </is>
      </c>
    </row>
    <row r="10">
      <c r="A10" s="2" t="inlineStr">
        <is>
          <t>Autorizo a Pixel Burger a tratar mis datos personales para gestionar mi participación en la Misión Pixel, enviarme información del reto y promociones por WhatsApp, conforme a la Ley 1581 de 2012. Puedo consultar, actualizar o pedir la eliminación de mis datos escribiendo a [WhatsApp/correo].</t>
        </is>
      </c>
      <c r="B10" s="2" t="inlineStr">
        <is>
          <t>Casilla</t>
        </is>
      </c>
      <c r="C10" s="2" t="inlineStr">
        <is>
          <t>Sí</t>
        </is>
      </c>
    </row>
    <row r="12">
      <c r="A12" s="5" t="inlineStr">
        <is>
          <t>El texto de autorización de datos y las bases deben revisarse con un abogado antes de publicarse.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2026-10-08T01:44:14Z</dcterms:created>
  <dcterms:modified xsi:type="dcterms:W3CDTF">2026-10-08T01:44:15Z</dcterms:modified>
</cp:coreProperties>
</file>