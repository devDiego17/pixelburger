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ego\OneDrive\Documentos\PixelBurger\"/>
    </mc:Choice>
  </mc:AlternateContent>
  <bookViews>
    <workbookView xWindow="0" yWindow="0" windowWidth="16380" windowHeight="8190" tabRatio="729" firstSheet="5" activeTab="5"/>
  </bookViews>
  <sheets>
    <sheet name="Borrador" sheetId="1" r:id="rId1"/>
    <sheet name="Capital Inicial" sheetId="2" r:id="rId2"/>
    <sheet name="Proyección de Ventas" sheetId="3" r:id="rId3"/>
    <sheet name="Recetas Base" sheetId="4" r:id="rId4"/>
    <sheet name="Costos Unitarios" sheetId="5" r:id="rId5"/>
    <sheet name="Food Cost" sheetId="6" r:id="rId6"/>
    <sheet name="Compras Mensuales" sheetId="7" r:id="rId7"/>
    <sheet name="Operación Mensual" sheetId="8" r:id="rId8"/>
    <sheet name="Punto de Equilibrio" sheetId="9" r:id="rId9"/>
    <sheet name="Flujo de Caja" sheetId="10" r:id="rId10"/>
    <sheet name="Dashboard" sheetId="11" r:id="rId11"/>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9" i="10" l="1"/>
  <c r="G9" i="10"/>
  <c r="E9" i="10"/>
  <c r="D9" i="10"/>
  <c r="C9" i="10"/>
  <c r="E8" i="10"/>
  <c r="B43" i="8"/>
  <c r="B42" i="8"/>
  <c r="B36" i="8"/>
  <c r="H10" i="10" s="1"/>
  <c r="B27" i="8"/>
  <c r="F9" i="10" s="1"/>
  <c r="B12" i="8"/>
  <c r="D8" i="10" s="1"/>
  <c r="I26" i="7"/>
  <c r="I25" i="7"/>
  <c r="I24" i="7"/>
  <c r="I23" i="7"/>
  <c r="I22" i="7"/>
  <c r="I16" i="7"/>
  <c r="B15" i="7"/>
  <c r="E15" i="7" s="1"/>
  <c r="I12" i="7"/>
  <c r="I11" i="7"/>
  <c r="I10" i="7"/>
  <c r="I9" i="7"/>
  <c r="I8" i="7"/>
  <c r="I7" i="7"/>
  <c r="B7" i="7"/>
  <c r="E7" i="7" s="1"/>
  <c r="I6" i="7"/>
  <c r="E37" i="6"/>
  <c r="D37" i="6"/>
  <c r="E36" i="6"/>
  <c r="D36" i="6"/>
  <c r="D34" i="6"/>
  <c r="E34" i="6" s="1"/>
  <c r="E32" i="6"/>
  <c r="D32" i="6"/>
  <c r="D31" i="6"/>
  <c r="E31" i="6" s="1"/>
  <c r="E29" i="6"/>
  <c r="D29" i="6"/>
  <c r="E23" i="6"/>
  <c r="D23" i="6"/>
  <c r="D22" i="6"/>
  <c r="E22" i="6" s="1"/>
  <c r="D21" i="6"/>
  <c r="E21" i="6" s="1"/>
  <c r="E19" i="6"/>
  <c r="D19" i="6"/>
  <c r="D18" i="6"/>
  <c r="E18" i="6" s="1"/>
  <c r="D16" i="6"/>
  <c r="E16" i="6" s="1"/>
  <c r="E10" i="6"/>
  <c r="D10" i="6"/>
  <c r="D8" i="6"/>
  <c r="E8" i="6" s="1"/>
  <c r="D7" i="6"/>
  <c r="E7" i="6" s="1"/>
  <c r="E5" i="6"/>
  <c r="D5" i="6"/>
  <c r="C13" i="5"/>
  <c r="I14" i="7" s="1"/>
  <c r="C4" i="5"/>
  <c r="D6" i="6" s="1"/>
  <c r="E6" i="6" s="1"/>
  <c r="B24" i="4"/>
  <c r="B18" i="4"/>
  <c r="C12" i="5" s="1"/>
  <c r="B13" i="4"/>
  <c r="B12" i="4"/>
  <c r="B9" i="4"/>
  <c r="B13" i="3"/>
  <c r="C12" i="3"/>
  <c r="B21" i="11" s="1"/>
  <c r="C11" i="3"/>
  <c r="B16" i="7" s="1"/>
  <c r="E16" i="7" s="1"/>
  <c r="B6" i="3"/>
  <c r="B5" i="11" s="1"/>
  <c r="B14" i="2"/>
  <c r="B4" i="11" s="1"/>
  <c r="H59" i="1"/>
  <c r="D59" i="1"/>
  <c r="D39" i="1"/>
  <c r="K24" i="1"/>
  <c r="K12" i="1"/>
  <c r="H12" i="1"/>
  <c r="D12" i="1"/>
  <c r="D9" i="6" l="1"/>
  <c r="E9" i="6" s="1"/>
  <c r="D20" i="6"/>
  <c r="E20" i="6" s="1"/>
  <c r="I13" i="7"/>
  <c r="G16" i="7"/>
  <c r="J16" i="7"/>
  <c r="G15" i="7"/>
  <c r="J7" i="7"/>
  <c r="G7" i="7"/>
  <c r="I5" i="7"/>
  <c r="B12" i="7"/>
  <c r="E12" i="7" s="1"/>
  <c r="B24" i="7"/>
  <c r="J24" i="7" s="1"/>
  <c r="B4" i="9"/>
  <c r="B5" i="10"/>
  <c r="B11" i="10" s="1"/>
  <c r="B12" i="10" s="1"/>
  <c r="F8" i="10"/>
  <c r="B5" i="9"/>
  <c r="G8" i="10"/>
  <c r="C10" i="10"/>
  <c r="B8" i="11"/>
  <c r="B10" i="7"/>
  <c r="E10" i="7" s="1"/>
  <c r="D30" i="6"/>
  <c r="E30" i="6" s="1"/>
  <c r="H8" i="10"/>
  <c r="D10" i="10"/>
  <c r="B20" i="11"/>
  <c r="B9" i="7"/>
  <c r="E9" i="7" s="1"/>
  <c r="C10" i="3"/>
  <c r="B11" i="7"/>
  <c r="E11" i="7" s="1"/>
  <c r="B25" i="7"/>
  <c r="J25" i="7" s="1"/>
  <c r="B44" i="8"/>
  <c r="E10" i="10"/>
  <c r="B6" i="7"/>
  <c r="E6" i="7" s="1"/>
  <c r="B14" i="7"/>
  <c r="E14" i="7" s="1"/>
  <c r="D17" i="6"/>
  <c r="E17" i="6" s="1"/>
  <c r="B8" i="7"/>
  <c r="E8" i="7" s="1"/>
  <c r="F10" i="10"/>
  <c r="B11" i="11"/>
  <c r="B22" i="7"/>
  <c r="J22" i="7" s="1"/>
  <c r="B29" i="4"/>
  <c r="B30" i="4" s="1"/>
  <c r="C14" i="5" s="1"/>
  <c r="D33" i="6"/>
  <c r="E33" i="6" s="1"/>
  <c r="B5" i="7"/>
  <c r="E5" i="7" s="1"/>
  <c r="B23" i="7"/>
  <c r="J23" i="7" s="1"/>
  <c r="C8" i="10"/>
  <c r="G10" i="10"/>
  <c r="B26" i="7"/>
  <c r="J26" i="7" s="1"/>
  <c r="E25" i="6" l="1"/>
  <c r="B45" i="6" s="1"/>
  <c r="C45" i="6" s="1"/>
  <c r="D45" i="6" s="1"/>
  <c r="G14" i="7"/>
  <c r="J14" i="7"/>
  <c r="G12" i="7"/>
  <c r="J12" i="7"/>
  <c r="G6" i="7"/>
  <c r="J6" i="7"/>
  <c r="J9" i="7"/>
  <c r="G9" i="7"/>
  <c r="B6" i="9"/>
  <c r="B13" i="7"/>
  <c r="E13" i="7" s="1"/>
  <c r="C13" i="3"/>
  <c r="B19" i="11"/>
  <c r="J5" i="7"/>
  <c r="G5" i="7"/>
  <c r="I15" i="7"/>
  <c r="J15" i="7" s="1"/>
  <c r="D24" i="6"/>
  <c r="E24" i="6" s="1"/>
  <c r="D35" i="6"/>
  <c r="E35" i="6" s="1"/>
  <c r="E38" i="6" s="1"/>
  <c r="B46" i="6" s="1"/>
  <c r="C46" i="6" s="1"/>
  <c r="D46" i="6" s="1"/>
  <c r="D11" i="6"/>
  <c r="E11" i="6" s="1"/>
  <c r="E12" i="6" s="1"/>
  <c r="B44" i="6" s="1"/>
  <c r="C44" i="6" s="1"/>
  <c r="D44" i="6" s="1"/>
  <c r="J27" i="7"/>
  <c r="B18" i="8" s="1"/>
  <c r="B10" i="11" s="1"/>
  <c r="G11" i="7"/>
  <c r="J11" i="7"/>
  <c r="G8" i="7"/>
  <c r="J8" i="7"/>
  <c r="J10" i="7"/>
  <c r="G10" i="7"/>
  <c r="D10" i="3" l="1"/>
  <c r="E10" i="3" s="1"/>
  <c r="E44" i="6"/>
  <c r="B49" i="6"/>
  <c r="B15" i="11" s="1"/>
  <c r="E46" i="6"/>
  <c r="D11" i="3"/>
  <c r="E11" i="3" s="1"/>
  <c r="C20" i="11" s="1"/>
  <c r="J13" i="7"/>
  <c r="G13" i="7"/>
  <c r="J18" i="7"/>
  <c r="D12" i="3"/>
  <c r="E12" i="3" s="1"/>
  <c r="C21" i="11" s="1"/>
  <c r="E45" i="6"/>
  <c r="B15" i="8" l="1"/>
  <c r="J29" i="7"/>
  <c r="B8" i="9"/>
  <c r="E13" i="3"/>
  <c r="C19" i="11"/>
  <c r="B46" i="8" l="1"/>
  <c r="B15" i="3"/>
  <c r="B7" i="11"/>
  <c r="H7" i="10"/>
  <c r="G7" i="10"/>
  <c r="B9" i="11"/>
  <c r="F7" i="10"/>
  <c r="E7" i="10"/>
  <c r="D7" i="10"/>
  <c r="C7" i="10"/>
  <c r="B39" i="8"/>
  <c r="B47" i="8" l="1"/>
  <c r="B12" i="11"/>
  <c r="B9" i="9"/>
  <c r="B10" i="9" s="1"/>
  <c r="B45" i="8"/>
  <c r="B6" i="11"/>
  <c r="H6" i="10"/>
  <c r="H11" i="10" s="1"/>
  <c r="G6" i="10"/>
  <c r="G11" i="10" s="1"/>
  <c r="F6" i="10"/>
  <c r="F11" i="10" s="1"/>
  <c r="E6" i="10"/>
  <c r="E11" i="10" s="1"/>
  <c r="D6" i="10"/>
  <c r="D11" i="10" s="1"/>
  <c r="C6" i="10"/>
  <c r="C11" i="10" s="1"/>
  <c r="C12" i="10" s="1"/>
  <c r="D12" i="10" s="1"/>
  <c r="E12" i="10" s="1"/>
  <c r="B48" i="8"/>
  <c r="B13" i="11" s="1"/>
  <c r="B12" i="9" l="1"/>
  <c r="B13" i="9" s="1"/>
  <c r="C23" i="9"/>
  <c r="C22" i="9"/>
  <c r="C21" i="9"/>
  <c r="C25" i="9"/>
  <c r="B14" i="9"/>
  <c r="C24" i="9"/>
  <c r="F12" i="10"/>
  <c r="G12" i="10" s="1"/>
  <c r="H12" i="10" s="1"/>
  <c r="B23" i="11" l="1"/>
  <c r="B15" i="9"/>
  <c r="B16" i="9"/>
</calcChain>
</file>

<file path=xl/sharedStrings.xml><?xml version="1.0" encoding="utf-8"?>
<sst xmlns="http://schemas.openxmlformats.org/spreadsheetml/2006/main" count="563" uniqueCount="307">
  <si>
    <t>GASTOS FIJOS MENSUALES (JUEVES/DOMINGO)</t>
  </si>
  <si>
    <t>GASTOS FIJOS MENSUALES (MARTES/DOMINGO)</t>
  </si>
  <si>
    <t>GASTOS FIJOS MENSUALES (MARTES/DOMINGO DOMI)</t>
  </si>
  <si>
    <t>Concepto</t>
  </si>
  <si>
    <t>Monto</t>
  </si>
  <si>
    <t>Arriendo</t>
  </si>
  <si>
    <t>Gas</t>
  </si>
  <si>
    <t>Publicidad/Marketing</t>
  </si>
  <si>
    <t>Nómina juev a dom</t>
  </si>
  <si>
    <t>Nómina martes a dom</t>
  </si>
  <si>
    <t>Aseo (2 mensual, 60 c/u)</t>
  </si>
  <si>
    <t>Plan celular</t>
  </si>
  <si>
    <t>Reserva</t>
  </si>
  <si>
    <t>Total</t>
  </si>
  <si>
    <t>Capital de trabajo inicial (estimado) JUEVES/DOMINGO.</t>
  </si>
  <si>
    <t>Capital de trabajo inicial (estimado) martes/domingo</t>
  </si>
  <si>
    <t>GASTOS FIJOS MENSUALES (JUEVES/DOMINGO DOMI)</t>
  </si>
  <si>
    <t>Consumibles comida/emp</t>
  </si>
  <si>
    <t>Gasolina</t>
  </si>
  <si>
    <t>Soat y tecno</t>
  </si>
  <si>
    <t>Fondo de mantenimiento de activos</t>
  </si>
  <si>
    <t>monto</t>
  </si>
  <si>
    <t>Moto</t>
  </si>
  <si>
    <t>Nevera</t>
  </si>
  <si>
    <t>Motor campana</t>
  </si>
  <si>
    <t>Remplasos de utencilios</t>
  </si>
  <si>
    <t>General</t>
  </si>
  <si>
    <t>Capital inicial (Una vez)</t>
  </si>
  <si>
    <t>Fondo de emergencia</t>
  </si>
  <si>
    <t>No se toca si no pasa nada serio</t>
  </si>
  <si>
    <t>Monto -&gt;</t>
  </si>
  <si>
    <t>Casco</t>
  </si>
  <si>
    <t>Caja menor</t>
  </si>
  <si>
    <t>Publicidad de apertura</t>
  </si>
  <si>
    <t>3 meses de arriendo</t>
  </si>
  <si>
    <t>3 meses de sueldo</t>
  </si>
  <si>
    <t>ó</t>
  </si>
  <si>
    <t>Soporte para celular del dom</t>
  </si>
  <si>
    <t>Celular</t>
  </si>
  <si>
    <t>Si quisiera vender mi primera hamburguesa hoy deberia tener...</t>
  </si>
  <si>
    <t>Si quisiera vender mi primera hamburguesa hoy debería tener… (mínimo posible)</t>
  </si>
  <si>
    <t>concepto</t>
  </si>
  <si>
    <t>Valor/Coste</t>
  </si>
  <si>
    <t>Prioridad</t>
  </si>
  <si>
    <t>Moto/papeles/primer tanque</t>
  </si>
  <si>
    <t>Alta</t>
  </si>
  <si>
    <t>Soporte para celular</t>
  </si>
  <si>
    <t>Media</t>
  </si>
  <si>
    <t>2 celulares del negocio</t>
  </si>
  <si>
    <t>Celular exclusivo del negcio</t>
  </si>
  <si>
    <t>Inventario inicial de comida</t>
  </si>
  <si>
    <t>Critica</t>
  </si>
  <si>
    <t>Empaques</t>
  </si>
  <si>
    <t>Sello</t>
  </si>
  <si>
    <t>Baja</t>
  </si>
  <si>
    <t>Fondo para cambio</t>
  </si>
  <si>
    <t>Nomina inicial</t>
  </si>
  <si>
    <t>Arriendo inicial</t>
  </si>
  <si>
    <t>imprevisto</t>
  </si>
  <si>
    <t>baja</t>
  </si>
  <si>
    <t>Gas/servicios inicial</t>
  </si>
  <si>
    <t>CAPITAL INICIAL — ESCENARIO MÍNIMO</t>
  </si>
  <si>
    <t>Inversión única para poder abrir. La moto, el inventario inicial y la publicidad de apertura NO son gastos mensuales recurrentes (ver Documento Maestro secciones 4-5).</t>
  </si>
  <si>
    <t>Nota</t>
  </si>
  <si>
    <t>Inversión, no gasto mensual</t>
  </si>
  <si>
    <t>Soporte para celular del domiciliario</t>
  </si>
  <si>
    <t>Celular exclusivo del negocio</t>
  </si>
  <si>
    <t>Si ya se tiene, costo 0</t>
  </si>
  <si>
    <t>Crítica</t>
  </si>
  <si>
    <t>NO es el consumo de un mes; es el mínimo para empezar a vender (Documento Maestro sección 4)</t>
  </si>
  <si>
    <t>Cifra provisional — pendiente definir con marketing (hermano de Diego)</t>
  </si>
  <si>
    <t>Nómina inicial</t>
  </si>
  <si>
    <t>Arriendo inicial (servicios/utilidades)</t>
  </si>
  <si>
    <t>El papá de Diego no cobra arriendo comercial</t>
  </si>
  <si>
    <t>TOTAL CAPITAL INICIAL</t>
  </si>
  <si>
    <t>El fondo de mantenimiento y el fondo de emergencia se manejan como aportes MENSUALES en la hoja 'Operación Mensual' (Tabla 5 - Fondos), no como parte de este capital inicial de apertura.</t>
  </si>
  <si>
    <t>PROYECCIÓN DE VENTAS</t>
  </si>
  <si>
    <t>Escenario de trabajo (Documento Maestro sección 9), no una predicción. Ajustar apenas existan datos reales de venta.</t>
  </si>
  <si>
    <t>Días abiertos/mes</t>
  </si>
  <si>
    <t>Hamburguesas/día (objetivo)</t>
  </si>
  <si>
    <t>TOTAL HAMBURGUESAS/MES</t>
  </si>
  <si>
    <t>Producto</t>
  </si>
  <si>
    <t>% distribución</t>
  </si>
  <si>
    <t>Hamburguesas/mes</t>
  </si>
  <si>
    <t>Precio de venta ($)</t>
  </si>
  <si>
    <t>Ventas ($)</t>
  </si>
  <si>
    <t>Clásica</t>
  </si>
  <si>
    <t>Montañera</t>
  </si>
  <si>
    <t>Cheese</t>
  </si>
  <si>
    <t>Ticket promedio</t>
  </si>
  <si>
    <t>RECETAS BASE (preparaciones reutilizables)</t>
  </si>
  <si>
    <t>Concepto clave del Documento Maestro (sección 12): en vez de recalcular cada ingrediente por hamburguesa, cada hamburguesa consume una porción de una receta base ya costeada.</t>
  </si>
  <si>
    <t>1. Carne preparada</t>
  </si>
  <si>
    <t>Ingrediente</t>
  </si>
  <si>
    <t>Cantidad (g)</t>
  </si>
  <si>
    <t>Carne (cruda)</t>
  </si>
  <si>
    <t>Cebolla</t>
  </si>
  <si>
    <t>Especias/salsas de sazón</t>
  </si>
  <si>
    <t>Total mezcla (g)</t>
  </si>
  <si>
    <t>Costo total de la receta ($)</t>
  </si>
  <si>
    <t>Dato de receta anterior verificada (Documento Maestro sección 11). Insumos crudos aún no desglosados por costo unitario.</t>
  </si>
  <si>
    <t>Rendimiento (hamburguesas)</t>
  </si>
  <si>
    <t>Costo por hamburguesa ($)</t>
  </si>
  <si>
    <t>Costo por gramo de mezcla ($/g)</t>
  </si>
  <si>
    <t>2. Cebolla caramelizada</t>
  </si>
  <si>
    <t>Costo mensual estimado ($)</t>
  </si>
  <si>
    <t>Fuente: tabla de compras mensuales original (Documento Maestro sección 13)</t>
  </si>
  <si>
    <t>Porciones mensuales (tabla original)</t>
  </si>
  <si>
    <t>Costo por porción ($)</t>
  </si>
  <si>
    <t>⚠ REVISAR: Clásica + Cheese suman 390 hamburguesas/mes. Si cada una lleva 1 porción, se necesitan ~390 porciones/mes, no 156. La hoja 'Compras Mensuales' ya recalcula la cantidad real necesaria — falta validar el tamaño real de la porción con el proveedor/receta.</t>
  </si>
  <si>
    <t>3. Hogao</t>
  </si>
  <si>
    <t>Consistente: Montañera vende 130/mes = 130 porciones, es decir 1 porción por hamburguesa. Sin inconsistencia detectada.</t>
  </si>
  <si>
    <t>4. Salsas (BBQ + salsa dulce combinadas)</t>
  </si>
  <si>
    <t>Hamburguesas/mes que llevan salsa</t>
  </si>
  <si>
    <t>⚠ SUPUESTO: no existe todavía una receta detallada de salsas (BBQ, dulce, chipotle, miel picante). Se prorratea el gasto mensual estimado entre el total de hamburguesas. Definir la receta real de cada salsa para afinar este costo.</t>
  </si>
  <si>
    <t>COSTOS UNITARIOS DE INSUMOS</t>
  </si>
  <si>
    <t>Costo por unidad de cada insumo, usado por la hoja Food Cost para calcular el costo de cada hamburguesa.</t>
  </si>
  <si>
    <t>Insumo</t>
  </si>
  <si>
    <t>Unidad</t>
  </si>
  <si>
    <t>Costo unitario</t>
  </si>
  <si>
    <t>Fuente / nota</t>
  </si>
  <si>
    <t>Carne preparada</t>
  </si>
  <si>
    <t>$/hamburguesa</t>
  </si>
  <si>
    <t>Receta base: 735 g rinden 5 hamburguesas (ver hoja Recetas Base)</t>
  </si>
  <si>
    <t>Pan</t>
  </si>
  <si>
    <t>$/unidad</t>
  </si>
  <si>
    <t>676.000 ÷ 520 unidades</t>
  </si>
  <si>
    <t>Queso blanco</t>
  </si>
  <si>
    <t>$/loncha</t>
  </si>
  <si>
    <t>234.000 ÷ 1.040 lonchas</t>
  </si>
  <si>
    <t>Queso cheddar</t>
  </si>
  <si>
    <t>109.200 ÷ 156 lonchas (solo Cheese)</t>
  </si>
  <si>
    <t>Queso crema</t>
  </si>
  <si>
    <t>$/g</t>
  </si>
  <si>
    <t>119.340 ÷ 2.340 g (solo Cheese)</t>
  </si>
  <si>
    <t>Chorizo santarrosano</t>
  </si>
  <si>
    <t>260.000 ÷ 130 unidades (solo Montañera)</t>
  </si>
  <si>
    <t>Tomate</t>
  </si>
  <si>
    <t>$/unidad (receta)</t>
  </si>
  <si>
    <t>234.000 ÷ 260 unidades — ⚠ convertir a kg/unidad comercial en Compras Mensuales</t>
  </si>
  <si>
    <t>Lechuga</t>
  </si>
  <si>
    <t>$/hoja (receta)</t>
  </si>
  <si>
    <t>52.000 ÷ 1.040 hojas — ⚠ convertir a unidad comercial en Compras Mensuales</t>
  </si>
  <si>
    <t>Cebolla caramelizada</t>
  </si>
  <si>
    <t>$/porción</t>
  </si>
  <si>
    <t>Ver hoja Recetas Base — cantidad mensual real a validar</t>
  </si>
  <si>
    <t>Hogao</t>
  </si>
  <si>
    <t>Ver hoja Recetas Base</t>
  </si>
  <si>
    <t>Salsas (BBQ + dulce)</t>
  </si>
  <si>
    <t>Ver hoja Recetas Base — provisional, sin receta detallada</t>
  </si>
  <si>
    <t>Cilantro</t>
  </si>
  <si>
    <t>3.300 ÷ 65 g (redondeado, solo Montañera)</t>
  </si>
  <si>
    <t>Consumibles (empaque — no es food cost)</t>
  </si>
  <si>
    <t>Cajas</t>
  </si>
  <si>
    <t>709.000 ÷ 520 unidades</t>
  </si>
  <si>
    <t>Papel encerado</t>
  </si>
  <si>
    <t>71.240 ÷ 520 unidades</t>
  </si>
  <si>
    <t>Servilletas</t>
  </si>
  <si>
    <t>20.000 ÷ 520 unidades</t>
  </si>
  <si>
    <t>Bolsas</t>
  </si>
  <si>
    <t>60.000 ÷ 520 unidades</t>
  </si>
  <si>
    <t>Bolsa kraft L</t>
  </si>
  <si>
    <t>16.700 ÷ 520 unidades</t>
  </si>
  <si>
    <t>FOOD COST — LAS TRES HAMBURGUESAS</t>
  </si>
  <si>
    <t>CLÁSICA</t>
  </si>
  <si>
    <t>Cantidad/hamburguesa</t>
  </si>
  <si>
    <t>Subtotal</t>
  </si>
  <si>
    <t>unidad</t>
  </si>
  <si>
    <t>hamburguesa</t>
  </si>
  <si>
    <t>hoja</t>
  </si>
  <si>
    <t>porción</t>
  </si>
  <si>
    <t>loncha</t>
  </si>
  <si>
    <t>TOTAL COSTO CLÁSICA</t>
  </si>
  <si>
    <t>CHEESE</t>
  </si>
  <si>
    <t>g</t>
  </si>
  <si>
    <t>TOTAL COSTO CHEESE</t>
  </si>
  <si>
    <t>MONTAÑERA</t>
  </si>
  <si>
    <t>TOTAL COSTO MONTAÑERA</t>
  </si>
  <si>
    <t>PRECIOS DE VENTA SUGERIDOS</t>
  </si>
  <si>
    <t>Food cost objetivo (%)</t>
  </si>
  <si>
    <t>Editable — estándar del sector: 28%-33%</t>
  </si>
  <si>
    <t>Costo/hamburguesa</t>
  </si>
  <si>
    <t>Precio sugerido (costo/%)</t>
  </si>
  <si>
    <t>Precio final a usar</t>
  </si>
  <si>
    <t>Margen contribución</t>
  </si>
  <si>
    <t>Columna D en amarillo = edítala si quieres fijar un precio distinto al redondeo automático (ej. terminar en 900 o 500).</t>
  </si>
  <si>
    <t>Food cost real ponderado (%)</t>
  </si>
  <si>
    <t>COMPRAS MENSUALES ESTIMADAS (fórmula, ligada a Proyección de Ventas)</t>
  </si>
  <si>
    <t>El costo total ($) se calcula con el costo por unidad de receta (columna H), que es confiable. Las columnas F/G (unidad de compra) son para planear cuánto pedirle al proveedor — ajusta el factor de conversión cuando confirmes con cada proveedor.</t>
  </si>
  <si>
    <t>Volumen aplicable (hamb/mes)</t>
  </si>
  <si>
    <t>Unidad receta</t>
  </si>
  <si>
    <t>Cantidad necesaria/mes</t>
  </si>
  <si>
    <t>Factor conversión a unidad compra</t>
  </si>
  <si>
    <t>Cantidad a comprar</t>
  </si>
  <si>
    <t>Unidad compra</t>
  </si>
  <si>
    <t>Costo unitario (receta)</t>
  </si>
  <si>
    <t>Costo total mensual</t>
  </si>
  <si>
    <t>Carne preparada (mezcla)</t>
  </si>
  <si>
    <t>Solo Cheese</t>
  </si>
  <si>
    <t>Solo Montañera</t>
  </si>
  <si>
    <t>kg</t>
  </si>
  <si>
    <t>⚠ Factor conversión provisional: ~150 g/tomate. Ajustar según el proveedor (vende por kg o por unidad).</t>
  </si>
  <si>
    <t>⚠ Factor conversión provisional: ~50 g/hoja. Ajustar según el proveedor.</t>
  </si>
  <si>
    <t>⚠ Corregido: antes se estimaban solo 156 porciones/mes; con 1 porción por hamburguesa en Clásica+Cheese se necesitan ~390. Validar tamaño real de porción.</t>
  </si>
  <si>
    <t>Solo Montañera — consistente con la tabla original</t>
  </si>
  <si>
    <t>⚠ Provisional — sin receta detallada, ver hoja Recetas Base</t>
  </si>
  <si>
    <t>SUBTOTAL INGREDIENTES</t>
  </si>
  <si>
    <t>CONSUMIBLES (empaque)</t>
  </si>
  <si>
    <t>SUBTOTAL CONSUMIBLES</t>
  </si>
  <si>
    <t>TOTAL COMPRAS MENSUALES (ingredientes + consumibles)</t>
  </si>
  <si>
    <t>OPERACIÓN MENSUAL</t>
  </si>
  <si>
    <t>Escenario martes a domingo (6 días/semana ≈ 26 días/mes), con domicilios — consistente con la Proyección de Ventas.</t>
  </si>
  <si>
    <t>TABLA 1 — GASTOS FIJOS</t>
  </si>
  <si>
    <t>Arriendo (servicios/utilidades)</t>
  </si>
  <si>
    <t>Gas/luz</t>
  </si>
  <si>
    <t>Recurrente — separado del marketing de apertura</t>
  </si>
  <si>
    <t>Nómina (martes a domingo, con domicilios)</t>
  </si>
  <si>
    <t>Ver hoja Borrador para el detalle del cálculo</t>
  </si>
  <si>
    <t>Aseo (2 x mes, $60.000 c/u)</t>
  </si>
  <si>
    <t>TOTAL GASTOS FIJOS</t>
  </si>
  <si>
    <t>TABLA 2 — COMPRAS VARIABLES (ingredientes)</t>
  </si>
  <si>
    <t>Total compras de ingredientes (ver hoja 'Compras Mensuales')</t>
  </si>
  <si>
    <t>TABLA 3 — CONSUMIBLES</t>
  </si>
  <si>
    <t>Total consumibles (ver hoja 'Compras Mensuales')</t>
  </si>
  <si>
    <t>TABLA 4 — OPERACIÓN DE DOMICILIOS</t>
  </si>
  <si>
    <t>⚠ Provisional — validar con datos reales de consumo de la moto</t>
  </si>
  <si>
    <t>Lavado</t>
  </si>
  <si>
    <t>⚠ Provisional</t>
  </si>
  <si>
    <t>Aceite</t>
  </si>
  <si>
    <t>Parqueaderos</t>
  </si>
  <si>
    <t>Otros</t>
  </si>
  <si>
    <t>TOTAL DOMICILIOS</t>
  </si>
  <si>
    <t>TABLA 5 — FONDOS (no son gastos, es dinero que se aparta)</t>
  </si>
  <si>
    <t>Reserva general</t>
  </si>
  <si>
    <t>Mantenimiento</t>
  </si>
  <si>
    <t>⚠ Provisional — ajustar según plan real de mantenimiento (moto, nevera, plancha)</t>
  </si>
  <si>
    <t>Emergencia</t>
  </si>
  <si>
    <t>⚠ Provisional — construye hacia la meta de $1.000.000 (ver hoja Borrador)</t>
  </si>
  <si>
    <t>Crecimiento</t>
  </si>
  <si>
    <t>Se activa en Etapa 2+, no en Etapa 0/1</t>
  </si>
  <si>
    <t>Impuestos</t>
  </si>
  <si>
    <t>Definir cuando aplique régimen tributario</t>
  </si>
  <si>
    <t>TOTAL FONDOS</t>
  </si>
  <si>
    <t>TABLA 6 — RESUMEN: ¿CUÁNTO NECESITA EL NEGOCIO PARA FUNCIONAR AL MES?</t>
  </si>
  <si>
    <t>TOTAL NECESIDAD MENSUAL</t>
  </si>
  <si>
    <t>TABLA 7 — META DE VENTAS</t>
  </si>
  <si>
    <t>Hamburguesas/día</t>
  </si>
  <si>
    <t>Ventas mensuales</t>
  </si>
  <si>
    <t>Costos totales (Tabla 6)</t>
  </si>
  <si>
    <t>UTILIDAD PROYECTADA</t>
  </si>
  <si>
    <t>PUNTO DE EQUILIBRIO</t>
  </si>
  <si>
    <t>Responde: ¿cuántas hamburguesas hay que vender al mes para no perder dinero? ¿Y para ganar $X, pagarme sueldo, o contratar a alguien? (Documento Maestro sección 27)</t>
  </si>
  <si>
    <t>Costos fijos operativos (gastos fijos + domicilios)</t>
  </si>
  <si>
    <t>Fondos (apartados)</t>
  </si>
  <si>
    <t>Costos fijos + fondos</t>
  </si>
  <si>
    <t>Costo variable promedio por hamburguesa (ingredientes + consumibles)</t>
  </si>
  <si>
    <t>Ticket promedio (precio de venta ponderado)</t>
  </si>
  <si>
    <t>MARGEN DE CONTRIBUCIÓN PROMEDIO / HAMBURGUESA</t>
  </si>
  <si>
    <t>Punto de equilibrio SIN fondos (unidades/mes)</t>
  </si>
  <si>
    <t>Punto de equilibrio SIN fondos ($/mes)</t>
  </si>
  <si>
    <t>Punto de equilibrio CON fondos (unidades/mes)</t>
  </si>
  <si>
    <t>Punto de equilibrio CON fondos ($/mes)</t>
  </si>
  <si>
    <t>Escenario actual (520 hamburguesas/mes) vs. punto de equilibrio</t>
  </si>
  <si>
    <t>Positivo = por encima del punto de equilibrio con fondos; negativo = por debajo.</t>
  </si>
  <si>
    <t>¿CUÁNTAS HAMBURGUESAS PARA LOGRAR CADA META?</t>
  </si>
  <si>
    <t>Meta</t>
  </si>
  <si>
    <t>Utilidad deseada ($)</t>
  </si>
  <si>
    <t>Hamburguesas/mes necesarias</t>
  </si>
  <si>
    <t>Punto de equilibrio (utilidad $0)</t>
  </si>
  <si>
    <t>Ganar $500.000/mes</t>
  </si>
  <si>
    <t>Ganar $1.000.000/mes</t>
  </si>
  <si>
    <t>Pagarme un sueldo</t>
  </si>
  <si>
    <t>⚠ Editable — define aquí el sueldo mensual que quieres pagarte</t>
  </si>
  <si>
    <t>Contratar a otra persona</t>
  </si>
  <si>
    <t>⚠ Editable — estimado con la nómina de un turno adicional (ver hoja Borrador)</t>
  </si>
  <si>
    <t>FLUJO DE CAJA — PROYECCIÓN SIMPLE (6 MESES)</t>
  </si>
  <si>
    <t>Usa el mismo escenario mensual repetido (520 hamburguesas/mes) como plantilla. Reemplaza cada mes por datos reales apenas el negocio esté operando.</t>
  </si>
  <si>
    <t>Mes 0 (apertura)</t>
  </si>
  <si>
    <t>Mes 1</t>
  </si>
  <si>
    <t>Mes 2</t>
  </si>
  <si>
    <t>Mes 3</t>
  </si>
  <si>
    <t>Mes 4</t>
  </si>
  <si>
    <t>Mes 5</t>
  </si>
  <si>
    <t>Mes 6</t>
  </si>
  <si>
    <t>Capital inicial invertido</t>
  </si>
  <si>
    <t>Ventas</t>
  </si>
  <si>
    <t>Costo variable (ingredientes + consumibles)</t>
  </si>
  <si>
    <t>Gastos fijos</t>
  </si>
  <si>
    <t>Domicilios</t>
  </si>
  <si>
    <t>Fondos apartados</t>
  </si>
  <si>
    <t>FLUJO NETO DEL MES</t>
  </si>
  <si>
    <t>CAJA ACUMULADA</t>
  </si>
  <si>
    <t>Si la caja acumulada se vuelve negativa en algún mes, esa es la señal de que el capital inicial o el ritmo de ventas asumido no alcanzan — ajusta el escenario antes de invertir.</t>
  </si>
  <si>
    <t>DASHBOARD — PIXEL BURGER</t>
  </si>
  <si>
    <t>Actualizado con el escenario de trabajo de 520 hamburguesas/mes. Última actualización del modelo: 2026-09-15.</t>
  </si>
  <si>
    <t>Capital inicial requerido</t>
  </si>
  <si>
    <t>Hamburguesas/mes (escenario)</t>
  </si>
  <si>
    <t>Ventas mensuales proyectadas</t>
  </si>
  <si>
    <t>Gastos fijos mensuales</t>
  </si>
  <si>
    <t>Compras variables (ingredientes)</t>
  </si>
  <si>
    <t>Consumibles</t>
  </si>
  <si>
    <t>Fondos mensuales (apartados)</t>
  </si>
  <si>
    <t>Necesidad mensual total</t>
  </si>
  <si>
    <t>Utilidad mensual proyectada</t>
  </si>
  <si>
    <t>Food cost real ponderado</t>
  </si>
  <si>
    <t>Distribución de ventas por producto</t>
  </si>
  <si>
    <t>Punto de equilibrio (unidades/mes, con fondos)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</si>
</sst>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_);_(\$* \(#,##0.00\);_(\$* \-??_);_(@_)"/>
    <numFmt numFmtId="165" formatCode="_-\$* #,##0.00_-;&quot;-$&quot;* #,##0.00_-;_-\$* \-??_-;_-@_-"/>
    <numFmt numFmtId="166" formatCode="\$#,##0;&quot;($&quot;#,##0\);\-"/>
    <numFmt numFmtId="167" formatCode="0.0%"/>
    <numFmt numFmtId="168" formatCode="\$#,##0.00"/>
    <numFmt numFmtId="169" formatCode="#,##0.0"/>
    <numFmt numFmtId="170" formatCode="#,##0.0000"/>
  </numFmts>
  <fonts count="12" x14ac:knownFonts="1">
    <font>
      <sz val="11"/>
      <color theme="1"/>
      <name val="Calibri"/>
      <family val="2"/>
      <charset val="1"/>
    </font>
    <font>
      <b/>
      <sz val="11"/>
      <color theme="1"/>
      <name val="Calibri"/>
      <family val="2"/>
      <charset val="1"/>
    </font>
    <font>
      <u/>
      <sz val="11"/>
      <color theme="1"/>
      <name val="Calibri"/>
      <family val="2"/>
      <charset val="1"/>
    </font>
    <font>
      <b/>
      <sz val="14"/>
      <color rgb="FFFFFFFF"/>
      <name val="Arial"/>
      <charset val="1"/>
    </font>
    <font>
      <i/>
      <sz val="9"/>
      <color rgb="FF7F7F7F"/>
      <name val="Arial"/>
      <charset val="1"/>
    </font>
    <font>
      <b/>
      <sz val="10"/>
      <color rgb="FFFFFFFF"/>
      <name val="Arial"/>
      <charset val="1"/>
    </font>
    <font>
      <sz val="10"/>
      <name val="Arial"/>
      <charset val="1"/>
    </font>
    <font>
      <sz val="10"/>
      <color rgb="FF0000FF"/>
      <name val="Arial"/>
      <charset val="1"/>
    </font>
    <font>
      <b/>
      <sz val="10"/>
      <name val="Arial"/>
      <charset val="1"/>
    </font>
    <font>
      <sz val="10"/>
      <color rgb="FF008000"/>
      <name val="Arial"/>
      <charset val="1"/>
    </font>
    <font>
      <i/>
      <sz val="9"/>
      <color rgb="FF9C6500"/>
      <name val="Arial"/>
      <charset val="1"/>
    </font>
    <font>
      <sz val="11"/>
      <color theme="1"/>
      <name val="Calibri"/>
      <family val="2"/>
      <charset val="1"/>
    </font>
  </fonts>
  <fills count="9">
    <fill>
      <patternFill patternType="none"/>
    </fill>
    <fill>
      <patternFill patternType="gray125"/>
    </fill>
    <fill>
      <patternFill patternType="solid">
        <fgColor theme="7" tint="0.59987182226020086"/>
        <bgColor rgb="FFFFF2CC"/>
      </patternFill>
    </fill>
    <fill>
      <patternFill patternType="solid">
        <fgColor theme="9" tint="0.59987182226020086"/>
        <bgColor rgb="FFD9D9D9"/>
      </patternFill>
    </fill>
    <fill>
      <patternFill patternType="solid">
        <fgColor theme="9" tint="0.39988402966399123"/>
        <bgColor rgb="FFC5E0B4"/>
      </patternFill>
    </fill>
    <fill>
      <patternFill patternType="solid">
        <fgColor rgb="FF1F4E78"/>
        <bgColor rgb="FF003366"/>
      </patternFill>
    </fill>
    <fill>
      <patternFill patternType="solid">
        <fgColor rgb="FF2E75B6"/>
        <bgColor rgb="FF0066CC"/>
      </patternFill>
    </fill>
    <fill>
      <patternFill patternType="solid">
        <fgColor rgb="FFD9E1F2"/>
        <bgColor rgb="FFD9D9D9"/>
      </patternFill>
    </fill>
    <fill>
      <patternFill patternType="solid">
        <fgColor rgb="FFFFF2CC"/>
        <bgColor rgb="FFFFE699"/>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164" fontId="11" fillId="0" borderId="0"/>
  </cellStyleXfs>
  <cellXfs count="55">
    <xf numFmtId="0" fontId="0" fillId="0" borderId="0" xfId="0"/>
    <xf numFmtId="0" fontId="10" fillId="8" borderId="0" xfId="0" applyFont="1" applyFill="1" applyBorder="1" applyAlignment="1">
      <alignment vertical="top" wrapText="1"/>
    </xf>
    <xf numFmtId="0" fontId="4" fillId="0" borderId="0" xfId="0" applyFont="1" applyBorder="1" applyAlignment="1">
      <alignment vertical="top" wrapText="1"/>
    </xf>
    <xf numFmtId="0" fontId="3" fillId="5" borderId="0" xfId="0" applyFont="1" applyFill="1" applyBorder="1" applyAlignment="1">
      <alignment vertical="center"/>
    </xf>
    <xf numFmtId="3" fontId="0" fillId="0" borderId="1" xfId="0" applyNumberFormat="1" applyFont="1" applyBorder="1" applyAlignment="1">
      <alignment horizontal="center"/>
    </xf>
    <xf numFmtId="0" fontId="0" fillId="0" borderId="1" xfId="0" applyFont="1" applyBorder="1" applyAlignment="1">
      <alignment horizontal="center"/>
    </xf>
    <xf numFmtId="0" fontId="1" fillId="2" borderId="1" xfId="0" applyFont="1" applyFill="1" applyBorder="1" applyAlignment="1">
      <alignment horizontal="center"/>
    </xf>
    <xf numFmtId="0" fontId="0" fillId="0" borderId="0" xfId="0" applyFont="1"/>
    <xf numFmtId="0" fontId="1" fillId="2" borderId="1" xfId="0" applyFont="1" applyFill="1" applyBorder="1" applyAlignment="1">
      <alignment horizontal="center"/>
    </xf>
    <xf numFmtId="0" fontId="1" fillId="0" borderId="0" xfId="0" applyFont="1"/>
    <xf numFmtId="0" fontId="0" fillId="0" borderId="1" xfId="0" applyFont="1" applyBorder="1"/>
    <xf numFmtId="165" fontId="0" fillId="0" borderId="1" xfId="1" applyNumberFormat="1" applyFont="1" applyBorder="1"/>
    <xf numFmtId="165" fontId="0" fillId="0" borderId="1" xfId="0" applyNumberFormat="1" applyFont="1" applyBorder="1"/>
    <xf numFmtId="0" fontId="0" fillId="3" borderId="1" xfId="0" applyFont="1" applyFill="1" applyBorder="1"/>
    <xf numFmtId="0" fontId="0" fillId="4" borderId="1" xfId="0" applyFont="1" applyFill="1" applyBorder="1"/>
    <xf numFmtId="0" fontId="1" fillId="0" borderId="1" xfId="0" applyFont="1" applyBorder="1"/>
    <xf numFmtId="165" fontId="0" fillId="0" borderId="0" xfId="1" applyNumberFormat="1" applyFont="1"/>
    <xf numFmtId="0" fontId="2" fillId="0" borderId="0" xfId="0" applyFont="1"/>
    <xf numFmtId="0" fontId="1" fillId="2" borderId="1" xfId="0" applyFont="1" applyFill="1" applyBorder="1"/>
    <xf numFmtId="0" fontId="0" fillId="0" borderId="2" xfId="0" applyFont="1" applyBorder="1" applyAlignment="1">
      <alignment horizontal="center"/>
    </xf>
    <xf numFmtId="0" fontId="1" fillId="3" borderId="1" xfId="0" applyFont="1" applyFill="1" applyBorder="1"/>
    <xf numFmtId="0" fontId="5" fillId="6" borderId="3" xfId="0" applyFont="1" applyFill="1" applyBorder="1" applyAlignment="1">
      <alignment horizontal="center" wrapText="1"/>
    </xf>
    <xf numFmtId="0" fontId="6" fillId="0" borderId="3" xfId="0" applyFont="1" applyBorder="1"/>
    <xf numFmtId="166" fontId="7" fillId="0" borderId="3" xfId="0" applyNumberFormat="1" applyFont="1" applyBorder="1"/>
    <xf numFmtId="0" fontId="6" fillId="0" borderId="3" xfId="0" applyFont="1" applyBorder="1" applyAlignment="1">
      <alignment horizontal="center"/>
    </xf>
    <xf numFmtId="0" fontId="4" fillId="0" borderId="3" xfId="0" applyFont="1" applyBorder="1" applyAlignment="1">
      <alignment vertical="top" wrapText="1"/>
    </xf>
    <xf numFmtId="0" fontId="8" fillId="0" borderId="3" xfId="0" applyFont="1" applyBorder="1"/>
    <xf numFmtId="166" fontId="8" fillId="7" borderId="3" xfId="0" applyNumberFormat="1" applyFont="1" applyFill="1" applyBorder="1"/>
    <xf numFmtId="0" fontId="6" fillId="7" borderId="3" xfId="0" applyFont="1" applyFill="1" applyBorder="1"/>
    <xf numFmtId="0" fontId="7" fillId="0" borderId="3" xfId="0" applyFont="1" applyBorder="1" applyAlignment="1">
      <alignment horizontal="center"/>
    </xf>
    <xf numFmtId="3" fontId="8" fillId="7" borderId="3" xfId="0" applyNumberFormat="1" applyFont="1" applyFill="1" applyBorder="1" applyAlignment="1">
      <alignment horizontal="center"/>
    </xf>
    <xf numFmtId="167" fontId="7" fillId="0" borderId="3" xfId="0" applyNumberFormat="1" applyFont="1" applyBorder="1" applyAlignment="1">
      <alignment horizontal="center"/>
    </xf>
    <xf numFmtId="3" fontId="6" fillId="0" borderId="3" xfId="0" applyNumberFormat="1" applyFont="1" applyBorder="1" applyAlignment="1">
      <alignment horizontal="center"/>
    </xf>
    <xf numFmtId="166" fontId="9" fillId="0" borderId="3" xfId="0" applyNumberFormat="1" applyFont="1" applyBorder="1"/>
    <xf numFmtId="166" fontId="0" fillId="0" borderId="3" xfId="0" applyNumberFormat="1" applyFont="1" applyBorder="1"/>
    <xf numFmtId="167" fontId="8" fillId="7" borderId="3" xfId="0" applyNumberFormat="1" applyFont="1" applyFill="1" applyBorder="1"/>
    <xf numFmtId="3" fontId="8" fillId="7" borderId="3" xfId="0" applyNumberFormat="1" applyFont="1" applyFill="1" applyBorder="1"/>
    <xf numFmtId="3" fontId="7" fillId="0" borderId="3" xfId="0" applyNumberFormat="1" applyFont="1" applyBorder="1"/>
    <xf numFmtId="3" fontId="8" fillId="0" borderId="3" xfId="0" applyNumberFormat="1" applyFont="1" applyBorder="1"/>
    <xf numFmtId="168" fontId="6" fillId="0" borderId="3" xfId="0" applyNumberFormat="1" applyFont="1" applyBorder="1"/>
    <xf numFmtId="3" fontId="9" fillId="0" borderId="3" xfId="0" applyNumberFormat="1" applyFont="1" applyBorder="1"/>
    <xf numFmtId="169" fontId="7" fillId="0" borderId="3" xfId="0" applyNumberFormat="1" applyFont="1" applyBorder="1" applyAlignment="1">
      <alignment horizontal="center"/>
    </xf>
    <xf numFmtId="166" fontId="6" fillId="0" borderId="3" xfId="0" applyNumberFormat="1" applyFont="1" applyBorder="1"/>
    <xf numFmtId="167" fontId="7" fillId="8" borderId="3" xfId="0" applyNumberFormat="1" applyFont="1" applyFill="1" applyBorder="1" applyAlignment="1">
      <alignment horizontal="center"/>
    </xf>
    <xf numFmtId="166" fontId="7" fillId="8" borderId="3" xfId="0" applyNumberFormat="1" applyFont="1" applyFill="1" applyBorder="1"/>
    <xf numFmtId="167" fontId="9" fillId="7" borderId="3" xfId="0" applyNumberFormat="1" applyFont="1" applyFill="1" applyBorder="1"/>
    <xf numFmtId="4" fontId="7" fillId="0" borderId="3" xfId="0" applyNumberFormat="1" applyFont="1" applyBorder="1" applyAlignment="1">
      <alignment horizontal="center"/>
    </xf>
    <xf numFmtId="4" fontId="6" fillId="0" borderId="3" xfId="0" applyNumberFormat="1" applyFont="1" applyBorder="1"/>
    <xf numFmtId="170" fontId="7" fillId="0" borderId="3" xfId="0" applyNumberFormat="1" applyFont="1" applyBorder="1" applyAlignment="1">
      <alignment horizontal="center"/>
    </xf>
    <xf numFmtId="0" fontId="10" fillId="0" borderId="0" xfId="0" applyFont="1" applyAlignment="1">
      <alignment vertical="top" wrapText="1"/>
    </xf>
    <xf numFmtId="3" fontId="7" fillId="0" borderId="3" xfId="0" applyNumberFormat="1" applyFont="1" applyBorder="1" applyAlignment="1">
      <alignment horizontal="center"/>
    </xf>
    <xf numFmtId="166" fontId="9" fillId="7" borderId="3" xfId="0" applyNumberFormat="1" applyFont="1" applyFill="1" applyBorder="1"/>
    <xf numFmtId="0" fontId="10" fillId="0" borderId="3" xfId="0" applyFont="1" applyBorder="1" applyAlignment="1">
      <alignment vertical="top" wrapText="1"/>
    </xf>
    <xf numFmtId="3" fontId="6" fillId="0" borderId="3" xfId="0" applyNumberFormat="1" applyFont="1" applyBorder="1"/>
    <xf numFmtId="3" fontId="9" fillId="7" borderId="3" xfId="0" applyNumberFormat="1" applyFont="1" applyFill="1" applyBorder="1"/>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BFBFBF"/>
      <rgbColor rgb="FF7F7F7F"/>
      <rgbColor rgb="FFA5A5A5"/>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5E0B4"/>
      <rgbColor rgb="FFFFE699"/>
      <rgbColor rgb="FFA9D18E"/>
      <rgbColor rgb="FFFF99CC"/>
      <rgbColor rgb="FFCC99FF"/>
      <rgbColor rgb="FFFFCC99"/>
      <rgbColor rgb="FF2E75B6"/>
      <rgbColor rgb="FF33CCCC"/>
      <rgbColor rgb="FF99CC00"/>
      <rgbColor rgb="FFFFCC00"/>
      <rgbColor rgb="FFFF9900"/>
      <rgbColor rgb="FFED7D31"/>
      <rgbColor rgb="FF666699"/>
      <rgbColor rgb="FF8B8B8B"/>
      <rgbColor rgb="FF003366"/>
      <rgbColor rgb="FF5B9BD5"/>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Distribución de ventas por producto (unidades)</a:t>
            </a:r>
          </a:p>
        </c:rich>
      </c:tx>
      <c:layout/>
      <c:overlay val="0"/>
      <c:spPr>
        <a:noFill/>
        <a:ln w="0">
          <a:noFill/>
        </a:ln>
      </c:spPr>
    </c:title>
    <c:autoTitleDeleted val="0"/>
    <c:plotArea>
      <c:layout/>
      <c:pieChart>
        <c:varyColors val="1"/>
        <c:ser>
          <c:idx val="0"/>
          <c:order val="0"/>
          <c:tx>
            <c:strRef>
              <c:f>Dashboard!$B$18</c:f>
              <c:strCache>
                <c:ptCount val="1"/>
                <c:pt idx="0">
                  <c:v>Hamburguesas/mes</c:v>
                </c:pt>
              </c:strCache>
            </c:strRef>
          </c:tx>
          <c:spPr>
            <a:solidFill>
              <a:srgbClr val="5B9BD5"/>
            </a:solidFill>
            <a:ln w="0">
              <a:noFill/>
            </a:ln>
          </c:spPr>
          <c:dPt>
            <c:idx val="0"/>
            <c:bubble3D val="0"/>
            <c:extLst>
              <c:ext xmlns:c16="http://schemas.microsoft.com/office/drawing/2014/chart" uri="{C3380CC4-5D6E-409C-BE32-E72D297353CC}">
                <c16:uniqueId val="{00000001-D0D0-4A5A-BCC4-05697027685D}"/>
              </c:ext>
            </c:extLst>
          </c:dPt>
          <c:dPt>
            <c:idx val="1"/>
            <c:bubble3D val="0"/>
            <c:spPr>
              <a:solidFill>
                <a:srgbClr val="ED7D31"/>
              </a:solidFill>
              <a:ln w="0">
                <a:noFill/>
              </a:ln>
            </c:spPr>
            <c:extLst>
              <c:ext xmlns:c16="http://schemas.microsoft.com/office/drawing/2014/chart" uri="{C3380CC4-5D6E-409C-BE32-E72D297353CC}">
                <c16:uniqueId val="{00000003-D0D0-4A5A-BCC4-05697027685D}"/>
              </c:ext>
            </c:extLst>
          </c:dPt>
          <c:dPt>
            <c:idx val="2"/>
            <c:bubble3D val="0"/>
            <c:spPr>
              <a:solidFill>
                <a:srgbClr val="A5A5A5"/>
              </a:solidFill>
              <a:ln w="0">
                <a:noFill/>
              </a:ln>
            </c:spPr>
            <c:extLst>
              <c:ext xmlns:c16="http://schemas.microsoft.com/office/drawing/2014/chart" uri="{C3380CC4-5D6E-409C-BE32-E72D297353CC}">
                <c16:uniqueId val="{00000005-D0D0-4A5A-BCC4-05697027685D}"/>
              </c:ext>
            </c:extLst>
          </c:dPt>
          <c:dLbls>
            <c:dLbl>
              <c:idx val="0"/>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1-D0D0-4A5A-BCC4-05697027685D}"/>
                </c:ext>
              </c:extLst>
            </c:dLbl>
            <c:dLbl>
              <c:idx val="1"/>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3-D0D0-4A5A-BCC4-05697027685D}"/>
                </c:ext>
              </c:extLst>
            </c:dLbl>
            <c:dLbl>
              <c:idx val="2"/>
              <c:spPr/>
              <c:txPr>
                <a:bodyPr wrap="none"/>
                <a:lstStyle/>
                <a:p>
                  <a:pPr>
                    <a:defRPr sz="1000" b="0" strike="noStrike" spc="-1">
                      <a:latin typeface="Arial"/>
                    </a:defRPr>
                  </a:pPr>
                  <a:endParaRPr lang="es-MX"/>
                </a:p>
              </c:txPr>
              <c:showLegendKey val="0"/>
              <c:showVal val="0"/>
              <c:showCatName val="0"/>
              <c:showSerName val="0"/>
              <c:showPercent val="0"/>
              <c:showBubbleSize val="1"/>
              <c:extLst>
                <c:ext xmlns:c16="http://schemas.microsoft.com/office/drawing/2014/chart" uri="{C3380CC4-5D6E-409C-BE32-E72D297353CC}">
                  <c16:uniqueId val="{00000005-D0D0-4A5A-BCC4-05697027685D}"/>
                </c:ext>
              </c:extLst>
            </c:dLbl>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Dashboard!$A$19:$A$21</c:f>
              <c:strCache>
                <c:ptCount val="3"/>
                <c:pt idx="0">
                  <c:v>Clásica</c:v>
                </c:pt>
                <c:pt idx="1">
                  <c:v>Montañera</c:v>
                </c:pt>
                <c:pt idx="2">
                  <c:v>Cheese</c:v>
                </c:pt>
              </c:strCache>
            </c:strRef>
          </c:cat>
          <c:val>
            <c:numRef>
              <c:f>Dashboard!$B$19:$B$21</c:f>
              <c:numCache>
                <c:formatCode>#,##0</c:formatCode>
                <c:ptCount val="3"/>
                <c:pt idx="0">
                  <c:v>312</c:v>
                </c:pt>
                <c:pt idx="1">
                  <c:v>130</c:v>
                </c:pt>
                <c:pt idx="2">
                  <c:v>78</c:v>
                </c:pt>
              </c:numCache>
            </c:numRef>
          </c:val>
          <c:extLst>
            <c:ext xmlns:c16="http://schemas.microsoft.com/office/drawing/2014/chart" uri="{C3380CC4-5D6E-409C-BE32-E72D297353CC}">
              <c16:uniqueId val="{00000006-D0D0-4A5A-BCC4-05697027685D}"/>
            </c:ext>
          </c:extLst>
        </c:ser>
        <c:dLbls>
          <c:showLegendKey val="0"/>
          <c:showVal val="0"/>
          <c:showCatName val="0"/>
          <c:showSerName val="0"/>
          <c:showPercent val="0"/>
          <c:showBubbleSize val="0"/>
          <c:showLeaderLines val="1"/>
        </c:dLbls>
        <c:firstSliceAng val="0"/>
      </c:pieChart>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Ventas ($) por producto</a:t>
            </a:r>
          </a:p>
        </c:rich>
      </c:tx>
      <c:layout/>
      <c:overlay val="0"/>
      <c:spPr>
        <a:noFill/>
        <a:ln w="0">
          <a:noFill/>
        </a:ln>
      </c:spPr>
    </c:title>
    <c:autoTitleDeleted val="0"/>
    <c:plotArea>
      <c:layout/>
      <c:barChart>
        <c:barDir val="col"/>
        <c:grouping val="clustered"/>
        <c:varyColors val="0"/>
        <c:ser>
          <c:idx val="0"/>
          <c:order val="0"/>
          <c:tx>
            <c:strRef>
              <c:f>Dashboard!$C$18</c:f>
              <c:strCache>
                <c:ptCount val="1"/>
                <c:pt idx="0">
                  <c:v>Ventas ($)</c:v>
                </c:pt>
              </c:strCache>
            </c:strRef>
          </c:tx>
          <c:spPr>
            <a:solidFill>
              <a:srgbClr val="5B9BD5"/>
            </a:solidFill>
            <a:ln w="0">
              <a:noFill/>
            </a:ln>
          </c:spPr>
          <c:invertIfNegative val="0"/>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Dashboard!$A$19:$A$21</c:f>
              <c:strCache>
                <c:ptCount val="3"/>
                <c:pt idx="0">
                  <c:v>Clásica</c:v>
                </c:pt>
                <c:pt idx="1">
                  <c:v>Montañera</c:v>
                </c:pt>
                <c:pt idx="2">
                  <c:v>Cheese</c:v>
                </c:pt>
              </c:strCache>
            </c:strRef>
          </c:cat>
          <c:val>
            <c:numRef>
              <c:f>Dashboard!$C$19:$C$21</c:f>
              <c:numCache>
                <c:formatCode>\$#,##0;"($"#,##0\);\-</c:formatCode>
                <c:ptCount val="3"/>
                <c:pt idx="0">
                  <c:v>6895200</c:v>
                </c:pt>
                <c:pt idx="1">
                  <c:v>3783000</c:v>
                </c:pt>
                <c:pt idx="2">
                  <c:v>2488200</c:v>
                </c:pt>
              </c:numCache>
            </c:numRef>
          </c:val>
          <c:extLst>
            <c:ext xmlns:c16="http://schemas.microsoft.com/office/drawing/2014/chart" uri="{C3380CC4-5D6E-409C-BE32-E72D297353CC}">
              <c16:uniqueId val="{00000000-925E-472C-9972-3BCBDE6243C2}"/>
            </c:ext>
          </c:extLst>
        </c:ser>
        <c:dLbls>
          <c:showLegendKey val="0"/>
          <c:showVal val="0"/>
          <c:showCatName val="0"/>
          <c:showSerName val="0"/>
          <c:showPercent val="0"/>
          <c:showBubbleSize val="0"/>
        </c:dLbls>
        <c:gapWidth val="150"/>
        <c:axId val="77201945"/>
        <c:axId val="18501883"/>
      </c:barChart>
      <c:catAx>
        <c:axId val="77201945"/>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18501883"/>
        <c:crosses val="autoZero"/>
        <c:auto val="1"/>
        <c:lblAlgn val="ctr"/>
        <c:lblOffset val="100"/>
        <c:noMultiLvlLbl val="0"/>
      </c:catAx>
      <c:valAx>
        <c:axId val="18501883"/>
        <c:scaling>
          <c:orientation val="minMax"/>
        </c:scaling>
        <c:delete val="0"/>
        <c:axPos val="l"/>
        <c:majorGridlines>
          <c:spPr>
            <a:ln w="6480">
              <a:solidFill>
                <a:srgbClr val="8B8B8B"/>
              </a:solidFill>
              <a:round/>
            </a:ln>
          </c:spPr>
        </c:majorGridlines>
        <c:numFmt formatCode="\$#,##0;&quot;($&quot;#,##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77201945"/>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11</xdr:col>
      <xdr:colOff>38880</xdr:colOff>
      <xdr:row>18</xdr:row>
      <xdr:rowOff>22320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20</xdr:row>
      <xdr:rowOff>0</xdr:rowOff>
    </xdr:from>
    <xdr:to>
      <xdr:col>11</xdr:col>
      <xdr:colOff>38880</xdr:colOff>
      <xdr:row>35</xdr:row>
      <xdr:rowOff>21960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K120"/>
  <sheetViews>
    <sheetView zoomScaleNormal="100" workbookViewId="0">
      <selection activeCell="C3" sqref="C3:D3"/>
    </sheetView>
  </sheetViews>
  <sheetFormatPr baseColWidth="10" defaultColWidth="10.7109375" defaultRowHeight="15" x14ac:dyDescent="0.25"/>
  <cols>
    <col min="3" max="3" width="28.42578125" style="7" customWidth="1"/>
    <col min="4" max="4" width="24.28515625" style="7" customWidth="1"/>
    <col min="7" max="7" width="28.42578125" style="7" customWidth="1"/>
    <col min="8" max="8" width="25" style="7" customWidth="1"/>
    <col min="9" max="9" width="24" style="7" customWidth="1"/>
    <col min="10" max="10" width="24.5703125" style="7" customWidth="1"/>
    <col min="11" max="11" width="27.5703125" style="7" customWidth="1"/>
  </cols>
  <sheetData>
    <row r="3" spans="3:11" x14ac:dyDescent="0.25">
      <c r="C3" s="6" t="s">
        <v>0</v>
      </c>
      <c r="D3" s="6"/>
      <c r="E3" s="9"/>
      <c r="F3" s="9"/>
      <c r="G3" s="6" t="s">
        <v>1</v>
      </c>
      <c r="H3" s="6"/>
      <c r="J3" s="6" t="s">
        <v>2</v>
      </c>
      <c r="K3" s="6"/>
    </row>
    <row r="4" spans="3:11" x14ac:dyDescent="0.25">
      <c r="C4" s="8" t="s">
        <v>3</v>
      </c>
      <c r="D4" s="8" t="s">
        <v>4</v>
      </c>
      <c r="G4" s="8" t="s">
        <v>3</v>
      </c>
      <c r="H4" s="8" t="s">
        <v>4</v>
      </c>
      <c r="J4" s="8" t="s">
        <v>3</v>
      </c>
      <c r="K4" s="8" t="s">
        <v>4</v>
      </c>
    </row>
    <row r="5" spans="3:11" x14ac:dyDescent="0.25">
      <c r="C5" s="10" t="s">
        <v>5</v>
      </c>
      <c r="D5" s="11">
        <v>250000</v>
      </c>
      <c r="G5" s="10" t="s">
        <v>5</v>
      </c>
      <c r="H5" s="11">
        <v>250000</v>
      </c>
      <c r="J5" s="10" t="s">
        <v>5</v>
      </c>
      <c r="K5" s="12">
        <v>250000</v>
      </c>
    </row>
    <row r="6" spans="3:11" x14ac:dyDescent="0.25">
      <c r="C6" s="10" t="s">
        <v>6</v>
      </c>
      <c r="D6" s="11">
        <v>100000</v>
      </c>
      <c r="G6" s="10" t="s">
        <v>6</v>
      </c>
      <c r="H6" s="11">
        <v>100000</v>
      </c>
      <c r="J6" s="10" t="s">
        <v>6</v>
      </c>
      <c r="K6" s="12">
        <v>100000</v>
      </c>
    </row>
    <row r="7" spans="3:11" x14ac:dyDescent="0.25">
      <c r="C7" s="10" t="s">
        <v>7</v>
      </c>
      <c r="D7" s="11">
        <v>100000</v>
      </c>
      <c r="G7" s="10" t="s">
        <v>7</v>
      </c>
      <c r="H7" s="11">
        <v>100000</v>
      </c>
      <c r="J7" s="10" t="s">
        <v>7</v>
      </c>
      <c r="K7" s="12">
        <v>100000</v>
      </c>
    </row>
    <row r="8" spans="3:11" x14ac:dyDescent="0.25">
      <c r="C8" s="10" t="s">
        <v>8</v>
      </c>
      <c r="D8" s="11">
        <v>1283732</v>
      </c>
      <c r="G8" s="10" t="s">
        <v>9</v>
      </c>
      <c r="H8" s="11">
        <v>1809008</v>
      </c>
      <c r="J8" s="10" t="s">
        <v>9</v>
      </c>
      <c r="K8" s="12">
        <v>3618016</v>
      </c>
    </row>
    <row r="9" spans="3:11" x14ac:dyDescent="0.25">
      <c r="C9" s="10" t="s">
        <v>10</v>
      </c>
      <c r="D9" s="11">
        <v>120000</v>
      </c>
      <c r="G9" s="10" t="s">
        <v>10</v>
      </c>
      <c r="H9" s="11">
        <v>120000</v>
      </c>
      <c r="J9" s="10" t="s">
        <v>10</v>
      </c>
      <c r="K9" s="12">
        <v>120000</v>
      </c>
    </row>
    <row r="10" spans="3:11" x14ac:dyDescent="0.25">
      <c r="C10" s="10" t="s">
        <v>11</v>
      </c>
      <c r="D10" s="11">
        <v>30000</v>
      </c>
      <c r="G10" s="10" t="s">
        <v>11</v>
      </c>
      <c r="H10" s="11">
        <v>30000</v>
      </c>
      <c r="J10" s="10" t="s">
        <v>11</v>
      </c>
      <c r="K10" s="12">
        <v>30000</v>
      </c>
    </row>
    <row r="11" spans="3:11" x14ac:dyDescent="0.25">
      <c r="C11" s="10" t="s">
        <v>12</v>
      </c>
      <c r="D11" s="11">
        <v>320000</v>
      </c>
      <c r="G11" s="10" t="s">
        <v>12</v>
      </c>
      <c r="H11" s="11">
        <v>500000</v>
      </c>
      <c r="J11" s="10" t="s">
        <v>12</v>
      </c>
      <c r="K11" s="12">
        <v>500000</v>
      </c>
    </row>
    <row r="12" spans="3:11" x14ac:dyDescent="0.25">
      <c r="C12" s="13" t="s">
        <v>13</v>
      </c>
      <c r="D12" s="11">
        <f>SUM(D5:D11)</f>
        <v>2203732</v>
      </c>
      <c r="G12" s="14" t="s">
        <v>13</v>
      </c>
      <c r="H12" s="11">
        <f>SUM(H5:H11)</f>
        <v>2909008</v>
      </c>
      <c r="J12" s="14" t="s">
        <v>13</v>
      </c>
      <c r="K12" s="12">
        <f>SUM(K5:K11)</f>
        <v>4718016</v>
      </c>
    </row>
    <row r="15" spans="3:11" x14ac:dyDescent="0.25">
      <c r="C15" s="6" t="s">
        <v>14</v>
      </c>
      <c r="D15" s="6"/>
      <c r="G15" s="6" t="s">
        <v>15</v>
      </c>
      <c r="H15" s="6"/>
      <c r="J15" s="6" t="s">
        <v>16</v>
      </c>
      <c r="K15" s="6"/>
    </row>
    <row r="16" spans="3:11" x14ac:dyDescent="0.25">
      <c r="C16" s="15" t="s">
        <v>3</v>
      </c>
      <c r="D16" s="15" t="s">
        <v>4</v>
      </c>
      <c r="G16" s="15" t="s">
        <v>3</v>
      </c>
      <c r="H16" s="15" t="s">
        <v>4</v>
      </c>
      <c r="J16" s="8" t="s">
        <v>3</v>
      </c>
      <c r="K16" s="8" t="s">
        <v>4</v>
      </c>
    </row>
    <row r="17" spans="3:11" x14ac:dyDescent="0.25">
      <c r="C17" s="10" t="s">
        <v>17</v>
      </c>
      <c r="D17" s="11">
        <v>2300000</v>
      </c>
      <c r="G17" s="10" t="s">
        <v>17</v>
      </c>
      <c r="H17" s="11">
        <v>3450000</v>
      </c>
      <c r="J17" s="10" t="s">
        <v>5</v>
      </c>
      <c r="K17" s="12">
        <v>250000</v>
      </c>
    </row>
    <row r="18" spans="3:11" x14ac:dyDescent="0.25">
      <c r="C18" s="7" t="s">
        <v>18</v>
      </c>
      <c r="D18" s="16">
        <v>150000</v>
      </c>
      <c r="F18" s="17"/>
      <c r="J18" s="10" t="s">
        <v>6</v>
      </c>
      <c r="K18" s="12">
        <v>100000</v>
      </c>
    </row>
    <row r="19" spans="3:11" x14ac:dyDescent="0.25">
      <c r="C19" s="7" t="s">
        <v>19</v>
      </c>
      <c r="D19" s="16">
        <v>50000</v>
      </c>
      <c r="J19" s="10" t="s">
        <v>7</v>
      </c>
      <c r="K19" s="12">
        <v>100000</v>
      </c>
    </row>
    <row r="20" spans="3:11" x14ac:dyDescent="0.25">
      <c r="J20" s="10" t="s">
        <v>8</v>
      </c>
      <c r="K20" s="12">
        <v>2567464</v>
      </c>
    </row>
    <row r="21" spans="3:11" x14ac:dyDescent="0.25">
      <c r="G21" s="6" t="s">
        <v>20</v>
      </c>
      <c r="H21" s="6"/>
      <c r="J21" s="10" t="s">
        <v>10</v>
      </c>
      <c r="K21" s="12">
        <v>120000</v>
      </c>
    </row>
    <row r="22" spans="3:11" x14ac:dyDescent="0.25">
      <c r="D22" s="17"/>
      <c r="G22" s="10" t="s">
        <v>3</v>
      </c>
      <c r="H22" s="10" t="s">
        <v>21</v>
      </c>
      <c r="J22" s="10" t="s">
        <v>11</v>
      </c>
      <c r="K22" s="12">
        <v>30000</v>
      </c>
    </row>
    <row r="23" spans="3:11" x14ac:dyDescent="0.25">
      <c r="G23" s="10" t="s">
        <v>22</v>
      </c>
      <c r="H23" s="11">
        <v>600000</v>
      </c>
      <c r="J23" s="10" t="s">
        <v>12</v>
      </c>
      <c r="K23" s="12">
        <v>400000</v>
      </c>
    </row>
    <row r="24" spans="3:11" x14ac:dyDescent="0.25">
      <c r="G24" s="10" t="s">
        <v>23</v>
      </c>
      <c r="H24" s="11">
        <v>200000</v>
      </c>
      <c r="J24" s="14" t="s">
        <v>13</v>
      </c>
      <c r="K24" s="12">
        <f>SUM(K17:K23)</f>
        <v>3567464</v>
      </c>
    </row>
    <row r="25" spans="3:11" x14ac:dyDescent="0.25">
      <c r="G25" s="10" t="s">
        <v>24</v>
      </c>
      <c r="H25" s="11">
        <v>200000</v>
      </c>
    </row>
    <row r="26" spans="3:11" x14ac:dyDescent="0.25">
      <c r="G26" s="10" t="s">
        <v>25</v>
      </c>
      <c r="H26" s="11">
        <v>500000</v>
      </c>
    </row>
    <row r="27" spans="3:11" x14ac:dyDescent="0.25">
      <c r="G27" s="10" t="s">
        <v>26</v>
      </c>
      <c r="H27" s="11">
        <v>1000000</v>
      </c>
    </row>
    <row r="29" spans="3:11" x14ac:dyDescent="0.25">
      <c r="C29" s="6" t="s">
        <v>27</v>
      </c>
      <c r="D29" s="6"/>
      <c r="G29" s="6" t="s">
        <v>28</v>
      </c>
      <c r="H29" s="6"/>
    </row>
    <row r="30" spans="3:11" x14ac:dyDescent="0.25">
      <c r="C30" s="18" t="s">
        <v>3</v>
      </c>
      <c r="D30" s="18" t="s">
        <v>4</v>
      </c>
      <c r="G30" s="5" t="s">
        <v>29</v>
      </c>
      <c r="H30" s="5"/>
    </row>
    <row r="31" spans="3:11" x14ac:dyDescent="0.25">
      <c r="C31" s="10" t="s">
        <v>22</v>
      </c>
      <c r="D31" s="11">
        <v>3000000</v>
      </c>
      <c r="G31" s="10" t="s">
        <v>30</v>
      </c>
      <c r="H31" s="11">
        <v>1000000</v>
      </c>
    </row>
    <row r="32" spans="3:11" x14ac:dyDescent="0.25">
      <c r="C32" s="10" t="s">
        <v>31</v>
      </c>
      <c r="D32" s="11">
        <v>200000</v>
      </c>
    </row>
    <row r="33" spans="3:9" x14ac:dyDescent="0.25">
      <c r="C33" s="10" t="s">
        <v>32</v>
      </c>
      <c r="D33" s="11">
        <v>150000</v>
      </c>
    </row>
    <row r="34" spans="3:9" x14ac:dyDescent="0.25">
      <c r="C34" s="10" t="s">
        <v>33</v>
      </c>
      <c r="D34" s="11">
        <v>350000</v>
      </c>
    </row>
    <row r="35" spans="3:9" x14ac:dyDescent="0.25">
      <c r="C35" s="10" t="s">
        <v>34</v>
      </c>
      <c r="D35" s="11">
        <v>750000</v>
      </c>
    </row>
    <row r="36" spans="3:9" x14ac:dyDescent="0.25">
      <c r="C36" s="10" t="s">
        <v>35</v>
      </c>
      <c r="D36" s="11">
        <v>3851196</v>
      </c>
      <c r="E36" s="19" t="s">
        <v>36</v>
      </c>
      <c r="F36" s="4">
        <v>5427024</v>
      </c>
      <c r="G36" s="4"/>
    </row>
    <row r="37" spans="3:9" x14ac:dyDescent="0.25">
      <c r="C37" s="10" t="s">
        <v>37</v>
      </c>
      <c r="D37" s="11">
        <v>40000</v>
      </c>
    </row>
    <row r="38" spans="3:9" x14ac:dyDescent="0.25">
      <c r="C38" s="10" t="s">
        <v>38</v>
      </c>
      <c r="D38" s="11">
        <v>200000</v>
      </c>
    </row>
    <row r="39" spans="3:9" x14ac:dyDescent="0.25">
      <c r="C39" s="13" t="s">
        <v>13</v>
      </c>
      <c r="D39" s="12">
        <f>SUM(D31:D38)</f>
        <v>8541196</v>
      </c>
    </row>
    <row r="43" spans="3:9" x14ac:dyDescent="0.25">
      <c r="C43" s="6" t="s">
        <v>39</v>
      </c>
      <c r="D43" s="6"/>
      <c r="E43" s="6"/>
      <c r="G43" s="6" t="s">
        <v>40</v>
      </c>
      <c r="H43" s="6"/>
      <c r="I43" s="6"/>
    </row>
    <row r="44" spans="3:9" x14ac:dyDescent="0.25">
      <c r="C44" s="18" t="s">
        <v>41</v>
      </c>
      <c r="D44" s="18" t="s">
        <v>42</v>
      </c>
      <c r="E44" s="18" t="s">
        <v>43</v>
      </c>
      <c r="G44" s="18" t="s">
        <v>41</v>
      </c>
      <c r="H44" s="18" t="s">
        <v>42</v>
      </c>
      <c r="I44" s="18" t="s">
        <v>43</v>
      </c>
    </row>
    <row r="45" spans="3:9" x14ac:dyDescent="0.25">
      <c r="C45" s="10" t="s">
        <v>44</v>
      </c>
      <c r="D45" s="11">
        <v>3000000</v>
      </c>
      <c r="E45" s="10" t="s">
        <v>45</v>
      </c>
      <c r="G45" s="10" t="s">
        <v>44</v>
      </c>
      <c r="H45" s="11">
        <v>2000000</v>
      </c>
      <c r="I45" s="10" t="s">
        <v>45</v>
      </c>
    </row>
    <row r="46" spans="3:9" x14ac:dyDescent="0.25">
      <c r="C46" s="10" t="s">
        <v>31</v>
      </c>
      <c r="D46" s="11">
        <v>200000</v>
      </c>
      <c r="E46" s="10" t="s">
        <v>45</v>
      </c>
      <c r="G46" s="10" t="s">
        <v>31</v>
      </c>
      <c r="H46" s="11">
        <v>150000</v>
      </c>
      <c r="I46" s="10" t="s">
        <v>45</v>
      </c>
    </row>
    <row r="47" spans="3:9" x14ac:dyDescent="0.25">
      <c r="C47" s="10" t="s">
        <v>46</v>
      </c>
      <c r="D47" s="11">
        <v>20000</v>
      </c>
      <c r="E47" s="10" t="s">
        <v>47</v>
      </c>
      <c r="G47" s="10" t="s">
        <v>46</v>
      </c>
      <c r="H47" s="11">
        <v>15000</v>
      </c>
      <c r="I47" s="10" t="s">
        <v>47</v>
      </c>
    </row>
    <row r="48" spans="3:9" x14ac:dyDescent="0.25">
      <c r="C48" s="10" t="s">
        <v>48</v>
      </c>
      <c r="D48" s="11">
        <v>400000</v>
      </c>
      <c r="E48" s="10" t="s">
        <v>45</v>
      </c>
      <c r="G48" s="10" t="s">
        <v>49</v>
      </c>
      <c r="H48" s="11">
        <v>0</v>
      </c>
      <c r="I48" s="10" t="s">
        <v>45</v>
      </c>
    </row>
    <row r="49" spans="3:9" x14ac:dyDescent="0.25">
      <c r="C49" s="10" t="s">
        <v>50</v>
      </c>
      <c r="D49" s="11">
        <v>500000</v>
      </c>
      <c r="E49" s="10" t="s">
        <v>51</v>
      </c>
      <c r="G49" s="10" t="s">
        <v>50</v>
      </c>
      <c r="H49" s="11">
        <v>500000</v>
      </c>
      <c r="I49" s="10" t="s">
        <v>51</v>
      </c>
    </row>
    <row r="50" spans="3:9" x14ac:dyDescent="0.25">
      <c r="C50" s="10" t="s">
        <v>52</v>
      </c>
      <c r="D50" s="11">
        <v>100000</v>
      </c>
      <c r="E50" s="10" t="s">
        <v>51</v>
      </c>
      <c r="G50" s="10" t="s">
        <v>52</v>
      </c>
      <c r="H50" s="11">
        <v>100000</v>
      </c>
      <c r="I50" s="10" t="s">
        <v>51</v>
      </c>
    </row>
    <row r="51" spans="3:9" x14ac:dyDescent="0.25">
      <c r="C51" s="10" t="s">
        <v>53</v>
      </c>
      <c r="D51" s="11">
        <v>50000</v>
      </c>
      <c r="E51" s="10" t="s">
        <v>54</v>
      </c>
      <c r="G51" s="10"/>
      <c r="H51" s="11"/>
      <c r="I51" s="10"/>
    </row>
    <row r="52" spans="3:9" x14ac:dyDescent="0.25">
      <c r="C52" s="10" t="s">
        <v>32</v>
      </c>
      <c r="D52" s="11">
        <v>150000</v>
      </c>
      <c r="E52" s="10" t="s">
        <v>47</v>
      </c>
      <c r="G52" s="10"/>
      <c r="H52" s="11"/>
      <c r="I52" s="10"/>
    </row>
    <row r="53" spans="3:9" x14ac:dyDescent="0.25">
      <c r="C53" s="10" t="s">
        <v>55</v>
      </c>
      <c r="D53" s="11">
        <v>100000</v>
      </c>
      <c r="E53" s="10" t="s">
        <v>47</v>
      </c>
      <c r="G53" s="10"/>
      <c r="H53" s="11"/>
      <c r="I53" s="10"/>
    </row>
    <row r="54" spans="3:9" x14ac:dyDescent="0.25">
      <c r="C54" s="10" t="s">
        <v>33</v>
      </c>
      <c r="D54" s="11">
        <v>350000</v>
      </c>
      <c r="E54" s="10" t="s">
        <v>51</v>
      </c>
      <c r="G54" s="10" t="s">
        <v>33</v>
      </c>
      <c r="H54" s="11">
        <v>350000</v>
      </c>
      <c r="I54" s="10" t="s">
        <v>51</v>
      </c>
    </row>
    <row r="55" spans="3:9" x14ac:dyDescent="0.25">
      <c r="C55" s="10" t="s">
        <v>56</v>
      </c>
      <c r="D55" s="11">
        <v>1283732</v>
      </c>
      <c r="E55" s="10" t="s">
        <v>51</v>
      </c>
      <c r="G55" s="10" t="s">
        <v>56</v>
      </c>
      <c r="H55" s="11">
        <v>1000000</v>
      </c>
      <c r="I55" s="10" t="s">
        <v>51</v>
      </c>
    </row>
    <row r="56" spans="3:9" x14ac:dyDescent="0.25">
      <c r="C56" s="10" t="s">
        <v>57</v>
      </c>
      <c r="D56" s="11">
        <v>250000</v>
      </c>
      <c r="E56" s="10" t="s">
        <v>51</v>
      </c>
      <c r="G56" s="10" t="s">
        <v>57</v>
      </c>
      <c r="H56" s="11">
        <v>250000</v>
      </c>
      <c r="I56" s="10" t="s">
        <v>51</v>
      </c>
    </row>
    <row r="57" spans="3:9" x14ac:dyDescent="0.25">
      <c r="C57" s="10" t="s">
        <v>58</v>
      </c>
      <c r="D57" s="11">
        <v>150000</v>
      </c>
      <c r="E57" s="10" t="s">
        <v>59</v>
      </c>
      <c r="G57" s="10"/>
      <c r="H57" s="11"/>
      <c r="I57" s="10"/>
    </row>
    <row r="58" spans="3:9" x14ac:dyDescent="0.25">
      <c r="C58" s="10" t="s">
        <v>60</v>
      </c>
      <c r="D58" s="11">
        <v>100000</v>
      </c>
      <c r="E58" s="10" t="s">
        <v>47</v>
      </c>
      <c r="G58" s="10" t="s">
        <v>60</v>
      </c>
      <c r="H58" s="11">
        <v>100000</v>
      </c>
      <c r="I58" s="10" t="s">
        <v>47</v>
      </c>
    </row>
    <row r="59" spans="3:9" x14ac:dyDescent="0.25">
      <c r="C59" s="20" t="s">
        <v>13</v>
      </c>
      <c r="D59" s="11">
        <f>SUM(D44:D58)</f>
        <v>6653732</v>
      </c>
      <c r="E59" s="10"/>
      <c r="G59" s="20" t="s">
        <v>13</v>
      </c>
      <c r="H59" s="11">
        <f>SUM(H44:H58)</f>
        <v>4465000</v>
      </c>
      <c r="I59" s="10"/>
    </row>
    <row r="60" spans="3:9" x14ac:dyDescent="0.25">
      <c r="D60" s="16"/>
    </row>
    <row r="61" spans="3:9" x14ac:dyDescent="0.25">
      <c r="D61" s="16"/>
    </row>
    <row r="62" spans="3:9" x14ac:dyDescent="0.25">
      <c r="D62" s="16"/>
    </row>
    <row r="63" spans="3:9" x14ac:dyDescent="0.25">
      <c r="D63" s="16"/>
    </row>
    <row r="64" spans="3:9" x14ac:dyDescent="0.25">
      <c r="D64" s="16"/>
    </row>
    <row r="65" spans="4:4" x14ac:dyDescent="0.25">
      <c r="D65" s="16"/>
    </row>
    <row r="66" spans="4:4" x14ac:dyDescent="0.25">
      <c r="D66" s="16"/>
    </row>
    <row r="67" spans="4:4" x14ac:dyDescent="0.25">
      <c r="D67" s="16"/>
    </row>
    <row r="68" spans="4:4" x14ac:dyDescent="0.25">
      <c r="D68" s="16"/>
    </row>
    <row r="69" spans="4:4" x14ac:dyDescent="0.25">
      <c r="D69" s="16"/>
    </row>
    <row r="70" spans="4:4" x14ac:dyDescent="0.25">
      <c r="D70" s="16"/>
    </row>
    <row r="71" spans="4:4" x14ac:dyDescent="0.25">
      <c r="D71" s="16"/>
    </row>
    <row r="72" spans="4:4" x14ac:dyDescent="0.25">
      <c r="D72" s="16"/>
    </row>
    <row r="73" spans="4:4" x14ac:dyDescent="0.25">
      <c r="D73" s="16"/>
    </row>
    <row r="74" spans="4:4" x14ac:dyDescent="0.25">
      <c r="D74" s="16"/>
    </row>
    <row r="75" spans="4:4" x14ac:dyDescent="0.25">
      <c r="D75" s="16"/>
    </row>
    <row r="76" spans="4:4" x14ac:dyDescent="0.25">
      <c r="D76" s="16"/>
    </row>
    <row r="77" spans="4:4" x14ac:dyDescent="0.25">
      <c r="D77" s="16"/>
    </row>
    <row r="78" spans="4:4" x14ac:dyDescent="0.25">
      <c r="D78" s="16"/>
    </row>
    <row r="79" spans="4:4" x14ac:dyDescent="0.25">
      <c r="D79" s="16"/>
    </row>
    <row r="80" spans="4:4" x14ac:dyDescent="0.25">
      <c r="D80" s="16"/>
    </row>
    <row r="81" spans="4:4" x14ac:dyDescent="0.25">
      <c r="D81" s="16"/>
    </row>
    <row r="82" spans="4:4" x14ac:dyDescent="0.25">
      <c r="D82" s="16"/>
    </row>
    <row r="83" spans="4:4" x14ac:dyDescent="0.25">
      <c r="D83" s="16"/>
    </row>
    <row r="84" spans="4:4" x14ac:dyDescent="0.25">
      <c r="D84" s="16"/>
    </row>
    <row r="85" spans="4:4" x14ac:dyDescent="0.25">
      <c r="D85" s="16"/>
    </row>
    <row r="86" spans="4:4" x14ac:dyDescent="0.25">
      <c r="D86" s="16"/>
    </row>
    <row r="87" spans="4:4" x14ac:dyDescent="0.25">
      <c r="D87" s="16"/>
    </row>
    <row r="88" spans="4:4" x14ac:dyDescent="0.25">
      <c r="D88" s="16"/>
    </row>
    <row r="89" spans="4:4" x14ac:dyDescent="0.25">
      <c r="D89" s="16"/>
    </row>
    <row r="90" spans="4:4" x14ac:dyDescent="0.25">
      <c r="D90" s="16"/>
    </row>
    <row r="91" spans="4:4" x14ac:dyDescent="0.25">
      <c r="D91" s="16"/>
    </row>
    <row r="92" spans="4:4" x14ac:dyDescent="0.25">
      <c r="D92" s="16"/>
    </row>
    <row r="93" spans="4:4" x14ac:dyDescent="0.25">
      <c r="D93" s="16"/>
    </row>
    <row r="94" spans="4:4" x14ac:dyDescent="0.25">
      <c r="D94" s="16"/>
    </row>
    <row r="95" spans="4:4" x14ac:dyDescent="0.25">
      <c r="D95" s="16"/>
    </row>
    <row r="96" spans="4:4" x14ac:dyDescent="0.25">
      <c r="D96" s="16"/>
    </row>
    <row r="97" spans="4:4" x14ac:dyDescent="0.25">
      <c r="D97" s="16"/>
    </row>
    <row r="98" spans="4:4" x14ac:dyDescent="0.25">
      <c r="D98" s="16"/>
    </row>
    <row r="99" spans="4:4" x14ac:dyDescent="0.25">
      <c r="D99" s="16"/>
    </row>
    <row r="100" spans="4:4" x14ac:dyDescent="0.25">
      <c r="D100" s="16"/>
    </row>
    <row r="101" spans="4:4" x14ac:dyDescent="0.25">
      <c r="D101" s="16"/>
    </row>
    <row r="102" spans="4:4" x14ac:dyDescent="0.25">
      <c r="D102" s="16"/>
    </row>
    <row r="103" spans="4:4" x14ac:dyDescent="0.25">
      <c r="D103" s="16"/>
    </row>
    <row r="104" spans="4:4" x14ac:dyDescent="0.25">
      <c r="D104" s="16"/>
    </row>
    <row r="105" spans="4:4" x14ac:dyDescent="0.25">
      <c r="D105" s="16"/>
    </row>
    <row r="106" spans="4:4" x14ac:dyDescent="0.25">
      <c r="D106" s="16"/>
    </row>
    <row r="107" spans="4:4" x14ac:dyDescent="0.25">
      <c r="D107" s="16"/>
    </row>
    <row r="108" spans="4:4" x14ac:dyDescent="0.25">
      <c r="D108" s="16"/>
    </row>
    <row r="109" spans="4:4" x14ac:dyDescent="0.25">
      <c r="D109" s="16"/>
    </row>
    <row r="110" spans="4:4" x14ac:dyDescent="0.25">
      <c r="D110" s="16"/>
    </row>
    <row r="111" spans="4:4" x14ac:dyDescent="0.25">
      <c r="D111" s="16"/>
    </row>
    <row r="112" spans="4:4" x14ac:dyDescent="0.25">
      <c r="D112" s="16"/>
    </row>
    <row r="113" spans="4:4" x14ac:dyDescent="0.25">
      <c r="D113" s="16"/>
    </row>
    <row r="114" spans="4:4" x14ac:dyDescent="0.25">
      <c r="D114" s="16"/>
    </row>
    <row r="115" spans="4:4" x14ac:dyDescent="0.25">
      <c r="D115" s="16"/>
    </row>
    <row r="116" spans="4:4" x14ac:dyDescent="0.25">
      <c r="D116" s="16"/>
    </row>
    <row r="117" spans="4:4" x14ac:dyDescent="0.25">
      <c r="D117" s="16"/>
    </row>
    <row r="118" spans="4:4" x14ac:dyDescent="0.25">
      <c r="D118" s="16"/>
    </row>
    <row r="119" spans="4:4" x14ac:dyDescent="0.25">
      <c r="D119" s="16"/>
    </row>
    <row r="120" spans="4:4" x14ac:dyDescent="0.25">
      <c r="D120" s="16"/>
    </row>
  </sheetData>
  <mergeCells count="13">
    <mergeCell ref="C43:E43"/>
    <mergeCell ref="G43:I43"/>
    <mergeCell ref="G21:H21"/>
    <mergeCell ref="C29:D29"/>
    <mergeCell ref="G29:H29"/>
    <mergeCell ref="G30:H30"/>
    <mergeCell ref="F36:G36"/>
    <mergeCell ref="C3:D3"/>
    <mergeCell ref="G3:H3"/>
    <mergeCell ref="J3:K3"/>
    <mergeCell ref="C15:D15"/>
    <mergeCell ref="G15:H15"/>
    <mergeCell ref="J15:K1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zoomScaleNormal="100" workbookViewId="0">
      <selection sqref="A1:D1"/>
    </sheetView>
  </sheetViews>
  <sheetFormatPr baseColWidth="10" defaultColWidth="8.7109375" defaultRowHeight="15" x14ac:dyDescent="0.25"/>
  <cols>
    <col min="1" max="1" width="34" style="7" customWidth="1"/>
    <col min="2" max="2" width="16" style="7" customWidth="1"/>
    <col min="3" max="3" width="12" style="7" customWidth="1"/>
    <col min="4" max="4" width="46" style="7" customWidth="1"/>
  </cols>
  <sheetData>
    <row r="1" spans="1:4" ht="21.75" customHeight="1" x14ac:dyDescent="0.25">
      <c r="A1" s="3" t="s">
        <v>61</v>
      </c>
      <c r="B1" s="3"/>
      <c r="C1" s="3"/>
      <c r="D1" s="3"/>
    </row>
    <row r="2" spans="1:4" ht="22.35" customHeight="1" x14ac:dyDescent="0.25">
      <c r="A2" s="2" t="s">
        <v>62</v>
      </c>
      <c r="B2" s="2"/>
      <c r="C2" s="2"/>
      <c r="D2" s="2"/>
    </row>
    <row r="3" spans="1:4" x14ac:dyDescent="0.25">
      <c r="A3" s="21" t="s">
        <v>3</v>
      </c>
      <c r="B3" s="21" t="s">
        <v>4</v>
      </c>
      <c r="C3" s="21" t="s">
        <v>43</v>
      </c>
      <c r="D3" s="21" t="s">
        <v>63</v>
      </c>
    </row>
    <row r="4" spans="1:4" x14ac:dyDescent="0.25">
      <c r="A4" s="22" t="s">
        <v>44</v>
      </c>
      <c r="B4" s="23">
        <v>2000000</v>
      </c>
      <c r="C4" s="24" t="s">
        <v>45</v>
      </c>
      <c r="D4" s="25" t="s">
        <v>64</v>
      </c>
    </row>
    <row r="5" spans="1:4" x14ac:dyDescent="0.25">
      <c r="A5" s="22" t="s">
        <v>31</v>
      </c>
      <c r="B5" s="23">
        <v>150000</v>
      </c>
      <c r="C5" s="24" t="s">
        <v>45</v>
      </c>
      <c r="D5" s="25"/>
    </row>
    <row r="6" spans="1:4" x14ac:dyDescent="0.25">
      <c r="A6" s="22" t="s">
        <v>65</v>
      </c>
      <c r="B6" s="23">
        <v>15000</v>
      </c>
      <c r="C6" s="24" t="s">
        <v>47</v>
      </c>
      <c r="D6" s="25"/>
    </row>
    <row r="7" spans="1:4" x14ac:dyDescent="0.25">
      <c r="A7" s="22" t="s">
        <v>66</v>
      </c>
      <c r="B7" s="23">
        <v>0</v>
      </c>
      <c r="C7" s="24" t="s">
        <v>45</v>
      </c>
      <c r="D7" s="25" t="s">
        <v>67</v>
      </c>
    </row>
    <row r="8" spans="1:4" ht="24" x14ac:dyDescent="0.25">
      <c r="A8" s="22" t="s">
        <v>50</v>
      </c>
      <c r="B8" s="23">
        <v>500000</v>
      </c>
      <c r="C8" s="24" t="s">
        <v>68</v>
      </c>
      <c r="D8" s="25" t="s">
        <v>69</v>
      </c>
    </row>
    <row r="9" spans="1:4" x14ac:dyDescent="0.25">
      <c r="A9" s="22" t="s">
        <v>52</v>
      </c>
      <c r="B9" s="23">
        <v>100000</v>
      </c>
      <c r="C9" s="24" t="s">
        <v>68</v>
      </c>
      <c r="D9" s="25"/>
    </row>
    <row r="10" spans="1:4" ht="24" x14ac:dyDescent="0.25">
      <c r="A10" s="22" t="s">
        <v>33</v>
      </c>
      <c r="B10" s="23">
        <v>350000</v>
      </c>
      <c r="C10" s="24" t="s">
        <v>68</v>
      </c>
      <c r="D10" s="25" t="s">
        <v>70</v>
      </c>
    </row>
    <row r="11" spans="1:4" x14ac:dyDescent="0.25">
      <c r="A11" s="22" t="s">
        <v>71</v>
      </c>
      <c r="B11" s="23">
        <v>1000000</v>
      </c>
      <c r="C11" s="24" t="s">
        <v>68</v>
      </c>
      <c r="D11" s="25"/>
    </row>
    <row r="12" spans="1:4" x14ac:dyDescent="0.25">
      <c r="A12" s="22" t="s">
        <v>72</v>
      </c>
      <c r="B12" s="23">
        <v>250000</v>
      </c>
      <c r="C12" s="24" t="s">
        <v>68</v>
      </c>
      <c r="D12" s="25" t="s">
        <v>73</v>
      </c>
    </row>
    <row r="13" spans="1:4" x14ac:dyDescent="0.25">
      <c r="A13" s="22" t="s">
        <v>60</v>
      </c>
      <c r="B13" s="23">
        <v>100000</v>
      </c>
      <c r="C13" s="24" t="s">
        <v>47</v>
      </c>
      <c r="D13" s="25"/>
    </row>
    <row r="14" spans="1:4" x14ac:dyDescent="0.25">
      <c r="A14" s="26" t="s">
        <v>74</v>
      </c>
      <c r="B14" s="27">
        <f>SUM(B4:B13)</f>
        <v>4465000</v>
      </c>
      <c r="C14" s="28"/>
      <c r="D14" s="28"/>
    </row>
    <row r="16" spans="1:4" ht="22.35" customHeight="1" x14ac:dyDescent="0.25">
      <c r="A16" s="2" t="s">
        <v>75</v>
      </c>
      <c r="B16" s="2"/>
      <c r="C16" s="2"/>
      <c r="D16" s="2"/>
    </row>
  </sheetData>
  <mergeCells count="3">
    <mergeCell ref="A1:D1"/>
    <mergeCell ref="A2:D2"/>
    <mergeCell ref="A16:D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zoomScaleNormal="100" workbookViewId="0">
      <selection sqref="A1:F1"/>
    </sheetView>
  </sheetViews>
  <sheetFormatPr baseColWidth="10" defaultColWidth="8.7109375" defaultRowHeight="15" x14ac:dyDescent="0.25"/>
  <cols>
    <col min="1" max="1" width="22" style="7" customWidth="1"/>
    <col min="2" max="2" width="16" style="7" customWidth="1"/>
    <col min="3" max="5" width="18" style="7" customWidth="1"/>
    <col min="6" max="6" width="16" style="7" customWidth="1"/>
  </cols>
  <sheetData>
    <row r="1" spans="1:6" ht="21.75" customHeight="1" x14ac:dyDescent="0.25">
      <c r="A1" s="3" t="s">
        <v>76</v>
      </c>
      <c r="B1" s="3"/>
      <c r="C1" s="3"/>
      <c r="D1" s="3"/>
      <c r="E1" s="3"/>
      <c r="F1" s="3"/>
    </row>
    <row r="2" spans="1:6" ht="15" customHeight="1" x14ac:dyDescent="0.25">
      <c r="A2" s="2" t="s">
        <v>77</v>
      </c>
      <c r="B2" s="2"/>
      <c r="C2" s="2"/>
      <c r="D2" s="2"/>
      <c r="E2" s="2"/>
      <c r="F2" s="2"/>
    </row>
    <row r="4" spans="1:6" x14ac:dyDescent="0.25">
      <c r="A4" s="26" t="s">
        <v>78</v>
      </c>
      <c r="B4" s="29">
        <v>26</v>
      </c>
    </row>
    <row r="5" spans="1:6" x14ac:dyDescent="0.25">
      <c r="A5" s="26" t="s">
        <v>79</v>
      </c>
      <c r="B5" s="29">
        <v>20</v>
      </c>
    </row>
    <row r="6" spans="1:6" x14ac:dyDescent="0.25">
      <c r="A6" s="26" t="s">
        <v>80</v>
      </c>
      <c r="B6" s="30">
        <f>B4*B5</f>
        <v>520</v>
      </c>
    </row>
    <row r="9" spans="1:6" ht="26.25" x14ac:dyDescent="0.25">
      <c r="A9" s="21" t="s">
        <v>81</v>
      </c>
      <c r="B9" s="21" t="s">
        <v>82</v>
      </c>
      <c r="C9" s="21" t="s">
        <v>83</v>
      </c>
      <c r="D9" s="21" t="s">
        <v>84</v>
      </c>
      <c r="E9" s="21" t="s">
        <v>85</v>
      </c>
    </row>
    <row r="10" spans="1:6" x14ac:dyDescent="0.25">
      <c r="A10" s="26" t="s">
        <v>86</v>
      </c>
      <c r="B10" s="31">
        <v>0.6</v>
      </c>
      <c r="C10" s="32">
        <f>$B$6*B10</f>
        <v>312</v>
      </c>
      <c r="D10" s="33">
        <f>'Food Cost'!$D$44</f>
        <v>22100</v>
      </c>
      <c r="E10" s="34">
        <f>C10*D10</f>
        <v>6895200</v>
      </c>
    </row>
    <row r="11" spans="1:6" x14ac:dyDescent="0.25">
      <c r="A11" s="26" t="s">
        <v>87</v>
      </c>
      <c r="B11" s="31">
        <v>0.25</v>
      </c>
      <c r="C11" s="32">
        <f>$B$6*B11</f>
        <v>130</v>
      </c>
      <c r="D11" s="33">
        <f>'Food Cost'!$D$46</f>
        <v>29100</v>
      </c>
      <c r="E11" s="34">
        <f>C11*D11</f>
        <v>3783000</v>
      </c>
    </row>
    <row r="12" spans="1:6" x14ac:dyDescent="0.25">
      <c r="A12" s="26" t="s">
        <v>88</v>
      </c>
      <c r="B12" s="31">
        <v>0.15</v>
      </c>
      <c r="C12" s="32">
        <f>$B$6*B12</f>
        <v>78</v>
      </c>
      <c r="D12" s="33">
        <f>'Food Cost'!$D$45</f>
        <v>31900</v>
      </c>
      <c r="E12" s="34">
        <f>C12*D12</f>
        <v>2488200</v>
      </c>
    </row>
    <row r="13" spans="1:6" x14ac:dyDescent="0.25">
      <c r="A13" s="26" t="s">
        <v>13</v>
      </c>
      <c r="B13" s="35">
        <f>SUM(B10:B12)</f>
        <v>1</v>
      </c>
      <c r="C13" s="36">
        <f>SUM(C10:C12)</f>
        <v>520</v>
      </c>
      <c r="E13" s="27">
        <f>SUM(E10:E12)</f>
        <v>13166400</v>
      </c>
    </row>
    <row r="15" spans="1:6" x14ac:dyDescent="0.25">
      <c r="A15" s="26" t="s">
        <v>89</v>
      </c>
      <c r="B15" s="27">
        <f>E13/C13</f>
        <v>25320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showGridLines="0" topLeftCell="A13" zoomScaleNormal="100" workbookViewId="0">
      <selection activeCell="C14" sqref="C14"/>
    </sheetView>
  </sheetViews>
  <sheetFormatPr baseColWidth="10" defaultColWidth="8.7109375" defaultRowHeight="15" x14ac:dyDescent="0.25"/>
  <cols>
    <col min="1" max="1" width="30" style="7" customWidth="1"/>
    <col min="2" max="2" width="16" style="7" customWidth="1"/>
    <col min="3" max="3" width="14" style="7" customWidth="1"/>
    <col min="4" max="4" width="56" style="7" customWidth="1"/>
  </cols>
  <sheetData>
    <row r="1" spans="1:4" ht="21.75" customHeight="1" x14ac:dyDescent="0.25">
      <c r="A1" s="3" t="s">
        <v>90</v>
      </c>
      <c r="B1" s="3"/>
      <c r="C1" s="3"/>
      <c r="D1" s="3"/>
    </row>
    <row r="2" spans="1:4" ht="22.35" customHeight="1" x14ac:dyDescent="0.25">
      <c r="A2" s="2" t="s">
        <v>91</v>
      </c>
      <c r="B2" s="2"/>
      <c r="C2" s="2"/>
      <c r="D2" s="2"/>
    </row>
    <row r="4" spans="1:4" x14ac:dyDescent="0.25">
      <c r="A4" s="26" t="s">
        <v>92</v>
      </c>
    </row>
    <row r="5" spans="1:4" x14ac:dyDescent="0.25">
      <c r="A5" s="21" t="s">
        <v>93</v>
      </c>
      <c r="B5" s="21" t="s">
        <v>94</v>
      </c>
      <c r="C5" s="21"/>
      <c r="D5" s="21" t="s">
        <v>63</v>
      </c>
    </row>
    <row r="6" spans="1:4" x14ac:dyDescent="0.25">
      <c r="A6" s="22" t="s">
        <v>95</v>
      </c>
      <c r="B6" s="37">
        <v>575</v>
      </c>
    </row>
    <row r="7" spans="1:4" x14ac:dyDescent="0.25">
      <c r="A7" s="22" t="s">
        <v>96</v>
      </c>
      <c r="B7" s="37">
        <v>125</v>
      </c>
    </row>
    <row r="8" spans="1:4" x14ac:dyDescent="0.25">
      <c r="A8" s="22" t="s">
        <v>97</v>
      </c>
      <c r="B8" s="37">
        <v>35</v>
      </c>
    </row>
    <row r="9" spans="1:4" x14ac:dyDescent="0.25">
      <c r="A9" s="26" t="s">
        <v>98</v>
      </c>
      <c r="B9" s="38">
        <f>SUM(B6:B8)</f>
        <v>735</v>
      </c>
    </row>
    <row r="10" spans="1:4" ht="24" x14ac:dyDescent="0.25">
      <c r="A10" s="22" t="s">
        <v>99</v>
      </c>
      <c r="B10" s="23">
        <v>16900</v>
      </c>
      <c r="D10" s="25" t="s">
        <v>100</v>
      </c>
    </row>
    <row r="11" spans="1:4" x14ac:dyDescent="0.25">
      <c r="A11" s="22" t="s">
        <v>101</v>
      </c>
      <c r="B11" s="37">
        <v>5</v>
      </c>
    </row>
    <row r="12" spans="1:4" x14ac:dyDescent="0.25">
      <c r="A12" s="26" t="s">
        <v>102</v>
      </c>
      <c r="B12" s="27">
        <f>B10/B11</f>
        <v>3380</v>
      </c>
    </row>
    <row r="13" spans="1:4" x14ac:dyDescent="0.25">
      <c r="A13" s="22" t="s">
        <v>103</v>
      </c>
      <c r="B13" s="39">
        <f>B10/B9</f>
        <v>22.993197278911566</v>
      </c>
    </row>
    <row r="15" spans="1:4" x14ac:dyDescent="0.25">
      <c r="A15" s="26" t="s">
        <v>104</v>
      </c>
    </row>
    <row r="16" spans="1:4" ht="24" x14ac:dyDescent="0.25">
      <c r="A16" s="22" t="s">
        <v>105</v>
      </c>
      <c r="B16" s="23">
        <v>90000</v>
      </c>
      <c r="D16" s="25" t="s">
        <v>106</v>
      </c>
    </row>
    <row r="17" spans="1:4" x14ac:dyDescent="0.25">
      <c r="A17" s="22" t="s">
        <v>107</v>
      </c>
      <c r="B17" s="37">
        <v>156</v>
      </c>
    </row>
    <row r="18" spans="1:4" x14ac:dyDescent="0.25">
      <c r="A18" s="26" t="s">
        <v>108</v>
      </c>
      <c r="B18" s="27">
        <f>B16/B17</f>
        <v>576.92307692307691</v>
      </c>
    </row>
    <row r="19" spans="1:4" ht="30" customHeight="1" x14ac:dyDescent="0.25">
      <c r="A19" s="1" t="s">
        <v>109</v>
      </c>
      <c r="B19" s="1"/>
      <c r="C19" s="1"/>
      <c r="D19" s="1"/>
    </row>
    <row r="21" spans="1:4" x14ac:dyDescent="0.25">
      <c r="A21" s="26" t="s">
        <v>110</v>
      </c>
    </row>
    <row r="22" spans="1:4" x14ac:dyDescent="0.25">
      <c r="A22" s="22" t="s">
        <v>105</v>
      </c>
      <c r="B22" s="23">
        <v>85000</v>
      </c>
    </row>
    <row r="23" spans="1:4" x14ac:dyDescent="0.25">
      <c r="A23" s="22" t="s">
        <v>107</v>
      </c>
      <c r="B23" s="37">
        <v>130</v>
      </c>
    </row>
    <row r="24" spans="1:4" x14ac:dyDescent="0.25">
      <c r="A24" s="26" t="s">
        <v>108</v>
      </c>
      <c r="B24" s="27">
        <f>B22/B23</f>
        <v>653.84615384615381</v>
      </c>
    </row>
    <row r="25" spans="1:4" ht="15" customHeight="1" x14ac:dyDescent="0.25">
      <c r="A25" s="2" t="s">
        <v>111</v>
      </c>
      <c r="B25" s="2"/>
      <c r="C25" s="2"/>
      <c r="D25" s="2"/>
    </row>
    <row r="27" spans="1:4" x14ac:dyDescent="0.25">
      <c r="A27" s="26" t="s">
        <v>112</v>
      </c>
    </row>
    <row r="28" spans="1:4" x14ac:dyDescent="0.25">
      <c r="A28" s="22" t="s">
        <v>105</v>
      </c>
      <c r="B28" s="23">
        <v>200000</v>
      </c>
    </row>
    <row r="29" spans="1:4" x14ac:dyDescent="0.25">
      <c r="A29" s="22" t="s">
        <v>113</v>
      </c>
      <c r="B29" s="40">
        <f>'Proyección de Ventas'!$B$6</f>
        <v>520</v>
      </c>
    </row>
    <row r="30" spans="1:4" x14ac:dyDescent="0.25">
      <c r="A30" s="26" t="s">
        <v>102</v>
      </c>
      <c r="B30" s="27">
        <f>B28/B29</f>
        <v>384.61538461538464</v>
      </c>
    </row>
    <row r="31" spans="1:4" ht="30" customHeight="1" x14ac:dyDescent="0.25">
      <c r="A31" s="1" t="s">
        <v>114</v>
      </c>
      <c r="B31" s="1"/>
      <c r="C31" s="1"/>
      <c r="D31" s="1"/>
    </row>
  </sheetData>
  <mergeCells count="5">
    <mergeCell ref="A1:D1"/>
    <mergeCell ref="A2:D2"/>
    <mergeCell ref="A19:D19"/>
    <mergeCell ref="A25:D25"/>
    <mergeCell ref="A31:D3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showGridLines="0" zoomScaleNormal="100" workbookViewId="0"/>
  </sheetViews>
  <sheetFormatPr baseColWidth="10" defaultColWidth="8.7109375" defaultRowHeight="15" x14ac:dyDescent="0.25"/>
  <cols>
    <col min="1" max="1" width="28" style="7" customWidth="1"/>
    <col min="2" max="2" width="14" style="7" customWidth="1"/>
    <col min="3" max="3" width="16" style="7" customWidth="1"/>
    <col min="4" max="4" width="50" style="7" customWidth="1"/>
  </cols>
  <sheetData>
    <row r="1" spans="1:4" ht="21.75" customHeight="1" x14ac:dyDescent="0.25">
      <c r="A1" s="3" t="s">
        <v>115</v>
      </c>
      <c r="B1" s="3"/>
      <c r="C1" s="3"/>
      <c r="D1" s="3"/>
    </row>
    <row r="2" spans="1:4" ht="15" customHeight="1" x14ac:dyDescent="0.25">
      <c r="A2" s="2" t="s">
        <v>116</v>
      </c>
      <c r="B2" s="2"/>
      <c r="C2" s="2"/>
      <c r="D2" s="2"/>
    </row>
    <row r="3" spans="1:4" x14ac:dyDescent="0.25">
      <c r="A3" s="21" t="s">
        <v>117</v>
      </c>
      <c r="B3" s="21" t="s">
        <v>118</v>
      </c>
      <c r="C3" s="21" t="s">
        <v>119</v>
      </c>
      <c r="D3" s="21" t="s">
        <v>120</v>
      </c>
    </row>
    <row r="4" spans="1:4" ht="24" x14ac:dyDescent="0.25">
      <c r="A4" s="22" t="s">
        <v>121</v>
      </c>
      <c r="B4" s="24" t="s">
        <v>122</v>
      </c>
      <c r="C4" s="33">
        <f>'Recetas Base'!$B$12</f>
        <v>3380</v>
      </c>
      <c r="D4" s="25" t="s">
        <v>123</v>
      </c>
    </row>
    <row r="5" spans="1:4" x14ac:dyDescent="0.25">
      <c r="A5" s="22" t="s">
        <v>124</v>
      </c>
      <c r="B5" s="24" t="s">
        <v>125</v>
      </c>
      <c r="C5" s="23">
        <v>1300</v>
      </c>
      <c r="D5" s="25" t="s">
        <v>126</v>
      </c>
    </row>
    <row r="6" spans="1:4" x14ac:dyDescent="0.25">
      <c r="A6" s="22" t="s">
        <v>127</v>
      </c>
      <c r="B6" s="24" t="s">
        <v>128</v>
      </c>
      <c r="C6" s="23">
        <v>225</v>
      </c>
      <c r="D6" s="25" t="s">
        <v>129</v>
      </c>
    </row>
    <row r="7" spans="1:4" x14ac:dyDescent="0.25">
      <c r="A7" s="22" t="s">
        <v>130</v>
      </c>
      <c r="B7" s="24" t="s">
        <v>128</v>
      </c>
      <c r="C7" s="23">
        <v>700</v>
      </c>
      <c r="D7" s="25" t="s">
        <v>131</v>
      </c>
    </row>
    <row r="8" spans="1:4" x14ac:dyDescent="0.25">
      <c r="A8" s="22" t="s">
        <v>132</v>
      </c>
      <c r="B8" s="24" t="s">
        <v>133</v>
      </c>
      <c r="C8" s="23">
        <v>51</v>
      </c>
      <c r="D8" s="25" t="s">
        <v>134</v>
      </c>
    </row>
    <row r="9" spans="1:4" x14ac:dyDescent="0.25">
      <c r="A9" s="22" t="s">
        <v>135</v>
      </c>
      <c r="B9" s="24" t="s">
        <v>125</v>
      </c>
      <c r="C9" s="23">
        <v>2000</v>
      </c>
      <c r="D9" s="25" t="s">
        <v>136</v>
      </c>
    </row>
    <row r="10" spans="1:4" ht="24" x14ac:dyDescent="0.25">
      <c r="A10" s="22" t="s">
        <v>137</v>
      </c>
      <c r="B10" s="24" t="s">
        <v>138</v>
      </c>
      <c r="C10" s="23">
        <v>900</v>
      </c>
      <c r="D10" s="25" t="s">
        <v>139</v>
      </c>
    </row>
    <row r="11" spans="1:4" ht="24" x14ac:dyDescent="0.25">
      <c r="A11" s="22" t="s">
        <v>140</v>
      </c>
      <c r="B11" s="24" t="s">
        <v>141</v>
      </c>
      <c r="C11" s="23">
        <v>50</v>
      </c>
      <c r="D11" s="25" t="s">
        <v>142</v>
      </c>
    </row>
    <row r="12" spans="1:4" x14ac:dyDescent="0.25">
      <c r="A12" s="22" t="s">
        <v>143</v>
      </c>
      <c r="B12" s="24" t="s">
        <v>144</v>
      </c>
      <c r="C12" s="33">
        <f>'Recetas Base'!$B$18</f>
        <v>576.92307692307691</v>
      </c>
      <c r="D12" s="25" t="s">
        <v>145</v>
      </c>
    </row>
    <row r="13" spans="1:4" x14ac:dyDescent="0.25">
      <c r="A13" s="22" t="s">
        <v>146</v>
      </c>
      <c r="B13" s="24" t="s">
        <v>144</v>
      </c>
      <c r="C13" s="33">
        <f>'Recetas Base'!$B$24</f>
        <v>653.84615384615381</v>
      </c>
      <c r="D13" s="25" t="s">
        <v>147</v>
      </c>
    </row>
    <row r="14" spans="1:4" x14ac:dyDescent="0.25">
      <c r="A14" s="22" t="s">
        <v>148</v>
      </c>
      <c r="B14" s="24" t="s">
        <v>122</v>
      </c>
      <c r="C14" s="33">
        <f>'Recetas Base'!$B$30</f>
        <v>384.61538461538464</v>
      </c>
      <c r="D14" s="25" t="s">
        <v>149</v>
      </c>
    </row>
    <row r="15" spans="1:4" x14ac:dyDescent="0.25">
      <c r="A15" s="22" t="s">
        <v>150</v>
      </c>
      <c r="B15" s="24" t="s">
        <v>133</v>
      </c>
      <c r="C15" s="23">
        <v>51</v>
      </c>
      <c r="D15" s="25" t="s">
        <v>151</v>
      </c>
    </row>
    <row r="17" spans="1:4" x14ac:dyDescent="0.25">
      <c r="A17" s="26" t="s">
        <v>152</v>
      </c>
    </row>
    <row r="18" spans="1:4" x14ac:dyDescent="0.25">
      <c r="A18" s="21" t="s">
        <v>117</v>
      </c>
      <c r="B18" s="21" t="s">
        <v>118</v>
      </c>
      <c r="C18" s="21" t="s">
        <v>119</v>
      </c>
      <c r="D18" s="21" t="s">
        <v>120</v>
      </c>
    </row>
    <row r="19" spans="1:4" x14ac:dyDescent="0.25">
      <c r="A19" s="22" t="s">
        <v>153</v>
      </c>
      <c r="B19" s="24" t="s">
        <v>125</v>
      </c>
      <c r="C19" s="23">
        <v>1363.4615384615399</v>
      </c>
      <c r="D19" s="25" t="s">
        <v>154</v>
      </c>
    </row>
    <row r="20" spans="1:4" x14ac:dyDescent="0.25">
      <c r="A20" s="22" t="s">
        <v>155</v>
      </c>
      <c r="B20" s="24" t="s">
        <v>125</v>
      </c>
      <c r="C20" s="23">
        <v>137</v>
      </c>
      <c r="D20" s="25" t="s">
        <v>156</v>
      </c>
    </row>
    <row r="21" spans="1:4" x14ac:dyDescent="0.25">
      <c r="A21" s="22" t="s">
        <v>157</v>
      </c>
      <c r="B21" s="24" t="s">
        <v>125</v>
      </c>
      <c r="C21" s="23">
        <v>38.461538461538503</v>
      </c>
      <c r="D21" s="25" t="s">
        <v>158</v>
      </c>
    </row>
    <row r="22" spans="1:4" x14ac:dyDescent="0.25">
      <c r="A22" s="22" t="s">
        <v>159</v>
      </c>
      <c r="B22" s="24" t="s">
        <v>125</v>
      </c>
      <c r="C22" s="23">
        <v>115.384615384615</v>
      </c>
      <c r="D22" s="25" t="s">
        <v>160</v>
      </c>
    </row>
    <row r="23" spans="1:4" x14ac:dyDescent="0.25">
      <c r="A23" s="22" t="s">
        <v>161</v>
      </c>
      <c r="B23" s="24" t="s">
        <v>125</v>
      </c>
      <c r="C23" s="23">
        <v>32.115384615384599</v>
      </c>
      <c r="D23" s="25" t="s">
        <v>162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showGridLines="0" tabSelected="1" zoomScaleNormal="100" workbookViewId="0">
      <selection sqref="A1:E1"/>
    </sheetView>
  </sheetViews>
  <sheetFormatPr baseColWidth="10" defaultColWidth="8.7109375" defaultRowHeight="15" x14ac:dyDescent="0.25"/>
  <cols>
    <col min="1" max="1" width="26" style="7" customWidth="1"/>
    <col min="2" max="2" width="18" style="7" customWidth="1"/>
    <col min="3" max="3" width="14" style="7" customWidth="1"/>
    <col min="4" max="5" width="16" style="7" customWidth="1"/>
  </cols>
  <sheetData>
    <row r="1" spans="1:5" ht="21.75" customHeight="1" x14ac:dyDescent="0.25">
      <c r="A1" s="3" t="s">
        <v>163</v>
      </c>
      <c r="B1" s="3"/>
      <c r="C1" s="3"/>
      <c r="D1" s="3"/>
      <c r="E1" s="3"/>
    </row>
    <row r="3" spans="1:5" x14ac:dyDescent="0.25">
      <c r="A3" s="26" t="s">
        <v>164</v>
      </c>
    </row>
    <row r="4" spans="1:5" ht="26.25" x14ac:dyDescent="0.25">
      <c r="A4" s="21" t="s">
        <v>93</v>
      </c>
      <c r="B4" s="21" t="s">
        <v>165</v>
      </c>
      <c r="C4" s="21" t="s">
        <v>118</v>
      </c>
      <c r="D4" s="21" t="s">
        <v>119</v>
      </c>
      <c r="E4" s="21" t="s">
        <v>166</v>
      </c>
    </row>
    <row r="5" spans="1:5" x14ac:dyDescent="0.25">
      <c r="A5" s="22" t="s">
        <v>124</v>
      </c>
      <c r="B5" s="41">
        <v>1</v>
      </c>
      <c r="C5" s="24" t="s">
        <v>167</v>
      </c>
      <c r="D5" s="33">
        <f>'Costos Unitarios'!$C$5</f>
        <v>1300</v>
      </c>
      <c r="E5" s="42">
        <f t="shared" ref="E5:E11" si="0">B5*D5</f>
        <v>1300</v>
      </c>
    </row>
    <row r="6" spans="1:5" x14ac:dyDescent="0.25">
      <c r="A6" s="22" t="s">
        <v>121</v>
      </c>
      <c r="B6" s="41">
        <v>1</v>
      </c>
      <c r="C6" s="24" t="s">
        <v>168</v>
      </c>
      <c r="D6" s="33">
        <f>'Costos Unitarios'!$C$4</f>
        <v>3380</v>
      </c>
      <c r="E6" s="42">
        <f t="shared" si="0"/>
        <v>3380</v>
      </c>
    </row>
    <row r="7" spans="1:5" x14ac:dyDescent="0.25">
      <c r="A7" s="22" t="s">
        <v>137</v>
      </c>
      <c r="B7" s="41">
        <v>0.5</v>
      </c>
      <c r="C7" s="24" t="s">
        <v>167</v>
      </c>
      <c r="D7" s="33">
        <f>'Costos Unitarios'!$C$10</f>
        <v>900</v>
      </c>
      <c r="E7" s="42">
        <f t="shared" si="0"/>
        <v>450</v>
      </c>
    </row>
    <row r="8" spans="1:5" x14ac:dyDescent="0.25">
      <c r="A8" s="22" t="s">
        <v>140</v>
      </c>
      <c r="B8" s="41">
        <v>2</v>
      </c>
      <c r="C8" s="24" t="s">
        <v>169</v>
      </c>
      <c r="D8" s="33">
        <f>'Costos Unitarios'!$C$11</f>
        <v>50</v>
      </c>
      <c r="E8" s="42">
        <f t="shared" si="0"/>
        <v>100</v>
      </c>
    </row>
    <row r="9" spans="1:5" x14ac:dyDescent="0.25">
      <c r="A9" s="22" t="s">
        <v>143</v>
      </c>
      <c r="B9" s="41">
        <v>1</v>
      </c>
      <c r="C9" s="24" t="s">
        <v>170</v>
      </c>
      <c r="D9" s="33">
        <f>'Costos Unitarios'!$C$12</f>
        <v>576.92307692307691</v>
      </c>
      <c r="E9" s="42">
        <f t="shared" si="0"/>
        <v>576.92307692307691</v>
      </c>
    </row>
    <row r="10" spans="1:5" x14ac:dyDescent="0.25">
      <c r="A10" s="22" t="s">
        <v>127</v>
      </c>
      <c r="B10" s="41">
        <v>2</v>
      </c>
      <c r="C10" s="24" t="s">
        <v>171</v>
      </c>
      <c r="D10" s="33">
        <f>'Costos Unitarios'!$C$6</f>
        <v>225</v>
      </c>
      <c r="E10" s="42">
        <f t="shared" si="0"/>
        <v>450</v>
      </c>
    </row>
    <row r="11" spans="1:5" x14ac:dyDescent="0.25">
      <c r="A11" s="22" t="s">
        <v>148</v>
      </c>
      <c r="B11" s="41">
        <v>1</v>
      </c>
      <c r="C11" s="24" t="s">
        <v>168</v>
      </c>
      <c r="D11" s="33">
        <f>'Costos Unitarios'!$C$14</f>
        <v>384.61538461538464</v>
      </c>
      <c r="E11" s="42">
        <f t="shared" si="0"/>
        <v>384.61538461538464</v>
      </c>
    </row>
    <row r="12" spans="1:5" x14ac:dyDescent="0.25">
      <c r="A12" s="26" t="s">
        <v>172</v>
      </c>
      <c r="E12" s="27">
        <f>SUM(E5:E11)</f>
        <v>6641.5384615384619</v>
      </c>
    </row>
    <row r="14" spans="1:5" x14ac:dyDescent="0.25">
      <c r="A14" s="26" t="s">
        <v>173</v>
      </c>
    </row>
    <row r="15" spans="1:5" ht="26.25" x14ac:dyDescent="0.25">
      <c r="A15" s="21" t="s">
        <v>93</v>
      </c>
      <c r="B15" s="21" t="s">
        <v>165</v>
      </c>
      <c r="C15" s="21" t="s">
        <v>118</v>
      </c>
      <c r="D15" s="21" t="s">
        <v>119</v>
      </c>
      <c r="E15" s="21" t="s">
        <v>166</v>
      </c>
    </row>
    <row r="16" spans="1:5" x14ac:dyDescent="0.25">
      <c r="A16" s="22" t="s">
        <v>124</v>
      </c>
      <c r="B16" s="41">
        <v>1</v>
      </c>
      <c r="C16" s="24" t="s">
        <v>167</v>
      </c>
      <c r="D16" s="33">
        <f>'Costos Unitarios'!$C$5</f>
        <v>1300</v>
      </c>
      <c r="E16" s="42">
        <f t="shared" ref="E16:E24" si="1">B16*D16</f>
        <v>1300</v>
      </c>
    </row>
    <row r="17" spans="1:5" x14ac:dyDescent="0.25">
      <c r="A17" s="22" t="s">
        <v>121</v>
      </c>
      <c r="B17" s="41">
        <v>1</v>
      </c>
      <c r="C17" s="24" t="s">
        <v>168</v>
      </c>
      <c r="D17" s="33">
        <f>'Costos Unitarios'!$C$4</f>
        <v>3380</v>
      </c>
      <c r="E17" s="42">
        <f t="shared" si="1"/>
        <v>3380</v>
      </c>
    </row>
    <row r="18" spans="1:5" x14ac:dyDescent="0.25">
      <c r="A18" s="22" t="s">
        <v>137</v>
      </c>
      <c r="B18" s="41">
        <v>0.5</v>
      </c>
      <c r="C18" s="24" t="s">
        <v>167</v>
      </c>
      <c r="D18" s="33">
        <f>'Costos Unitarios'!$C$10</f>
        <v>900</v>
      </c>
      <c r="E18" s="42">
        <f t="shared" si="1"/>
        <v>450</v>
      </c>
    </row>
    <row r="19" spans="1:5" x14ac:dyDescent="0.25">
      <c r="A19" s="22" t="s">
        <v>140</v>
      </c>
      <c r="B19" s="41">
        <v>2</v>
      </c>
      <c r="C19" s="24" t="s">
        <v>169</v>
      </c>
      <c r="D19" s="33">
        <f>'Costos Unitarios'!$C$11</f>
        <v>50</v>
      </c>
      <c r="E19" s="42">
        <f t="shared" si="1"/>
        <v>100</v>
      </c>
    </row>
    <row r="20" spans="1:5" x14ac:dyDescent="0.25">
      <c r="A20" s="22" t="s">
        <v>143</v>
      </c>
      <c r="B20" s="41">
        <v>1</v>
      </c>
      <c r="C20" s="24" t="s">
        <v>170</v>
      </c>
      <c r="D20" s="33">
        <f>'Costos Unitarios'!$C$12</f>
        <v>576.92307692307691</v>
      </c>
      <c r="E20" s="42">
        <f t="shared" si="1"/>
        <v>576.92307692307691</v>
      </c>
    </row>
    <row r="21" spans="1:5" x14ac:dyDescent="0.25">
      <c r="A21" s="22" t="s">
        <v>127</v>
      </c>
      <c r="B21" s="41">
        <v>2</v>
      </c>
      <c r="C21" s="24" t="s">
        <v>171</v>
      </c>
      <c r="D21" s="33">
        <f>'Costos Unitarios'!$C$6</f>
        <v>225</v>
      </c>
      <c r="E21" s="42">
        <f t="shared" si="1"/>
        <v>450</v>
      </c>
    </row>
    <row r="22" spans="1:5" x14ac:dyDescent="0.25">
      <c r="A22" s="22" t="s">
        <v>132</v>
      </c>
      <c r="B22" s="41">
        <v>30</v>
      </c>
      <c r="C22" s="24" t="s">
        <v>174</v>
      </c>
      <c r="D22" s="33">
        <f>'Costos Unitarios'!$C$8</f>
        <v>51</v>
      </c>
      <c r="E22" s="42">
        <f t="shared" si="1"/>
        <v>1530</v>
      </c>
    </row>
    <row r="23" spans="1:5" x14ac:dyDescent="0.25">
      <c r="A23" s="22" t="s">
        <v>130</v>
      </c>
      <c r="B23" s="41">
        <v>2</v>
      </c>
      <c r="C23" s="24" t="s">
        <v>171</v>
      </c>
      <c r="D23" s="33">
        <f>'Costos Unitarios'!$C$7</f>
        <v>700</v>
      </c>
      <c r="E23" s="42">
        <f t="shared" si="1"/>
        <v>1400</v>
      </c>
    </row>
    <row r="24" spans="1:5" x14ac:dyDescent="0.25">
      <c r="A24" s="22" t="s">
        <v>148</v>
      </c>
      <c r="B24" s="41">
        <v>1</v>
      </c>
      <c r="C24" s="24" t="s">
        <v>168</v>
      </c>
      <c r="D24" s="33">
        <f>'Costos Unitarios'!$C$14</f>
        <v>384.61538461538464</v>
      </c>
      <c r="E24" s="42">
        <f t="shared" si="1"/>
        <v>384.61538461538464</v>
      </c>
    </row>
    <row r="25" spans="1:5" x14ac:dyDescent="0.25">
      <c r="A25" s="26" t="s">
        <v>175</v>
      </c>
      <c r="E25" s="27">
        <f>SUM(E16:E24)</f>
        <v>9571.5384615384628</v>
      </c>
    </row>
    <row r="27" spans="1:5" x14ac:dyDescent="0.25">
      <c r="A27" s="26" t="s">
        <v>176</v>
      </c>
    </row>
    <row r="28" spans="1:5" ht="26.25" x14ac:dyDescent="0.25">
      <c r="A28" s="21" t="s">
        <v>93</v>
      </c>
      <c r="B28" s="21" t="s">
        <v>165</v>
      </c>
      <c r="C28" s="21" t="s">
        <v>118</v>
      </c>
      <c r="D28" s="21" t="s">
        <v>119</v>
      </c>
      <c r="E28" s="21" t="s">
        <v>166</v>
      </c>
    </row>
    <row r="29" spans="1:5" x14ac:dyDescent="0.25">
      <c r="A29" s="22" t="s">
        <v>124</v>
      </c>
      <c r="B29" s="41">
        <v>1</v>
      </c>
      <c r="C29" s="24" t="s">
        <v>167</v>
      </c>
      <c r="D29" s="33">
        <f>'Costos Unitarios'!$C$5</f>
        <v>1300</v>
      </c>
      <c r="E29" s="42">
        <f t="shared" ref="E29:E37" si="2">B29*D29</f>
        <v>1300</v>
      </c>
    </row>
    <row r="30" spans="1:5" x14ac:dyDescent="0.25">
      <c r="A30" s="22" t="s">
        <v>121</v>
      </c>
      <c r="B30" s="41">
        <v>1</v>
      </c>
      <c r="C30" s="24" t="s">
        <v>168</v>
      </c>
      <c r="D30" s="33">
        <f>'Costos Unitarios'!$C$4</f>
        <v>3380</v>
      </c>
      <c r="E30" s="42">
        <f t="shared" si="2"/>
        <v>3380</v>
      </c>
    </row>
    <row r="31" spans="1:5" x14ac:dyDescent="0.25">
      <c r="A31" s="22" t="s">
        <v>137</v>
      </c>
      <c r="B31" s="41">
        <v>0.5</v>
      </c>
      <c r="C31" s="24" t="s">
        <v>167</v>
      </c>
      <c r="D31" s="33">
        <f>'Costos Unitarios'!$C$10</f>
        <v>900</v>
      </c>
      <c r="E31" s="42">
        <f t="shared" si="2"/>
        <v>450</v>
      </c>
    </row>
    <row r="32" spans="1:5" x14ac:dyDescent="0.25">
      <c r="A32" s="22" t="s">
        <v>140</v>
      </c>
      <c r="B32" s="41">
        <v>2</v>
      </c>
      <c r="C32" s="24" t="s">
        <v>169</v>
      </c>
      <c r="D32" s="33">
        <f>'Costos Unitarios'!$C$11</f>
        <v>50</v>
      </c>
      <c r="E32" s="42">
        <f t="shared" si="2"/>
        <v>100</v>
      </c>
    </row>
    <row r="33" spans="1:5" x14ac:dyDescent="0.25">
      <c r="A33" s="22" t="s">
        <v>146</v>
      </c>
      <c r="B33" s="41">
        <v>1</v>
      </c>
      <c r="C33" s="24" t="s">
        <v>170</v>
      </c>
      <c r="D33" s="33">
        <f>'Costos Unitarios'!$C$13</f>
        <v>653.84615384615381</v>
      </c>
      <c r="E33" s="42">
        <f t="shared" si="2"/>
        <v>653.84615384615381</v>
      </c>
    </row>
    <row r="34" spans="1:5" x14ac:dyDescent="0.25">
      <c r="A34" s="22" t="s">
        <v>127</v>
      </c>
      <c r="B34" s="41">
        <v>2</v>
      </c>
      <c r="C34" s="24" t="s">
        <v>171</v>
      </c>
      <c r="D34" s="33">
        <f>'Costos Unitarios'!$C$6</f>
        <v>225</v>
      </c>
      <c r="E34" s="42">
        <f t="shared" si="2"/>
        <v>450</v>
      </c>
    </row>
    <row r="35" spans="1:5" x14ac:dyDescent="0.25">
      <c r="A35" s="22" t="s">
        <v>148</v>
      </c>
      <c r="B35" s="41">
        <v>1</v>
      </c>
      <c r="C35" s="24" t="s">
        <v>168</v>
      </c>
      <c r="D35" s="33">
        <f>'Costos Unitarios'!$C$14</f>
        <v>384.61538461538464</v>
      </c>
      <c r="E35" s="42">
        <f t="shared" si="2"/>
        <v>384.61538461538464</v>
      </c>
    </row>
    <row r="36" spans="1:5" x14ac:dyDescent="0.25">
      <c r="A36" s="22" t="s">
        <v>150</v>
      </c>
      <c r="B36" s="41">
        <v>0.5</v>
      </c>
      <c r="C36" s="24" t="s">
        <v>174</v>
      </c>
      <c r="D36" s="33">
        <f>'Costos Unitarios'!$C$15</f>
        <v>51</v>
      </c>
      <c r="E36" s="42">
        <f t="shared" si="2"/>
        <v>25.5</v>
      </c>
    </row>
    <row r="37" spans="1:5" x14ac:dyDescent="0.25">
      <c r="A37" s="22" t="s">
        <v>135</v>
      </c>
      <c r="B37" s="41">
        <v>1</v>
      </c>
      <c r="C37" s="24" t="s">
        <v>167</v>
      </c>
      <c r="D37" s="33">
        <f>'Costos Unitarios'!$C$9</f>
        <v>2000</v>
      </c>
      <c r="E37" s="42">
        <f t="shared" si="2"/>
        <v>2000</v>
      </c>
    </row>
    <row r="38" spans="1:5" x14ac:dyDescent="0.25">
      <c r="A38" s="26" t="s">
        <v>177</v>
      </c>
      <c r="E38" s="27">
        <f>SUM(E29:E37)</f>
        <v>8743.961538461539</v>
      </c>
    </row>
    <row r="40" spans="1:5" x14ac:dyDescent="0.25">
      <c r="A40" s="26" t="s">
        <v>178</v>
      </c>
    </row>
    <row r="41" spans="1:5" ht="15" customHeight="1" x14ac:dyDescent="0.25">
      <c r="A41" s="22" t="s">
        <v>179</v>
      </c>
      <c r="B41" s="43">
        <v>0.3</v>
      </c>
      <c r="C41" s="2" t="s">
        <v>180</v>
      </c>
      <c r="D41" s="2"/>
      <c r="E41" s="2"/>
    </row>
    <row r="43" spans="1:5" ht="39" x14ac:dyDescent="0.25">
      <c r="A43" s="21" t="s">
        <v>81</v>
      </c>
      <c r="B43" s="21" t="s">
        <v>181</v>
      </c>
      <c r="C43" s="21" t="s">
        <v>182</v>
      </c>
      <c r="D43" s="21" t="s">
        <v>183</v>
      </c>
      <c r="E43" s="21" t="s">
        <v>184</v>
      </c>
    </row>
    <row r="44" spans="1:5" x14ac:dyDescent="0.25">
      <c r="A44" s="26" t="s">
        <v>86</v>
      </c>
      <c r="B44" s="33">
        <f>E12</f>
        <v>6641.5384615384619</v>
      </c>
      <c r="C44" s="42">
        <f>B44/$B$41</f>
        <v>22138.461538461539</v>
      </c>
      <c r="D44" s="44">
        <f>MROUND(C44,100)</f>
        <v>22100</v>
      </c>
      <c r="E44" s="42">
        <f>D44-B44</f>
        <v>15458.461538461539</v>
      </c>
    </row>
    <row r="45" spans="1:5" x14ac:dyDescent="0.25">
      <c r="A45" s="26" t="s">
        <v>88</v>
      </c>
      <c r="B45" s="33">
        <f>E25</f>
        <v>9571.5384615384628</v>
      </c>
      <c r="C45" s="42">
        <f>B45/$B$41</f>
        <v>31905.128205128211</v>
      </c>
      <c r="D45" s="44">
        <f>MROUND(C45,100)</f>
        <v>31900</v>
      </c>
      <c r="E45" s="42">
        <f>D45-B45</f>
        <v>22328.461538461539</v>
      </c>
    </row>
    <row r="46" spans="1:5" x14ac:dyDescent="0.25">
      <c r="A46" s="26" t="s">
        <v>87</v>
      </c>
      <c r="B46" s="33">
        <f>E38</f>
        <v>8743.961538461539</v>
      </c>
      <c r="C46" s="42">
        <f>B46/$B$41</f>
        <v>29146.538461538465</v>
      </c>
      <c r="D46" s="44">
        <f>MROUND(C46,100)</f>
        <v>29100</v>
      </c>
      <c r="E46" s="42">
        <f>D46-B46</f>
        <v>20356.038461538461</v>
      </c>
    </row>
    <row r="47" spans="1:5" ht="15" customHeight="1" x14ac:dyDescent="0.25">
      <c r="A47" s="2" t="s">
        <v>185</v>
      </c>
      <c r="B47" s="2"/>
      <c r="C47" s="2"/>
      <c r="D47" s="2"/>
      <c r="E47" s="2"/>
    </row>
    <row r="49" spans="1:2" x14ac:dyDescent="0.25">
      <c r="A49" s="26" t="s">
        <v>186</v>
      </c>
      <c r="B49" s="45">
        <f>('Proyección de Ventas'!$C$10*B44+'Proyección de Ventas'!$C$11*B46+'Proyección de Ventas'!$C$12*B45)/('Proyección de Ventas'!$C$10*D44+'Proyección de Ventas'!$C$11*D46+'Proyección de Ventas'!$C$12*D45)</f>
        <v>0.30042038826102807</v>
      </c>
    </row>
  </sheetData>
  <mergeCells count="3">
    <mergeCell ref="A1:E1"/>
    <mergeCell ref="C41:E41"/>
    <mergeCell ref="A47:E4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showGridLines="0" topLeftCell="A10" zoomScaleNormal="100" workbookViewId="0">
      <selection activeCell="A29" sqref="A29"/>
    </sheetView>
  </sheetViews>
  <sheetFormatPr baseColWidth="10" defaultColWidth="8.7109375" defaultRowHeight="15" x14ac:dyDescent="0.25"/>
  <cols>
    <col min="1" max="1" width="22" style="7" customWidth="1"/>
    <col min="2" max="2" width="16" style="7" customWidth="1"/>
    <col min="3" max="4" width="12" style="7" customWidth="1"/>
    <col min="5" max="5" width="16" style="7" customWidth="1"/>
    <col min="6" max="7" width="14" style="7" customWidth="1"/>
    <col min="8" max="8" width="12" style="7" customWidth="1"/>
    <col min="9" max="9" width="16" style="7" customWidth="1"/>
    <col min="10" max="10" width="46" style="7" customWidth="1"/>
    <col min="11" max="11" width="55" style="7" customWidth="1"/>
  </cols>
  <sheetData>
    <row r="1" spans="1:11" ht="21.75" customHeight="1" x14ac:dyDescent="0.25">
      <c r="A1" s="3" t="s">
        <v>187</v>
      </c>
      <c r="B1" s="3"/>
      <c r="C1" s="3"/>
      <c r="D1" s="3"/>
      <c r="E1" s="3"/>
      <c r="F1" s="3"/>
      <c r="G1" s="3"/>
      <c r="H1" s="3"/>
      <c r="I1" s="3"/>
      <c r="J1" s="3"/>
    </row>
    <row r="2" spans="1:11" ht="22.35" customHeight="1" x14ac:dyDescent="0.25">
      <c r="A2" s="2" t="s">
        <v>188</v>
      </c>
      <c r="B2" s="2"/>
      <c r="C2" s="2"/>
      <c r="D2" s="2"/>
      <c r="E2" s="2"/>
      <c r="F2" s="2"/>
      <c r="G2" s="2"/>
      <c r="H2" s="2"/>
      <c r="I2" s="2"/>
      <c r="J2" s="2"/>
    </row>
    <row r="4" spans="1:11" ht="51.75" x14ac:dyDescent="0.25">
      <c r="A4" s="21" t="s">
        <v>117</v>
      </c>
      <c r="B4" s="21" t="s">
        <v>189</v>
      </c>
      <c r="C4" s="21" t="s">
        <v>165</v>
      </c>
      <c r="D4" s="21" t="s">
        <v>190</v>
      </c>
      <c r="E4" s="21" t="s">
        <v>191</v>
      </c>
      <c r="F4" s="21" t="s">
        <v>192</v>
      </c>
      <c r="G4" s="21" t="s">
        <v>193</v>
      </c>
      <c r="H4" s="21" t="s">
        <v>194</v>
      </c>
      <c r="I4" s="21" t="s">
        <v>195</v>
      </c>
      <c r="J4" s="21" t="s">
        <v>196</v>
      </c>
    </row>
    <row r="5" spans="1:11" x14ac:dyDescent="0.25">
      <c r="A5" s="22" t="s">
        <v>197</v>
      </c>
      <c r="B5" s="40">
        <f>'Proyección de Ventas'!$B$6</f>
        <v>520</v>
      </c>
      <c r="C5" s="46">
        <v>147</v>
      </c>
      <c r="D5" s="24" t="s">
        <v>174</v>
      </c>
      <c r="E5" s="47">
        <f t="shared" ref="E5:E16" si="0">B5*C5</f>
        <v>76440</v>
      </c>
      <c r="F5" s="48">
        <v>1</v>
      </c>
      <c r="G5" s="47">
        <f t="shared" ref="G5:G16" si="1">E5*F5</f>
        <v>76440</v>
      </c>
      <c r="H5" s="24" t="s">
        <v>174</v>
      </c>
      <c r="I5" s="33">
        <f>'Costos Unitarios'!$C$4/147</f>
        <v>22.993197278911566</v>
      </c>
      <c r="J5" s="42">
        <f t="shared" ref="J5:J16" si="2">E5*I5</f>
        <v>1757600.0000000002</v>
      </c>
    </row>
    <row r="6" spans="1:11" x14ac:dyDescent="0.25">
      <c r="A6" s="22" t="s">
        <v>124</v>
      </c>
      <c r="B6" s="40">
        <f>'Proyección de Ventas'!$B$6</f>
        <v>520</v>
      </c>
      <c r="C6" s="46">
        <v>1</v>
      </c>
      <c r="D6" s="24" t="s">
        <v>167</v>
      </c>
      <c r="E6" s="47">
        <f t="shared" si="0"/>
        <v>520</v>
      </c>
      <c r="F6" s="48">
        <v>1</v>
      </c>
      <c r="G6" s="47">
        <f t="shared" si="1"/>
        <v>520</v>
      </c>
      <c r="H6" s="24" t="s">
        <v>167</v>
      </c>
      <c r="I6" s="33">
        <f>'Costos Unitarios'!$C$5</f>
        <v>1300</v>
      </c>
      <c r="J6" s="42">
        <f t="shared" si="2"/>
        <v>676000</v>
      </c>
    </row>
    <row r="7" spans="1:11" x14ac:dyDescent="0.25">
      <c r="A7" s="22" t="s">
        <v>127</v>
      </c>
      <c r="B7" s="40">
        <f>'Proyección de Ventas'!$B$6</f>
        <v>520</v>
      </c>
      <c r="C7" s="46">
        <v>2</v>
      </c>
      <c r="D7" s="24" t="s">
        <v>171</v>
      </c>
      <c r="E7" s="47">
        <f t="shared" si="0"/>
        <v>1040</v>
      </c>
      <c r="F7" s="48">
        <v>1</v>
      </c>
      <c r="G7" s="47">
        <f t="shared" si="1"/>
        <v>1040</v>
      </c>
      <c r="H7" s="24" t="s">
        <v>171</v>
      </c>
      <c r="I7" s="33">
        <f>'Costos Unitarios'!$C$6</f>
        <v>225</v>
      </c>
      <c r="J7" s="42">
        <f t="shared" si="2"/>
        <v>234000</v>
      </c>
    </row>
    <row r="8" spans="1:11" x14ac:dyDescent="0.25">
      <c r="A8" s="22" t="s">
        <v>130</v>
      </c>
      <c r="B8" s="40">
        <f>'Proyección de Ventas'!$C$12</f>
        <v>78</v>
      </c>
      <c r="C8" s="46">
        <v>2</v>
      </c>
      <c r="D8" s="24" t="s">
        <v>171</v>
      </c>
      <c r="E8" s="47">
        <f t="shared" si="0"/>
        <v>156</v>
      </c>
      <c r="F8" s="48">
        <v>1</v>
      </c>
      <c r="G8" s="47">
        <f t="shared" si="1"/>
        <v>156</v>
      </c>
      <c r="H8" s="24" t="s">
        <v>171</v>
      </c>
      <c r="I8" s="33">
        <f>'Costos Unitarios'!$C$7</f>
        <v>700</v>
      </c>
      <c r="J8" s="42">
        <f t="shared" si="2"/>
        <v>109200</v>
      </c>
      <c r="K8" s="49" t="s">
        <v>198</v>
      </c>
    </row>
    <row r="9" spans="1:11" x14ac:dyDescent="0.25">
      <c r="A9" s="22" t="s">
        <v>132</v>
      </c>
      <c r="B9" s="40">
        <f>'Proyección de Ventas'!$C$12</f>
        <v>78</v>
      </c>
      <c r="C9" s="46">
        <v>30</v>
      </c>
      <c r="D9" s="24" t="s">
        <v>174</v>
      </c>
      <c r="E9" s="47">
        <f t="shared" si="0"/>
        <v>2340</v>
      </c>
      <c r="F9" s="48">
        <v>1</v>
      </c>
      <c r="G9" s="47">
        <f t="shared" si="1"/>
        <v>2340</v>
      </c>
      <c r="H9" s="24" t="s">
        <v>174</v>
      </c>
      <c r="I9" s="33">
        <f>'Costos Unitarios'!$C$8</f>
        <v>51</v>
      </c>
      <c r="J9" s="42">
        <f t="shared" si="2"/>
        <v>119340</v>
      </c>
      <c r="K9" s="49" t="s">
        <v>198</v>
      </c>
    </row>
    <row r="10" spans="1:11" x14ac:dyDescent="0.25">
      <c r="A10" s="22" t="s">
        <v>135</v>
      </c>
      <c r="B10" s="40">
        <f>'Proyección de Ventas'!$C$11</f>
        <v>130</v>
      </c>
      <c r="C10" s="46">
        <v>1</v>
      </c>
      <c r="D10" s="24" t="s">
        <v>167</v>
      </c>
      <c r="E10" s="47">
        <f t="shared" si="0"/>
        <v>130</v>
      </c>
      <c r="F10" s="48">
        <v>1</v>
      </c>
      <c r="G10" s="47">
        <f t="shared" si="1"/>
        <v>130</v>
      </c>
      <c r="H10" s="24" t="s">
        <v>167</v>
      </c>
      <c r="I10" s="33">
        <f>'Costos Unitarios'!$C$9</f>
        <v>2000</v>
      </c>
      <c r="J10" s="42">
        <f t="shared" si="2"/>
        <v>260000</v>
      </c>
      <c r="K10" s="49" t="s">
        <v>199</v>
      </c>
    </row>
    <row r="11" spans="1:11" ht="24" x14ac:dyDescent="0.25">
      <c r="A11" s="22" t="s">
        <v>137</v>
      </c>
      <c r="B11" s="40">
        <f>'Proyección de Ventas'!$B$6</f>
        <v>520</v>
      </c>
      <c r="C11" s="46">
        <v>0.5</v>
      </c>
      <c r="D11" s="24" t="s">
        <v>167</v>
      </c>
      <c r="E11" s="47">
        <f t="shared" si="0"/>
        <v>260</v>
      </c>
      <c r="F11" s="48">
        <v>0.15</v>
      </c>
      <c r="G11" s="47">
        <f t="shared" si="1"/>
        <v>39</v>
      </c>
      <c r="H11" s="24" t="s">
        <v>200</v>
      </c>
      <c r="I11" s="33">
        <f>'Costos Unitarios'!$C$10</f>
        <v>900</v>
      </c>
      <c r="J11" s="42">
        <f t="shared" si="2"/>
        <v>234000</v>
      </c>
      <c r="K11" s="49" t="s">
        <v>201</v>
      </c>
    </row>
    <row r="12" spans="1:11" ht="24" x14ac:dyDescent="0.25">
      <c r="A12" s="22" t="s">
        <v>140</v>
      </c>
      <c r="B12" s="40">
        <f>'Proyección de Ventas'!$B$6</f>
        <v>520</v>
      </c>
      <c r="C12" s="46">
        <v>2</v>
      </c>
      <c r="D12" s="24" t="s">
        <v>169</v>
      </c>
      <c r="E12" s="47">
        <f t="shared" si="0"/>
        <v>1040</v>
      </c>
      <c r="F12" s="48">
        <v>0.05</v>
      </c>
      <c r="G12" s="47">
        <f t="shared" si="1"/>
        <v>52</v>
      </c>
      <c r="H12" s="24" t="s">
        <v>200</v>
      </c>
      <c r="I12" s="33">
        <f>'Costos Unitarios'!$C$11</f>
        <v>50</v>
      </c>
      <c r="J12" s="42">
        <f t="shared" si="2"/>
        <v>52000</v>
      </c>
      <c r="K12" s="49" t="s">
        <v>202</v>
      </c>
    </row>
    <row r="13" spans="1:11" ht="36" x14ac:dyDescent="0.25">
      <c r="A13" s="22" t="s">
        <v>143</v>
      </c>
      <c r="B13" s="40">
        <f>'Proyección de Ventas'!$C$10+'Proyección de Ventas'!$C$12</f>
        <v>390</v>
      </c>
      <c r="C13" s="46">
        <v>1</v>
      </c>
      <c r="D13" s="24" t="s">
        <v>170</v>
      </c>
      <c r="E13" s="47">
        <f t="shared" si="0"/>
        <v>390</v>
      </c>
      <c r="F13" s="48">
        <v>1</v>
      </c>
      <c r="G13" s="47">
        <f t="shared" si="1"/>
        <v>390</v>
      </c>
      <c r="H13" s="24" t="s">
        <v>170</v>
      </c>
      <c r="I13" s="33">
        <f>'Costos Unitarios'!$C$12</f>
        <v>576.92307692307691</v>
      </c>
      <c r="J13" s="42">
        <f t="shared" si="2"/>
        <v>225000</v>
      </c>
      <c r="K13" s="49" t="s">
        <v>203</v>
      </c>
    </row>
    <row r="14" spans="1:11" x14ac:dyDescent="0.25">
      <c r="A14" s="22" t="s">
        <v>146</v>
      </c>
      <c r="B14" s="40">
        <f>'Proyección de Ventas'!$C$11</f>
        <v>130</v>
      </c>
      <c r="C14" s="46">
        <v>1</v>
      </c>
      <c r="D14" s="24" t="s">
        <v>170</v>
      </c>
      <c r="E14" s="47">
        <f t="shared" si="0"/>
        <v>130</v>
      </c>
      <c r="F14" s="48">
        <v>1</v>
      </c>
      <c r="G14" s="47">
        <f t="shared" si="1"/>
        <v>130</v>
      </c>
      <c r="H14" s="24" t="s">
        <v>170</v>
      </c>
      <c r="I14" s="33">
        <f>'Costos Unitarios'!$C$13</f>
        <v>653.84615384615381</v>
      </c>
      <c r="J14" s="42">
        <f t="shared" si="2"/>
        <v>85000</v>
      </c>
      <c r="K14" s="49" t="s">
        <v>204</v>
      </c>
    </row>
    <row r="15" spans="1:11" x14ac:dyDescent="0.25">
      <c r="A15" s="22" t="s">
        <v>148</v>
      </c>
      <c r="B15" s="40">
        <f>'Proyección de Ventas'!$B$6</f>
        <v>520</v>
      </c>
      <c r="C15" s="46">
        <v>1</v>
      </c>
      <c r="D15" s="24" t="s">
        <v>168</v>
      </c>
      <c r="E15" s="47">
        <f t="shared" si="0"/>
        <v>520</v>
      </c>
      <c r="F15" s="48">
        <v>1</v>
      </c>
      <c r="G15" s="47">
        <f t="shared" si="1"/>
        <v>520</v>
      </c>
      <c r="H15" s="24" t="s">
        <v>168</v>
      </c>
      <c r="I15" s="33">
        <f>'Costos Unitarios'!$C$14</f>
        <v>384.61538461538464</v>
      </c>
      <c r="J15" s="42">
        <f t="shared" si="2"/>
        <v>200000</v>
      </c>
      <c r="K15" s="49" t="s">
        <v>205</v>
      </c>
    </row>
    <row r="16" spans="1:11" x14ac:dyDescent="0.25">
      <c r="A16" s="22" t="s">
        <v>150</v>
      </c>
      <c r="B16" s="40">
        <f>'Proyección de Ventas'!$C$11</f>
        <v>130</v>
      </c>
      <c r="C16" s="46">
        <v>0.5</v>
      </c>
      <c r="D16" s="24" t="s">
        <v>174</v>
      </c>
      <c r="E16" s="47">
        <f t="shared" si="0"/>
        <v>65</v>
      </c>
      <c r="F16" s="48">
        <v>1</v>
      </c>
      <c r="G16" s="47">
        <f t="shared" si="1"/>
        <v>65</v>
      </c>
      <c r="H16" s="24" t="s">
        <v>174</v>
      </c>
      <c r="I16" s="33">
        <f>'Costos Unitarios'!$C$15</f>
        <v>51</v>
      </c>
      <c r="J16" s="42">
        <f t="shared" si="2"/>
        <v>3315</v>
      </c>
      <c r="K16" s="49" t="s">
        <v>199</v>
      </c>
    </row>
    <row r="18" spans="1:10" x14ac:dyDescent="0.25">
      <c r="A18" s="26" t="s">
        <v>206</v>
      </c>
      <c r="J18" s="27">
        <f>SUM(J5:J16)</f>
        <v>3955455</v>
      </c>
    </row>
    <row r="20" spans="1:10" x14ac:dyDescent="0.25">
      <c r="A20" s="26" t="s">
        <v>207</v>
      </c>
    </row>
    <row r="21" spans="1:10" ht="39" x14ac:dyDescent="0.25">
      <c r="A21" s="21" t="s">
        <v>117</v>
      </c>
      <c r="B21" s="21" t="s">
        <v>189</v>
      </c>
      <c r="C21" s="21" t="s">
        <v>165</v>
      </c>
      <c r="D21" s="21" t="s">
        <v>118</v>
      </c>
      <c r="E21" s="21"/>
      <c r="F21" s="21"/>
      <c r="G21" s="21"/>
      <c r="H21" s="21"/>
      <c r="I21" s="21" t="s">
        <v>119</v>
      </c>
      <c r="J21" s="21" t="s">
        <v>196</v>
      </c>
    </row>
    <row r="22" spans="1:10" x14ac:dyDescent="0.25">
      <c r="A22" s="22" t="s">
        <v>153</v>
      </c>
      <c r="B22" s="40">
        <f>'Proyección de Ventas'!$B$6</f>
        <v>520</v>
      </c>
      <c r="C22" s="50">
        <v>1</v>
      </c>
      <c r="D22" s="24" t="s">
        <v>167</v>
      </c>
      <c r="I22" s="33">
        <f>'Costos Unitarios'!$C$19</f>
        <v>1363.4615384615399</v>
      </c>
      <c r="J22" s="42">
        <f>B22*C22*I22</f>
        <v>709000.00000000081</v>
      </c>
    </row>
    <row r="23" spans="1:10" x14ac:dyDescent="0.25">
      <c r="A23" s="22" t="s">
        <v>155</v>
      </c>
      <c r="B23" s="40">
        <f>'Proyección de Ventas'!$B$6</f>
        <v>520</v>
      </c>
      <c r="C23" s="50">
        <v>1</v>
      </c>
      <c r="D23" s="24" t="s">
        <v>167</v>
      </c>
      <c r="I23" s="33">
        <f>'Costos Unitarios'!$C$20</f>
        <v>137</v>
      </c>
      <c r="J23" s="42">
        <f>B23*C23*I23</f>
        <v>71240</v>
      </c>
    </row>
    <row r="24" spans="1:10" x14ac:dyDescent="0.25">
      <c r="A24" s="22" t="s">
        <v>157</v>
      </c>
      <c r="B24" s="40">
        <f>'Proyección de Ventas'!$B$6</f>
        <v>520</v>
      </c>
      <c r="C24" s="50">
        <v>1</v>
      </c>
      <c r="D24" s="24" t="s">
        <v>167</v>
      </c>
      <c r="I24" s="33">
        <f>'Costos Unitarios'!$C$21</f>
        <v>38.461538461538503</v>
      </c>
      <c r="J24" s="42">
        <f>B24*C24*I24</f>
        <v>20000.000000000022</v>
      </c>
    </row>
    <row r="25" spans="1:10" x14ac:dyDescent="0.25">
      <c r="A25" s="22" t="s">
        <v>159</v>
      </c>
      <c r="B25" s="40">
        <f>'Proyección de Ventas'!$B$6</f>
        <v>520</v>
      </c>
      <c r="C25" s="50">
        <v>1</v>
      </c>
      <c r="D25" s="24" t="s">
        <v>167</v>
      </c>
      <c r="I25" s="33">
        <f>'Costos Unitarios'!$C$22</f>
        <v>115.384615384615</v>
      </c>
      <c r="J25" s="42">
        <f>B25*C25*I25</f>
        <v>59999.999999999804</v>
      </c>
    </row>
    <row r="26" spans="1:10" x14ac:dyDescent="0.25">
      <c r="A26" s="22" t="s">
        <v>161</v>
      </c>
      <c r="B26" s="40">
        <f>'Proyección de Ventas'!$B$6</f>
        <v>520</v>
      </c>
      <c r="C26" s="50">
        <v>1</v>
      </c>
      <c r="D26" s="24" t="s">
        <v>167</v>
      </c>
      <c r="I26" s="33">
        <f>'Costos Unitarios'!$C$23</f>
        <v>32.115384615384599</v>
      </c>
      <c r="J26" s="42">
        <f>B26*C26*I26</f>
        <v>16699.999999999993</v>
      </c>
    </row>
    <row r="27" spans="1:10" x14ac:dyDescent="0.25">
      <c r="A27" s="26" t="s">
        <v>208</v>
      </c>
      <c r="J27" s="27">
        <f>SUM(J22:J26)</f>
        <v>876940.00000000058</v>
      </c>
    </row>
    <row r="29" spans="1:10" x14ac:dyDescent="0.25">
      <c r="A29" s="26" t="s">
        <v>209</v>
      </c>
      <c r="J29" s="27">
        <f>J18+J27</f>
        <v>4832395.0000000009</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showGridLines="0" zoomScaleNormal="100" workbookViewId="0">
      <selection sqref="A1:D1"/>
    </sheetView>
  </sheetViews>
  <sheetFormatPr baseColWidth="10" defaultColWidth="8.7109375" defaultRowHeight="15" x14ac:dyDescent="0.25"/>
  <cols>
    <col min="1" max="1" width="34" style="7" customWidth="1"/>
    <col min="2" max="2" width="18" style="7" customWidth="1"/>
    <col min="3" max="3" width="14" style="7" customWidth="1"/>
    <col min="4" max="4" width="46" style="7" customWidth="1"/>
  </cols>
  <sheetData>
    <row r="1" spans="1:4" ht="21.75" customHeight="1" x14ac:dyDescent="0.25">
      <c r="A1" s="3" t="s">
        <v>210</v>
      </c>
      <c r="B1" s="3"/>
      <c r="C1" s="3"/>
      <c r="D1" s="3"/>
    </row>
    <row r="2" spans="1:4" ht="15" customHeight="1" x14ac:dyDescent="0.25">
      <c r="A2" s="2" t="s">
        <v>211</v>
      </c>
      <c r="B2" s="2"/>
      <c r="C2" s="2"/>
      <c r="D2" s="2"/>
    </row>
    <row r="4" spans="1:4" x14ac:dyDescent="0.25">
      <c r="A4" s="26" t="s">
        <v>212</v>
      </c>
    </row>
    <row r="5" spans="1:4" x14ac:dyDescent="0.25">
      <c r="A5" s="21" t="s">
        <v>3</v>
      </c>
      <c r="B5" s="21" t="s">
        <v>4</v>
      </c>
      <c r="C5" s="21"/>
      <c r="D5" s="21" t="s">
        <v>63</v>
      </c>
    </row>
    <row r="6" spans="1:4" x14ac:dyDescent="0.25">
      <c r="A6" s="22" t="s">
        <v>213</v>
      </c>
      <c r="B6" s="23">
        <v>250000</v>
      </c>
      <c r="D6" s="25" t="s">
        <v>73</v>
      </c>
    </row>
    <row r="7" spans="1:4" x14ac:dyDescent="0.25">
      <c r="A7" s="22" t="s">
        <v>214</v>
      </c>
      <c r="B7" s="23">
        <v>100000</v>
      </c>
      <c r="D7" s="25"/>
    </row>
    <row r="8" spans="1:4" x14ac:dyDescent="0.25">
      <c r="A8" s="22" t="s">
        <v>7</v>
      </c>
      <c r="B8" s="23">
        <v>100000</v>
      </c>
      <c r="D8" s="25" t="s">
        <v>215</v>
      </c>
    </row>
    <row r="9" spans="1:4" x14ac:dyDescent="0.25">
      <c r="A9" s="22" t="s">
        <v>216</v>
      </c>
      <c r="B9" s="23">
        <v>3618016</v>
      </c>
      <c r="D9" s="25" t="s">
        <v>217</v>
      </c>
    </row>
    <row r="10" spans="1:4" x14ac:dyDescent="0.25">
      <c r="A10" s="22" t="s">
        <v>218</v>
      </c>
      <c r="B10" s="23">
        <v>120000</v>
      </c>
      <c r="D10" s="25"/>
    </row>
    <row r="11" spans="1:4" x14ac:dyDescent="0.25">
      <c r="A11" s="22" t="s">
        <v>11</v>
      </c>
      <c r="B11" s="23">
        <v>30000</v>
      </c>
      <c r="D11" s="25"/>
    </row>
    <row r="12" spans="1:4" x14ac:dyDescent="0.25">
      <c r="A12" s="26" t="s">
        <v>219</v>
      </c>
      <c r="B12" s="27">
        <f>SUM(B6:B11)</f>
        <v>4218016</v>
      </c>
    </row>
    <row r="14" spans="1:4" x14ac:dyDescent="0.25">
      <c r="A14" s="26" t="s">
        <v>220</v>
      </c>
    </row>
    <row r="15" spans="1:4" x14ac:dyDescent="0.25">
      <c r="A15" s="22" t="s">
        <v>221</v>
      </c>
      <c r="B15" s="51">
        <f>'Compras Mensuales'!$J$18</f>
        <v>3955455</v>
      </c>
    </row>
    <row r="17" spans="1:4" x14ac:dyDescent="0.25">
      <c r="A17" s="26" t="s">
        <v>222</v>
      </c>
    </row>
    <row r="18" spans="1:4" x14ac:dyDescent="0.25">
      <c r="A18" s="22" t="s">
        <v>223</v>
      </c>
      <c r="B18" s="51">
        <f>'Compras Mensuales'!$J$27</f>
        <v>876940.00000000058</v>
      </c>
    </row>
    <row r="20" spans="1:4" x14ac:dyDescent="0.25">
      <c r="A20" s="26" t="s">
        <v>224</v>
      </c>
    </row>
    <row r="21" spans="1:4" x14ac:dyDescent="0.25">
      <c r="A21" s="21" t="s">
        <v>3</v>
      </c>
      <c r="B21" s="21" t="s">
        <v>4</v>
      </c>
      <c r="C21" s="21"/>
      <c r="D21" s="21" t="s">
        <v>63</v>
      </c>
    </row>
    <row r="22" spans="1:4" ht="24" x14ac:dyDescent="0.25">
      <c r="A22" s="22" t="s">
        <v>18</v>
      </c>
      <c r="B22" s="44">
        <v>150000</v>
      </c>
      <c r="D22" s="52" t="s">
        <v>225</v>
      </c>
    </row>
    <row r="23" spans="1:4" x14ac:dyDescent="0.25">
      <c r="A23" s="22" t="s">
        <v>226</v>
      </c>
      <c r="B23" s="44">
        <v>20000</v>
      </c>
      <c r="D23" s="52" t="s">
        <v>227</v>
      </c>
    </row>
    <row r="24" spans="1:4" x14ac:dyDescent="0.25">
      <c r="A24" s="22" t="s">
        <v>228</v>
      </c>
      <c r="B24" s="44">
        <v>30000</v>
      </c>
      <c r="D24" s="52" t="s">
        <v>227</v>
      </c>
    </row>
    <row r="25" spans="1:4" x14ac:dyDescent="0.25">
      <c r="A25" s="22" t="s">
        <v>229</v>
      </c>
      <c r="B25" s="23">
        <v>0</v>
      </c>
      <c r="D25" s="25"/>
    </row>
    <row r="26" spans="1:4" x14ac:dyDescent="0.25">
      <c r="A26" s="22" t="s">
        <v>230</v>
      </c>
      <c r="B26" s="44">
        <v>20000</v>
      </c>
      <c r="D26" s="52" t="s">
        <v>227</v>
      </c>
    </row>
    <row r="27" spans="1:4" x14ac:dyDescent="0.25">
      <c r="A27" s="26" t="s">
        <v>231</v>
      </c>
      <c r="B27" s="27">
        <f>SUM(B22:B26)</f>
        <v>220000</v>
      </c>
    </row>
    <row r="29" spans="1:4" x14ac:dyDescent="0.25">
      <c r="A29" s="26" t="s">
        <v>232</v>
      </c>
    </row>
    <row r="30" spans="1:4" x14ac:dyDescent="0.25">
      <c r="A30" s="21" t="s">
        <v>3</v>
      </c>
      <c r="B30" s="21" t="s">
        <v>4</v>
      </c>
      <c r="C30" s="21"/>
      <c r="D30" s="21" t="s">
        <v>63</v>
      </c>
    </row>
    <row r="31" spans="1:4" x14ac:dyDescent="0.25">
      <c r="A31" s="22" t="s">
        <v>233</v>
      </c>
      <c r="B31" s="23">
        <v>500000</v>
      </c>
      <c r="D31" s="25"/>
    </row>
    <row r="32" spans="1:4" ht="24" x14ac:dyDescent="0.25">
      <c r="A32" s="22" t="s">
        <v>234</v>
      </c>
      <c r="B32" s="44">
        <v>150000</v>
      </c>
      <c r="D32" s="52" t="s">
        <v>235</v>
      </c>
    </row>
    <row r="33" spans="1:4" ht="24" x14ac:dyDescent="0.25">
      <c r="A33" s="22" t="s">
        <v>236</v>
      </c>
      <c r="B33" s="44">
        <v>100000</v>
      </c>
      <c r="D33" s="52" t="s">
        <v>237</v>
      </c>
    </row>
    <row r="34" spans="1:4" x14ac:dyDescent="0.25">
      <c r="A34" s="22" t="s">
        <v>238</v>
      </c>
      <c r="B34" s="23">
        <v>0</v>
      </c>
      <c r="D34" s="25" t="s">
        <v>239</v>
      </c>
    </row>
    <row r="35" spans="1:4" x14ac:dyDescent="0.25">
      <c r="A35" s="22" t="s">
        <v>240</v>
      </c>
      <c r="B35" s="23">
        <v>0</v>
      </c>
      <c r="D35" s="25" t="s">
        <v>241</v>
      </c>
    </row>
    <row r="36" spans="1:4" x14ac:dyDescent="0.25">
      <c r="A36" s="26" t="s">
        <v>242</v>
      </c>
      <c r="B36" s="27">
        <f>SUM(B31:B35)</f>
        <v>750000</v>
      </c>
    </row>
    <row r="38" spans="1:4" x14ac:dyDescent="0.25">
      <c r="A38" s="26" t="s">
        <v>243</v>
      </c>
    </row>
    <row r="39" spans="1:4" x14ac:dyDescent="0.25">
      <c r="A39" s="26" t="s">
        <v>244</v>
      </c>
      <c r="B39" s="27">
        <f>B12+B15+B18+B27+B36</f>
        <v>10020411</v>
      </c>
    </row>
    <row r="41" spans="1:4" x14ac:dyDescent="0.25">
      <c r="A41" s="26" t="s">
        <v>245</v>
      </c>
    </row>
    <row r="42" spans="1:4" x14ac:dyDescent="0.25">
      <c r="A42" s="22" t="s">
        <v>78</v>
      </c>
      <c r="B42" s="40">
        <f>'Proyección de Ventas'!$B$4</f>
        <v>26</v>
      </c>
    </row>
    <row r="43" spans="1:4" x14ac:dyDescent="0.25">
      <c r="A43" s="22" t="s">
        <v>246</v>
      </c>
      <c r="B43" s="40">
        <f>'Proyección de Ventas'!$B$5</f>
        <v>20</v>
      </c>
    </row>
    <row r="44" spans="1:4" x14ac:dyDescent="0.25">
      <c r="A44" s="22" t="s">
        <v>83</v>
      </c>
      <c r="B44" s="40">
        <f>'Proyección de Ventas'!$B$6</f>
        <v>520</v>
      </c>
    </row>
    <row r="45" spans="1:4" x14ac:dyDescent="0.25">
      <c r="A45" s="22" t="s">
        <v>89</v>
      </c>
      <c r="B45" s="33">
        <f>'Proyección de Ventas'!$B$15</f>
        <v>25320</v>
      </c>
    </row>
    <row r="46" spans="1:4" x14ac:dyDescent="0.25">
      <c r="A46" s="22" t="s">
        <v>247</v>
      </c>
      <c r="B46" s="33">
        <f>'Proyección de Ventas'!$E$13</f>
        <v>13166400</v>
      </c>
    </row>
    <row r="47" spans="1:4" x14ac:dyDescent="0.25">
      <c r="A47" s="22" t="s">
        <v>248</v>
      </c>
      <c r="B47" s="42">
        <f>B39</f>
        <v>10020411</v>
      </c>
    </row>
    <row r="48" spans="1:4" x14ac:dyDescent="0.25">
      <c r="A48" s="26" t="s">
        <v>249</v>
      </c>
      <c r="B48" s="27">
        <f>B46-B47</f>
        <v>3145989</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showGridLines="0" zoomScaleNormal="100" workbookViewId="0">
      <selection sqref="A1:D1"/>
    </sheetView>
  </sheetViews>
  <sheetFormatPr baseColWidth="10" defaultColWidth="8.7109375" defaultRowHeight="15" x14ac:dyDescent="0.25"/>
  <cols>
    <col min="1" max="1" width="40" style="7" customWidth="1"/>
    <col min="2" max="3" width="20" style="7" customWidth="1"/>
    <col min="4" max="4" width="46" style="7" customWidth="1"/>
  </cols>
  <sheetData>
    <row r="1" spans="1:4" ht="21.75" customHeight="1" x14ac:dyDescent="0.25">
      <c r="A1" s="3" t="s">
        <v>250</v>
      </c>
      <c r="B1" s="3"/>
      <c r="C1" s="3"/>
      <c r="D1" s="3"/>
    </row>
    <row r="2" spans="1:4" ht="22.35" customHeight="1" x14ac:dyDescent="0.25">
      <c r="A2" s="2" t="s">
        <v>251</v>
      </c>
      <c r="B2" s="2"/>
      <c r="C2" s="2"/>
      <c r="D2" s="2"/>
    </row>
    <row r="4" spans="1:4" x14ac:dyDescent="0.25">
      <c r="A4" s="26" t="s">
        <v>252</v>
      </c>
      <c r="B4" s="33">
        <f>'Operación Mensual'!$B$12+'Operación Mensual'!$B$27</f>
        <v>4438016</v>
      </c>
    </row>
    <row r="5" spans="1:4" x14ac:dyDescent="0.25">
      <c r="A5" s="26" t="s">
        <v>253</v>
      </c>
      <c r="B5" s="33">
        <f>'Operación Mensual'!$B$36</f>
        <v>750000</v>
      </c>
    </row>
    <row r="6" spans="1:4" x14ac:dyDescent="0.25">
      <c r="A6" s="26" t="s">
        <v>254</v>
      </c>
      <c r="B6" s="27">
        <f>B4+B5</f>
        <v>5188016</v>
      </c>
    </row>
    <row r="8" spans="1:4" x14ac:dyDescent="0.25">
      <c r="A8" s="26" t="s">
        <v>255</v>
      </c>
      <c r="B8" s="33">
        <f>('Compras Mensuales'!$J$18+'Compras Mensuales'!$J$27)/'Proyección de Ventas'!$B$6</f>
        <v>9293.0673076923104</v>
      </c>
    </row>
    <row r="9" spans="1:4" x14ac:dyDescent="0.25">
      <c r="A9" s="26" t="s">
        <v>256</v>
      </c>
      <c r="B9" s="33">
        <f>'Proyección de Ventas'!$B$15</f>
        <v>25320</v>
      </c>
    </row>
    <row r="10" spans="1:4" x14ac:dyDescent="0.25">
      <c r="A10" s="26" t="s">
        <v>257</v>
      </c>
      <c r="B10" s="27">
        <f>B9-B8</f>
        <v>16026.93269230769</v>
      </c>
    </row>
    <row r="12" spans="1:4" x14ac:dyDescent="0.25">
      <c r="A12" s="26" t="s">
        <v>258</v>
      </c>
      <c r="B12" s="36">
        <f>B4/B10</f>
        <v>276.90987946371524</v>
      </c>
    </row>
    <row r="13" spans="1:4" x14ac:dyDescent="0.25">
      <c r="A13" s="22" t="s">
        <v>259</v>
      </c>
      <c r="B13" s="42">
        <f>B12*B9</f>
        <v>7011358.1480212696</v>
      </c>
    </row>
    <row r="14" spans="1:4" x14ac:dyDescent="0.25">
      <c r="A14" s="26" t="s">
        <v>260</v>
      </c>
      <c r="B14" s="36">
        <f>B6/B10</f>
        <v>323.70610768772042</v>
      </c>
    </row>
    <row r="15" spans="1:4" x14ac:dyDescent="0.25">
      <c r="A15" s="22" t="s">
        <v>261</v>
      </c>
      <c r="B15" s="42">
        <f>B14*B9</f>
        <v>8196238.6466530813</v>
      </c>
    </row>
    <row r="16" spans="1:4" ht="15" customHeight="1" x14ac:dyDescent="0.25">
      <c r="A16" s="22" t="s">
        <v>262</v>
      </c>
      <c r="B16" s="40">
        <f>'Proyección de Ventas'!$B$6-B14</f>
        <v>196.29389231227958</v>
      </c>
      <c r="C16" s="2" t="s">
        <v>263</v>
      </c>
      <c r="D16" s="2"/>
    </row>
    <row r="19" spans="1:4" x14ac:dyDescent="0.25">
      <c r="A19" s="26" t="s">
        <v>264</v>
      </c>
    </row>
    <row r="20" spans="1:4" ht="26.25" x14ac:dyDescent="0.25">
      <c r="A20" s="21" t="s">
        <v>265</v>
      </c>
      <c r="B20" s="21" t="s">
        <v>266</v>
      </c>
      <c r="C20" s="21" t="s">
        <v>267</v>
      </c>
      <c r="D20" s="21" t="s">
        <v>63</v>
      </c>
    </row>
    <row r="21" spans="1:4" x14ac:dyDescent="0.25">
      <c r="A21" s="22" t="s">
        <v>268</v>
      </c>
      <c r="B21" s="23">
        <v>0</v>
      </c>
      <c r="C21" s="53">
        <f>(B6+B21)/B10</f>
        <v>323.70610768772042</v>
      </c>
      <c r="D21" s="25"/>
    </row>
    <row r="22" spans="1:4" x14ac:dyDescent="0.25">
      <c r="A22" s="22" t="s">
        <v>269</v>
      </c>
      <c r="B22" s="23">
        <v>500000</v>
      </c>
      <c r="C22" s="53">
        <f>(B6+B22)/B10</f>
        <v>354.90359317039054</v>
      </c>
      <c r="D22" s="25"/>
    </row>
    <row r="23" spans="1:4" x14ac:dyDescent="0.25">
      <c r="A23" s="22" t="s">
        <v>270</v>
      </c>
      <c r="B23" s="23">
        <v>1000000</v>
      </c>
      <c r="C23" s="53">
        <f>(B6+B23)/B10</f>
        <v>386.10107865306065</v>
      </c>
      <c r="D23" s="25"/>
    </row>
    <row r="24" spans="1:4" ht="24" x14ac:dyDescent="0.25">
      <c r="A24" s="22" t="s">
        <v>271</v>
      </c>
      <c r="B24" s="44">
        <v>1500000</v>
      </c>
      <c r="C24" s="53">
        <f>(B6+B24)/B10</f>
        <v>417.29856413573071</v>
      </c>
      <c r="D24" s="52" t="s">
        <v>272</v>
      </c>
    </row>
    <row r="25" spans="1:4" ht="24" x14ac:dyDescent="0.25">
      <c r="A25" s="22" t="s">
        <v>273</v>
      </c>
      <c r="B25" s="44">
        <v>1809008</v>
      </c>
      <c r="C25" s="53">
        <f>(B6+B25)/B10</f>
        <v>436.5791093237886</v>
      </c>
      <c r="D25" s="52" t="s">
        <v>274</v>
      </c>
    </row>
  </sheetData>
  <mergeCells count="3">
    <mergeCell ref="A1:D1"/>
    <mergeCell ref="A2:D2"/>
    <mergeCell ref="C16:D1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showGridLines="0" zoomScaleNormal="100" workbookViewId="0">
      <selection sqref="A1:H1"/>
    </sheetView>
  </sheetViews>
  <sheetFormatPr baseColWidth="10" defaultColWidth="8.7109375" defaultRowHeight="15" x14ac:dyDescent="0.25"/>
  <cols>
    <col min="1" max="1" width="34" style="7" customWidth="1"/>
    <col min="2" max="8" width="15" style="7" customWidth="1"/>
  </cols>
  <sheetData>
    <row r="1" spans="1:8" ht="21.75" customHeight="1" x14ac:dyDescent="0.25">
      <c r="A1" s="3" t="s">
        <v>275</v>
      </c>
      <c r="B1" s="3"/>
      <c r="C1" s="3"/>
      <c r="D1" s="3"/>
      <c r="E1" s="3"/>
      <c r="F1" s="3"/>
      <c r="G1" s="3"/>
      <c r="H1" s="3"/>
    </row>
    <row r="2" spans="1:8" ht="15" customHeight="1" x14ac:dyDescent="0.25">
      <c r="A2" s="2" t="s">
        <v>276</v>
      </c>
      <c r="B2" s="2"/>
      <c r="C2" s="2"/>
      <c r="D2" s="2"/>
      <c r="E2" s="2"/>
      <c r="F2" s="2"/>
      <c r="G2" s="2"/>
      <c r="H2" s="2"/>
    </row>
    <row r="4" spans="1:8" ht="26.25" x14ac:dyDescent="0.25">
      <c r="A4" s="21" t="s">
        <v>3</v>
      </c>
      <c r="B4" s="21" t="s">
        <v>277</v>
      </c>
      <c r="C4" s="21" t="s">
        <v>278</v>
      </c>
      <c r="D4" s="21" t="s">
        <v>279</v>
      </c>
      <c r="E4" s="21" t="s">
        <v>280</v>
      </c>
      <c r="F4" s="21" t="s">
        <v>281</v>
      </c>
      <c r="G4" s="21" t="s">
        <v>282</v>
      </c>
      <c r="H4" s="21" t="s">
        <v>283</v>
      </c>
    </row>
    <row r="5" spans="1:8" x14ac:dyDescent="0.25">
      <c r="A5" s="26" t="s">
        <v>284</v>
      </c>
      <c r="B5" s="33">
        <f>-'Capital Inicial'!$B$14</f>
        <v>-4465000</v>
      </c>
      <c r="C5" s="42">
        <v>0</v>
      </c>
      <c r="D5" s="42">
        <v>0</v>
      </c>
      <c r="E5" s="42">
        <v>0</v>
      </c>
      <c r="F5" s="42">
        <v>0</v>
      </c>
      <c r="G5" s="42">
        <v>0</v>
      </c>
      <c r="H5" s="42">
        <v>0</v>
      </c>
    </row>
    <row r="6" spans="1:8" x14ac:dyDescent="0.25">
      <c r="A6" s="22" t="s">
        <v>285</v>
      </c>
      <c r="B6" s="42">
        <v>0</v>
      </c>
      <c r="C6" s="33">
        <f>'Operación Mensual'!$B$46</f>
        <v>13166400</v>
      </c>
      <c r="D6" s="33">
        <f>'Operación Mensual'!$B$46</f>
        <v>13166400</v>
      </c>
      <c r="E6" s="33">
        <f>'Operación Mensual'!$B$46</f>
        <v>13166400</v>
      </c>
      <c r="F6" s="33">
        <f>'Operación Mensual'!$B$46</f>
        <v>13166400</v>
      </c>
      <c r="G6" s="33">
        <f>'Operación Mensual'!$B$46</f>
        <v>13166400</v>
      </c>
      <c r="H6" s="33">
        <f>'Operación Mensual'!$B$46</f>
        <v>13166400</v>
      </c>
    </row>
    <row r="7" spans="1:8" x14ac:dyDescent="0.25">
      <c r="A7" s="22" t="s">
        <v>286</v>
      </c>
      <c r="B7" s="42">
        <v>0</v>
      </c>
      <c r="C7" s="33">
        <f>-('Operación Mensual'!$B$15+'Operación Mensual'!$B$18)</f>
        <v>-4832395.0000000009</v>
      </c>
      <c r="D7" s="33">
        <f>-('Operación Mensual'!$B$15+'Operación Mensual'!$B$18)</f>
        <v>-4832395.0000000009</v>
      </c>
      <c r="E7" s="33">
        <f>-('Operación Mensual'!$B$15+'Operación Mensual'!$B$18)</f>
        <v>-4832395.0000000009</v>
      </c>
      <c r="F7" s="33">
        <f>-('Operación Mensual'!$B$15+'Operación Mensual'!$B$18)</f>
        <v>-4832395.0000000009</v>
      </c>
      <c r="G7" s="33">
        <f>-('Operación Mensual'!$B$15+'Operación Mensual'!$B$18)</f>
        <v>-4832395.0000000009</v>
      </c>
      <c r="H7" s="33">
        <f>-('Operación Mensual'!$B$15+'Operación Mensual'!$B$18)</f>
        <v>-4832395.0000000009</v>
      </c>
    </row>
    <row r="8" spans="1:8" x14ac:dyDescent="0.25">
      <c r="A8" s="22" t="s">
        <v>287</v>
      </c>
      <c r="B8" s="42">
        <v>0</v>
      </c>
      <c r="C8" s="33">
        <f>-'Operación Mensual'!$B$12</f>
        <v>-4218016</v>
      </c>
      <c r="D8" s="33">
        <f>-'Operación Mensual'!$B$12</f>
        <v>-4218016</v>
      </c>
      <c r="E8" s="33">
        <f>-'Operación Mensual'!$B$12</f>
        <v>-4218016</v>
      </c>
      <c r="F8" s="33">
        <f>-'Operación Mensual'!$B$12</f>
        <v>-4218016</v>
      </c>
      <c r="G8" s="33">
        <f>-'Operación Mensual'!$B$12</f>
        <v>-4218016</v>
      </c>
      <c r="H8" s="33">
        <f>-'Operación Mensual'!$B$12</f>
        <v>-4218016</v>
      </c>
    </row>
    <row r="9" spans="1:8" x14ac:dyDescent="0.25">
      <c r="A9" s="22" t="s">
        <v>288</v>
      </c>
      <c r="B9" s="42">
        <v>0</v>
      </c>
      <c r="C9" s="33">
        <f>-'Operación Mensual'!$B$27</f>
        <v>-220000</v>
      </c>
      <c r="D9" s="33">
        <f>-'Operación Mensual'!$B$27</f>
        <v>-220000</v>
      </c>
      <c r="E9" s="33">
        <f>-'Operación Mensual'!$B$27</f>
        <v>-220000</v>
      </c>
      <c r="F9" s="33">
        <f>-'Operación Mensual'!$B$27</f>
        <v>-220000</v>
      </c>
      <c r="G9" s="33">
        <f>-'Operación Mensual'!$B$27</f>
        <v>-220000</v>
      </c>
      <c r="H9" s="33">
        <f>-'Operación Mensual'!$B$27</f>
        <v>-220000</v>
      </c>
    </row>
    <row r="10" spans="1:8" x14ac:dyDescent="0.25">
      <c r="A10" s="22" t="s">
        <v>289</v>
      </c>
      <c r="B10" s="42">
        <v>0</v>
      </c>
      <c r="C10" s="33">
        <f>-'Operación Mensual'!$B$36</f>
        <v>-750000</v>
      </c>
      <c r="D10" s="33">
        <f>-'Operación Mensual'!$B$36</f>
        <v>-750000</v>
      </c>
      <c r="E10" s="33">
        <f>-'Operación Mensual'!$B$36</f>
        <v>-750000</v>
      </c>
      <c r="F10" s="33">
        <f>-'Operación Mensual'!$B$36</f>
        <v>-750000</v>
      </c>
      <c r="G10" s="33">
        <f>-'Operación Mensual'!$B$36</f>
        <v>-750000</v>
      </c>
      <c r="H10" s="33">
        <f>-'Operación Mensual'!$B$36</f>
        <v>-750000</v>
      </c>
    </row>
    <row r="11" spans="1:8" x14ac:dyDescent="0.25">
      <c r="A11" s="26" t="s">
        <v>290</v>
      </c>
      <c r="B11" s="27">
        <f t="shared" ref="B11:H11" si="0">SUM(B5:B10)</f>
        <v>-4465000</v>
      </c>
      <c r="C11" s="27">
        <f t="shared" si="0"/>
        <v>3145988.9999999991</v>
      </c>
      <c r="D11" s="27">
        <f t="shared" si="0"/>
        <v>3145988.9999999991</v>
      </c>
      <c r="E11" s="27">
        <f t="shared" si="0"/>
        <v>3145988.9999999991</v>
      </c>
      <c r="F11" s="27">
        <f t="shared" si="0"/>
        <v>3145988.9999999991</v>
      </c>
      <c r="G11" s="27">
        <f t="shared" si="0"/>
        <v>3145988.9999999991</v>
      </c>
      <c r="H11" s="27">
        <f t="shared" si="0"/>
        <v>3145988.9999999991</v>
      </c>
    </row>
    <row r="12" spans="1:8" x14ac:dyDescent="0.25">
      <c r="A12" s="26" t="s">
        <v>291</v>
      </c>
      <c r="B12" s="27">
        <f>B11</f>
        <v>-4465000</v>
      </c>
      <c r="C12" s="27">
        <f t="shared" ref="C12:H12" si="1">B12+C11</f>
        <v>-1319011.0000000009</v>
      </c>
      <c r="D12" s="27">
        <f t="shared" si="1"/>
        <v>1826977.9999999981</v>
      </c>
      <c r="E12" s="27">
        <f t="shared" si="1"/>
        <v>4972966.9999999972</v>
      </c>
      <c r="F12" s="27">
        <f t="shared" si="1"/>
        <v>8118955.9999999963</v>
      </c>
      <c r="G12" s="27">
        <f t="shared" si="1"/>
        <v>11264944.999999996</v>
      </c>
      <c r="H12" s="27">
        <f t="shared" si="1"/>
        <v>14410933.999999996</v>
      </c>
    </row>
    <row r="14" spans="1:8" ht="15" customHeight="1" x14ac:dyDescent="0.25">
      <c r="A14" s="2" t="s">
        <v>292</v>
      </c>
      <c r="B14" s="2"/>
      <c r="C14" s="2"/>
      <c r="D14" s="2"/>
      <c r="E14" s="2"/>
      <c r="F14" s="2"/>
      <c r="G14" s="2"/>
      <c r="H14" s="2"/>
    </row>
  </sheetData>
  <mergeCells count="3">
    <mergeCell ref="A1:H1"/>
    <mergeCell ref="A2:H2"/>
    <mergeCell ref="A14:H1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showGridLines="0" zoomScaleNormal="100" workbookViewId="0">
      <selection sqref="A1:D1"/>
    </sheetView>
  </sheetViews>
  <sheetFormatPr baseColWidth="10" defaultColWidth="8.7109375" defaultRowHeight="15" x14ac:dyDescent="0.25"/>
  <cols>
    <col min="1" max="1" width="34" style="7" customWidth="1"/>
    <col min="2" max="2" width="18" style="7" customWidth="1"/>
    <col min="3" max="3" width="34" style="7" customWidth="1"/>
    <col min="4" max="4" width="18" style="7" customWidth="1"/>
  </cols>
  <sheetData>
    <row r="1" spans="1:4" ht="21.75" customHeight="1" x14ac:dyDescent="0.25">
      <c r="A1" s="3" t="s">
        <v>293</v>
      </c>
      <c r="B1" s="3"/>
      <c r="C1" s="3"/>
      <c r="D1" s="3"/>
    </row>
    <row r="2" spans="1:4" ht="15" customHeight="1" x14ac:dyDescent="0.25">
      <c r="A2" s="2" t="s">
        <v>294</v>
      </c>
      <c r="B2" s="2"/>
      <c r="C2" s="2"/>
      <c r="D2" s="2"/>
    </row>
    <row r="4" spans="1:4" x14ac:dyDescent="0.25">
      <c r="A4" s="26" t="s">
        <v>295</v>
      </c>
      <c r="B4" s="51">
        <f>'Capital Inicial'!$B$14</f>
        <v>4465000</v>
      </c>
    </row>
    <row r="5" spans="1:4" x14ac:dyDescent="0.25">
      <c r="A5" s="26" t="s">
        <v>296</v>
      </c>
      <c r="B5" s="54">
        <f>'Proyección de Ventas'!$B$6</f>
        <v>520</v>
      </c>
    </row>
    <row r="6" spans="1:4" x14ac:dyDescent="0.25">
      <c r="A6" s="26" t="s">
        <v>89</v>
      </c>
      <c r="B6" s="51">
        <f>'Proyección de Ventas'!$B$15</f>
        <v>25320</v>
      </c>
    </row>
    <row r="7" spans="1:4" x14ac:dyDescent="0.25">
      <c r="A7" s="26" t="s">
        <v>297</v>
      </c>
      <c r="B7" s="51">
        <f>'Proyección de Ventas'!$E$13</f>
        <v>13166400</v>
      </c>
    </row>
    <row r="8" spans="1:4" x14ac:dyDescent="0.25">
      <c r="A8" s="26" t="s">
        <v>298</v>
      </c>
      <c r="B8" s="51">
        <f>'Operación Mensual'!$B$12</f>
        <v>4218016</v>
      </c>
    </row>
    <row r="9" spans="1:4" x14ac:dyDescent="0.25">
      <c r="A9" s="26" t="s">
        <v>299</v>
      </c>
      <c r="B9" s="51">
        <f>'Operación Mensual'!$B$15</f>
        <v>3955455</v>
      </c>
    </row>
    <row r="10" spans="1:4" x14ac:dyDescent="0.25">
      <c r="A10" s="26" t="s">
        <v>300</v>
      </c>
      <c r="B10" s="51">
        <f>'Operación Mensual'!$B$18</f>
        <v>876940.00000000058</v>
      </c>
    </row>
    <row r="11" spans="1:4" x14ac:dyDescent="0.25">
      <c r="A11" s="26" t="s">
        <v>301</v>
      </c>
      <c r="B11" s="51">
        <f>'Operación Mensual'!$B$36</f>
        <v>750000</v>
      </c>
    </row>
    <row r="12" spans="1:4" x14ac:dyDescent="0.25">
      <c r="A12" s="26" t="s">
        <v>302</v>
      </c>
      <c r="B12" s="51">
        <f>'Operación Mensual'!$B$39</f>
        <v>10020411</v>
      </c>
    </row>
    <row r="13" spans="1:4" x14ac:dyDescent="0.25">
      <c r="A13" s="26" t="s">
        <v>303</v>
      </c>
      <c r="B13" s="51">
        <f>'Operación Mensual'!$B$48</f>
        <v>3145989</v>
      </c>
    </row>
    <row r="15" spans="1:4" x14ac:dyDescent="0.25">
      <c r="A15" s="26" t="s">
        <v>304</v>
      </c>
      <c r="B15" s="45">
        <f>'Food Cost'!$B$49</f>
        <v>0.30042038826102807</v>
      </c>
    </row>
    <row r="17" spans="1:3" x14ac:dyDescent="0.25">
      <c r="A17" s="26" t="s">
        <v>305</v>
      </c>
    </row>
    <row r="18" spans="1:3" ht="26.25" x14ac:dyDescent="0.25">
      <c r="A18" s="21" t="s">
        <v>81</v>
      </c>
      <c r="B18" s="21" t="s">
        <v>83</v>
      </c>
      <c r="C18" s="21" t="s">
        <v>85</v>
      </c>
    </row>
    <row r="19" spans="1:3" x14ac:dyDescent="0.25">
      <c r="A19" s="22" t="s">
        <v>86</v>
      </c>
      <c r="B19" s="40">
        <f>'Proyección de Ventas'!$C$10</f>
        <v>312</v>
      </c>
      <c r="C19" s="33">
        <f>'Proyección de Ventas'!$E$10</f>
        <v>6895200</v>
      </c>
    </row>
    <row r="20" spans="1:3" x14ac:dyDescent="0.25">
      <c r="A20" s="22" t="s">
        <v>87</v>
      </c>
      <c r="B20" s="40">
        <f>'Proyección de Ventas'!$C$11</f>
        <v>130</v>
      </c>
      <c r="C20" s="33">
        <f>'Proyección de Ventas'!$E$11</f>
        <v>3783000</v>
      </c>
    </row>
    <row r="21" spans="1:3" x14ac:dyDescent="0.25">
      <c r="A21" s="22" t="s">
        <v>88</v>
      </c>
      <c r="B21" s="40">
        <f>'Proyección de Ventas'!$C$12</f>
        <v>78</v>
      </c>
      <c r="C21" s="33">
        <f>'Proyección de Ventas'!$E$12</f>
        <v>2488200</v>
      </c>
    </row>
    <row r="23" spans="1:3" x14ac:dyDescent="0.25">
      <c r="A23" s="26" t="s">
        <v>306</v>
      </c>
      <c r="B23" s="54">
        <f>'Punto de Equilibrio'!B14</f>
        <v>323.70610768772042</v>
      </c>
    </row>
  </sheetData>
  <mergeCells count="2">
    <mergeCell ref="A1:D1"/>
    <mergeCell ref="A2:D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Borrador</vt:lpstr>
      <vt:lpstr>Capital Inicial</vt:lpstr>
      <vt:lpstr>Proyección de Ventas</vt:lpstr>
      <vt:lpstr>Recetas Base</vt:lpstr>
      <vt:lpstr>Costos Unitarios</vt:lpstr>
      <vt:lpstr>Food Cost</vt:lpstr>
      <vt:lpstr>Compras Mensuales</vt:lpstr>
      <vt:lpstr>Operación Mensual</vt:lpstr>
      <vt:lpstr>Punto de Equilibrio</vt:lpstr>
      <vt:lpstr>Flujo de Caja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andres patiño salazar</dc:creator>
  <dc:description/>
  <cp:lastModifiedBy>diego andres patiño salazar</cp:lastModifiedBy>
  <cp:revision>1</cp:revision>
  <dcterms:created xsi:type="dcterms:W3CDTF">2026-08-01T04:27:15Z</dcterms:created>
  <dcterms:modified xsi:type="dcterms:W3CDTF">2026-09-28T18:27:51Z</dcterms:modified>
  <dc:language>en-US</dc:language>
</cp:coreProperties>
</file>